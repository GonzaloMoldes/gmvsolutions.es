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usar" sheetId="1" state="visible" r:id="rId3"/>
    <sheet name="Resumen" sheetId="2" state="visible" r:id="rId4"/>
    <sheet name="Matriz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<sst xmlns="http://schemas.openxmlformats.org/spreadsheetml/2006/main" count="60" uniqueCount="55">
  <si>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Plantilla de matriz de polivalencia</t>
  </si>
  <si>
    <t xml:space="preserve">REELEVO · gmvsolutions.es · Datos de ejemplo ficticios: bórralos y pon los tuyos.</t>
  </si>
  <si>
    <t xml:space="preserve">Una matriz de polivalencia cruza a los operarios con los puestos de la planta y dice, para cada combinación, con qué nivel de autonomía puede trabajar esa persona en ese puesto. Sirve para cubrir bajas y vacaciones, planificar turnos y decidir a quién formar primero.</t>
  </si>
  <si>
    <t xml:space="preserve">Cómo se rellena</t>
  </si>
  <si>
    <t xml:space="preserve">1. En la hoja Matriz, escribe los puestos en la fila de cabecera (celdas amarillas, hasta 30) y los operarios en la primera columna (hasta 60), con su turno.</t>
  </si>
  <si>
    <t xml:space="preserve">2. En cada cruce, pon el nivel de 0 a 4. Si lo dejas vacío cuenta como 0. Los colores salen solos.</t>
  </si>
  <si>
    <t xml:space="preserve">3. Lo demás se calcula: debajo de cada puesto, cuántos autónomos tiene y su estado; a la derecha de cada operario, en cuántos puestos es autónomo; y en Resumen, qué puestos están en riesgo.</t>
  </si>
  <si>
    <t xml:space="preserve">Los cinco niveles</t>
  </si>
  <si>
    <t xml:space="preserve">0 · No formado: No ha hecho el puesto ni ha recibido formación.</t>
  </si>
  <si>
    <t xml:space="preserve">1 · En formación: Está aprendiendo. No puede quedarse solo en el puesto.</t>
  </si>
  <si>
    <t xml:space="preserve">2 · Con supervisión: Lo hace, pero necesita a alguien cerca para dudas o cambios.</t>
  </si>
  <si>
    <t xml:space="preserve">3 · Autónomo: Cubre el puesto solo, con calidad y seguridad, en cualquier turno.</t>
  </si>
  <si>
    <t xml:space="preserve">4 · Puede formar: Autónomo y capaz de enseñar el puesto a otra persona.</t>
  </si>
  <si>
    <t xml:space="preserve">Qué es un puesto en riesgo</t>
  </si>
  <si>
    <t xml:space="preserve">Un puesto con un solo operario autónomo (nivel 3 o 4). Si esa persona falta, el puesto se para o lo cubre alguien que no está preparado. Sin cobertura = ningún autónomo. La regla práctica de muchas plantas es tener al menos tres personas autónomas por puesto crítico, repartidas entre turnos.</t>
  </si>
  <si>
    <t xml:space="preserve">Cuándo se queda corta una hoja de cálculo</t>
  </si>
  <si>
    <t xml:space="preserve">Construirla es fácil; mantenerla, no. A los pocos meses deja de reflejar la realidad: nadie la actualiza cuando alguien aprende un puesto nuevo o lleva tiempo sin hacerlo, y el nivel 3 de hace un año ya no es el de hoy. En REELEVO la matriz se alimenta de cada ejecución registrada en el puesto y avisa de los puestos que se quedan sin cobertura.</t>
  </si>
  <si>
    <t xml:space="preserve">Más información: gmvsolutions.es/gestion-competencias/</t>
  </si>
  <si>
    <t xml:space="preserve">Resumen de cobertura (se calcula solo)</t>
  </si>
  <si>
    <t xml:space="preserve">No escribas aquí. Riesgo = un solo autónomo en el puesto. Sin cobertura = ninguno.</t>
  </si>
  <si>
    <t xml:space="preserve">Puestos en la matriz</t>
  </si>
  <si>
    <t xml:space="preserve">Operarios en la matriz</t>
  </si>
  <si>
    <t xml:space="preserve">Puestos sin cobertura (ningún autónomo)</t>
  </si>
  <si>
    <t xml:space="preserve">Puestos en riesgo (un solo autónomo)</t>
  </si>
  <si>
    <t xml:space="preserve">Puestos con al menos dos autónomos</t>
  </si>
  <si>
    <t xml:space="preserve">Puesto</t>
  </si>
  <si>
    <t xml:space="preserve">Autónomos</t>
  </si>
  <si>
    <t xml:space="preserve">Pueden formar</t>
  </si>
  <si>
    <t xml:space="preserve">Estado</t>
  </si>
  <si>
    <t xml:space="preserve">Matriz de polivalencia</t>
  </si>
  <si>
    <t xml:space="preserve">Rellena lo amarillo: puestos, operarios, turno y niveles (0 No formado · 1 En formación · 2 Con supervisión · 3 Autónomo · 4 Puede formar).</t>
  </si>
  <si>
    <t xml:space="preserve">Operario</t>
  </si>
  <si>
    <t xml:space="preserve">Turno</t>
  </si>
  <si>
    <t xml:space="preserve">Inyectora 1</t>
  </si>
  <si>
    <t xml:space="preserve">Inyectora 2</t>
  </si>
  <si>
    <t xml:space="preserve">Montaje</t>
  </si>
  <si>
    <t xml:space="preserve">Control calidad</t>
  </si>
  <si>
    <t xml:space="preserve">Envasado</t>
  </si>
  <si>
    <t xml:space="preserve">Carretilla</t>
  </si>
  <si>
    <t xml:space="preserve">Puestos en los que es autónomo</t>
  </si>
  <si>
    <t xml:space="preserve">Puestos que puede enseñar</t>
  </si>
  <si>
    <t xml:space="preserve">Ana R.</t>
  </si>
  <si>
    <t xml:space="preserve">Mañana</t>
  </si>
  <si>
    <t xml:space="preserve">Luis M.</t>
  </si>
  <si>
    <t xml:space="preserve">Carmen S.</t>
  </si>
  <si>
    <t xml:space="preserve">Tarde</t>
  </si>
  <si>
    <t xml:space="preserve">Javier T.</t>
  </si>
  <si>
    <t xml:space="preserve">Marta G.</t>
  </si>
  <si>
    <t xml:space="preserve">Noche</t>
  </si>
  <si>
    <t xml:space="preserve">Pedro L.</t>
  </si>
  <si>
    <t xml:space="preserve">Sara P.</t>
  </si>
  <si>
    <t xml:space="preserve">Diego F.</t>
  </si>
  <si>
    <t xml:space="preserve">Autónomos (nivel 3 o 4)</t>
  </si>
  <si>
    <t xml:space="preserve">Pueden formar (nivel 4)</t>
  </si>
  <si>
    <t xml:space="preserve">Estado del puesto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</si>
</sst>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4521E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12"/>
      <color rgb="FF0A0A0A"/>
      <name val="Arial"/>
      <family val="0"/>
      <charset val="1"/>
    </font>
    <font>
      <b val="true"/>
      <sz val="14"/>
      <color rgb="FFF4521E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A0A0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4521E"/>
        <bgColor rgb="FFB3360C"/>
      </patternFill>
    </fill>
    <fill>
      <patternFill patternType="solid">
        <fgColor rgb="FFFFF4CC"/>
        <bgColor rgb="FFFFF0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B3360C"/>
        <sz val="12"/>
      </font>
      <fill>
        <patternFill>
          <bgColor rgb="FFFDE2D8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F4521E"/>
        </patternFill>
      </fill>
    </dxf>
    <dxf>
      <font>
        <name val="Arial"/>
        <charset val="1"/>
        <family val="0"/>
        <b val="1"/>
        <color rgb="FFB3360C"/>
        <sz val="10"/>
      </font>
      <fill>
        <patternFill>
          <bgColor rgb="FFFDE2D8"/>
        </patternFill>
      </fill>
    </dxf>
    <dxf>
      <font>
        <name val="Arial"/>
        <charset val="1"/>
        <family val="0"/>
        <b val="1"/>
        <color rgb="FF1E6B3A"/>
        <sz val="10"/>
      </font>
      <fill>
        <patternFill>
          <bgColor rgb="FFD9F2E1"/>
        </patternFill>
      </fill>
    </dxf>
    <dxf>
      <font>
        <name val="Arial"/>
        <charset val="1"/>
        <family val="0"/>
        <color rgb="FF8A2A0A"/>
        <sz val="10"/>
      </font>
      <fill>
        <patternFill>
          <bgColor rgb="FFFDE2D8"/>
        </patternFill>
      </fill>
    </dxf>
    <dxf>
      <font>
        <name val="Arial"/>
        <charset val="1"/>
        <family val="0"/>
        <color rgb="FF6B4E00"/>
        <sz val="10"/>
      </font>
      <fill>
        <patternFill>
          <bgColor rgb="FFFFF0C2"/>
        </patternFill>
      </fill>
    </dxf>
    <dxf>
      <font>
        <name val="Arial"/>
        <charset val="1"/>
        <family val="0"/>
        <b val="1"/>
        <color rgb="FF0F4A25"/>
        <sz val="10"/>
      </font>
      <fill>
        <patternFill>
          <bgColor rgb="FF9FDD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A0A0A"/>
      <rgbColor rgb="FF808000"/>
      <rgbColor rgb="FF800080"/>
      <rgbColor rgb="FF008080"/>
      <rgbColor rgb="FFC0C0C0"/>
      <rgbColor rgb="FF808080"/>
      <rgbColor rgb="FF9999FF"/>
      <rgbColor rgb="FFB3360C"/>
      <rgbColor rgb="FFFFF4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1"/>
      <rgbColor rgb="FFFFF0C2"/>
      <rgbColor rgb="FF9FDDB4"/>
      <rgbColor rgb="FFFF99CC"/>
      <rgbColor rgb="FFCC99FF"/>
      <rgbColor rgb="FFFDE2D8"/>
      <rgbColor rgb="FF3366FF"/>
      <rgbColor rgb="FF33CCCC"/>
      <rgbColor rgb="FF99CC00"/>
      <rgbColor rgb="FFFFCC00"/>
      <rgbColor rgb="FFFF9900"/>
      <rgbColor rgb="FFF4521E"/>
      <rgbColor rgb="FF6B6B6B"/>
      <rgbColor rgb="FF969696"/>
      <rgbColor rgb="FF003366"/>
      <rgbColor rgb="FF339966"/>
      <rgbColor rgb="FF0F4A25"/>
      <rgbColor rgb="FF6B4E00"/>
      <rgbColor rgb="FF8A2A0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45" hidden="false" customHeight="tru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7" customFormat="false" ht="30" hidden="false" customHeight="true" outlineLevel="0" collapsed="false">
      <c r="B7" s="3" t="s">
        <v>4</v>
      </c>
    </row>
    <row r="8" customFormat="false" ht="15.75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2" customFormat="false" ht="15.75" hidden="false" customHeight="true" outlineLevel="0" collapsed="false">
      <c r="B12" s="3" t="s">
        <v>8</v>
      </c>
    </row>
    <row r="13" customFormat="false" ht="15.75" hidden="false" customHeight="true" outlineLevel="0" collapsed="false">
      <c r="B13" s="3" t="s">
        <v>9</v>
      </c>
    </row>
    <row r="14" customFormat="false" ht="15.75" hidden="false" customHeight="true" outlineLevel="0" collapsed="false">
      <c r="B14" s="3" t="s">
        <v>10</v>
      </c>
    </row>
    <row r="15" customFormat="false" ht="15.75" hidden="false" customHeight="true" outlineLevel="0" collapsed="false">
      <c r="B15" s="3" t="s">
        <v>11</v>
      </c>
    </row>
    <row r="16" customFormat="false" ht="15.75" hidden="false" customHeight="true" outlineLevel="0" collapsed="false">
      <c r="B16" s="3" t="s">
        <v>12</v>
      </c>
    </row>
    <row r="17" customFormat="false" ht="15" hidden="false" customHeight="false" outlineLevel="0" collapsed="false">
      <c r="B17" s="4" t="s">
        <v>13</v>
      </c>
    </row>
    <row r="19" customFormat="false" ht="45" hidden="false" customHeight="true" outlineLevel="0" collapsed="false">
      <c r="B19" s="3" t="s">
        <v>14</v>
      </c>
    </row>
    <row r="20" customFormat="false" ht="15" hidden="false" customHeight="false" outlineLevel="0" collapsed="false">
      <c r="B20" s="4" t="s">
        <v>15</v>
      </c>
    </row>
    <row r="22" customFormat="false" ht="45" hidden="false" customHeight="true" outlineLevel="0" collapsed="false">
      <c r="B22" s="3" t="s">
        <v>16</v>
      </c>
    </row>
    <row r="23" customFormat="false" ht="15.75" hidden="false" customHeight="true" outlineLevel="0" collapsed="false">
      <c r="B23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5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6" t="s">
        <v>20</v>
      </c>
      <c r="B4" s="7" t="n">
        <f aca="false">COUNTA(Matriz!$C$4:$AF$4)</f>
        <v>6</v>
      </c>
    </row>
    <row r="5" customFormat="false" ht="15" hidden="false" customHeight="false" outlineLevel="0" collapsed="false">
      <c r="A5" s="6" t="s">
        <v>21</v>
      </c>
      <c r="B5" s="7" t="n">
        <f aca="false">COUNTA(Matriz!$A$5:$A$64)</f>
        <v>8</v>
      </c>
    </row>
    <row r="6" customFormat="false" ht="15" hidden="false" customHeight="false" outlineLevel="0" collapsed="false">
      <c r="A6" s="6" t="s">
        <v>22</v>
      </c>
      <c r="B6" s="7" t="n">
        <f aca="false">COUNTIF(Matriz!$C$68:$AF$68,"Sin cobertura")</f>
        <v>0</v>
      </c>
    </row>
    <row r="7" customFormat="false" ht="15" hidden="false" customHeight="false" outlineLevel="0" collapsed="false">
      <c r="A7" s="6" t="s">
        <v>23</v>
      </c>
      <c r="B7" s="7" t="n">
        <f aca="false">COUNTIF(Matriz!$C$68:$AF$68,"Riesgo")</f>
        <v>2</v>
      </c>
    </row>
    <row r="8" customFormat="false" ht="15" hidden="false" customHeight="false" outlineLevel="0" collapsed="false">
      <c r="A8" s="6" t="s">
        <v>24</v>
      </c>
      <c r="B8" s="7" t="n">
        <f aca="false">COUNTIF(Matriz!$C$68:$AF$68,"OK")</f>
        <v>4</v>
      </c>
    </row>
    <row r="11" customFormat="false" ht="15" hidden="false" customHeight="false" outlineLevel="0" collapsed="false">
      <c r="A11" s="8" t="s">
        <v>25</v>
      </c>
      <c r="B11" s="8" t="s">
        <v>26</v>
      </c>
      <c r="C11" s="8" t="s">
        <v>27</v>
      </c>
      <c r="D11" s="8" t="s">
        <v>28</v>
      </c>
    </row>
    <row r="12" customFormat="false" ht="15" hidden="false" customHeight="false" outlineLevel="0" collapsed="false">
      <c r="A12" s="9" t="str">
        <f aca="false">Matriz!C4&amp;""</f>
        <v>Inyectora 1</v>
      </c>
      <c r="B12" s="10" t="str">
        <f aca="false">Matriz!C66&amp;""</f>
        <v>2</v>
      </c>
      <c r="C12" s="10" t="str">
        <f aca="false">Matriz!C67&amp;""</f>
        <v>1</v>
      </c>
      <c r="D12" s="11" t="str">
        <f aca="false">Matriz!C68&amp;""</f>
        <v>OK</v>
      </c>
    </row>
    <row r="13" customFormat="false" ht="15" hidden="false" customHeight="false" outlineLevel="0" collapsed="false">
      <c r="A13" s="9" t="str">
        <f aca="false">Matriz!D4&amp;""</f>
        <v>Inyectora 2</v>
      </c>
      <c r="B13" s="10" t="str">
        <f aca="false">Matriz!D66&amp;""</f>
        <v>1</v>
      </c>
      <c r="C13" s="10" t="str">
        <f aca="false">Matriz!D67&amp;""</f>
        <v>0</v>
      </c>
      <c r="D13" s="11" t="str">
        <f aca="false">Matriz!D68&amp;""</f>
        <v>Riesgo</v>
      </c>
    </row>
    <row r="14" customFormat="false" ht="15" hidden="false" customHeight="false" outlineLevel="0" collapsed="false">
      <c r="A14" s="9" t="str">
        <f aca="false">Matriz!E4&amp;""</f>
        <v>Montaje</v>
      </c>
      <c r="B14" s="10" t="str">
        <f aca="false">Matriz!E66&amp;""</f>
        <v>4</v>
      </c>
      <c r="C14" s="10" t="str">
        <f aca="false">Matriz!E67&amp;""</f>
        <v>1</v>
      </c>
      <c r="D14" s="11" t="str">
        <f aca="false">Matriz!E68&amp;""</f>
        <v>OK</v>
      </c>
    </row>
    <row r="15" customFormat="false" ht="15" hidden="false" customHeight="false" outlineLevel="0" collapsed="false">
      <c r="A15" s="9" t="str">
        <f aca="false">Matriz!F4&amp;""</f>
        <v>Control calidad</v>
      </c>
      <c r="B15" s="10" t="str">
        <f aca="false">Matriz!F66&amp;""</f>
        <v>1</v>
      </c>
      <c r="C15" s="10" t="str">
        <f aca="false">Matriz!F67&amp;""</f>
        <v>0</v>
      </c>
      <c r="D15" s="11" t="str">
        <f aca="false">Matriz!F68&amp;""</f>
        <v>Riesgo</v>
      </c>
    </row>
    <row r="16" customFormat="false" ht="15" hidden="false" customHeight="false" outlineLevel="0" collapsed="false">
      <c r="A16" s="9" t="str">
        <f aca="false">Matriz!G4&amp;""</f>
        <v>Envasado</v>
      </c>
      <c r="B16" s="10" t="str">
        <f aca="false">Matriz!G66&amp;""</f>
        <v>5</v>
      </c>
      <c r="C16" s="10" t="str">
        <f aca="false">Matriz!G67&amp;""</f>
        <v>1</v>
      </c>
      <c r="D16" s="11" t="str">
        <f aca="false">Matriz!G68&amp;""</f>
        <v>OK</v>
      </c>
    </row>
    <row r="17" customFormat="false" ht="15" hidden="false" customHeight="false" outlineLevel="0" collapsed="false">
      <c r="A17" s="9" t="str">
        <f aca="false">Matriz!H4&amp;""</f>
        <v>Carretilla</v>
      </c>
      <c r="B17" s="10" t="str">
        <f aca="false">Matriz!H66&amp;""</f>
        <v>3</v>
      </c>
      <c r="C17" s="10" t="str">
        <f aca="false">Matriz!H67&amp;""</f>
        <v>1</v>
      </c>
      <c r="D17" s="11" t="str">
        <f aca="false">Matriz!H68&amp;""</f>
        <v>OK</v>
      </c>
    </row>
    <row r="18" customFormat="false" ht="15" hidden="false" customHeight="false" outlineLevel="0" collapsed="false">
      <c r="A18" s="9" t="str">
        <f aca="false">Matriz!I4&amp;""</f>
        <v/>
      </c>
      <c r="B18" s="10" t="str">
        <f aca="false">Matriz!I66&amp;""</f>
        <v/>
      </c>
      <c r="C18" s="10" t="str">
        <f aca="false">Matriz!I67&amp;""</f>
        <v/>
      </c>
      <c r="D18" s="11" t="str">
        <f aca="false">Matriz!I68&amp;""</f>
        <v/>
      </c>
    </row>
    <row r="19" customFormat="false" ht="15" hidden="false" customHeight="false" outlineLevel="0" collapsed="false">
      <c r="A19" s="9" t="str">
        <f aca="false">Matriz!J4&amp;""</f>
        <v/>
      </c>
      <c r="B19" s="10" t="str">
        <f aca="false">Matriz!J66&amp;""</f>
        <v/>
      </c>
      <c r="C19" s="10" t="str">
        <f aca="false">Matriz!J67&amp;""</f>
        <v/>
      </c>
      <c r="D19" s="11" t="str">
        <f aca="false">Matriz!J68&amp;""</f>
        <v/>
      </c>
    </row>
    <row r="20" customFormat="false" ht="15" hidden="false" customHeight="false" outlineLevel="0" collapsed="false">
      <c r="A20" s="9" t="str">
        <f aca="false">Matriz!K4&amp;""</f>
        <v/>
      </c>
      <c r="B20" s="10" t="str">
        <f aca="false">Matriz!K66&amp;""</f>
        <v/>
      </c>
      <c r="C20" s="10" t="str">
        <f aca="false">Matriz!K67&amp;""</f>
        <v/>
      </c>
      <c r="D20" s="11" t="str">
        <f aca="false">Matriz!K68&amp;""</f>
        <v/>
      </c>
    </row>
    <row r="21" customFormat="false" ht="15" hidden="false" customHeight="false" outlineLevel="0" collapsed="false">
      <c r="A21" s="9" t="str">
        <f aca="false">Matriz!L4&amp;""</f>
        <v/>
      </c>
      <c r="B21" s="10" t="str">
        <f aca="false">Matriz!L66&amp;""</f>
        <v/>
      </c>
      <c r="C21" s="10" t="str">
        <f aca="false">Matriz!L67&amp;""</f>
        <v/>
      </c>
      <c r="D21" s="11" t="str">
        <f aca="false">Matriz!L68&amp;""</f>
        <v/>
      </c>
    </row>
    <row r="22" customFormat="false" ht="15" hidden="false" customHeight="false" outlineLevel="0" collapsed="false">
      <c r="A22" s="9" t="str">
        <f aca="false">Matriz!M4&amp;""</f>
        <v/>
      </c>
      <c r="B22" s="10" t="str">
        <f aca="false">Matriz!M66&amp;""</f>
        <v/>
      </c>
      <c r="C22" s="10" t="str">
        <f aca="false">Matriz!M67&amp;""</f>
        <v/>
      </c>
      <c r="D22" s="11" t="str">
        <f aca="false">Matriz!M68&amp;""</f>
        <v/>
      </c>
    </row>
    <row r="23" customFormat="false" ht="15" hidden="false" customHeight="false" outlineLevel="0" collapsed="false">
      <c r="A23" s="9" t="str">
        <f aca="false">Matriz!N4&amp;""</f>
        <v/>
      </c>
      <c r="B23" s="10" t="str">
        <f aca="false">Matriz!N66&amp;""</f>
        <v/>
      </c>
      <c r="C23" s="10" t="str">
        <f aca="false">Matriz!N67&amp;""</f>
        <v/>
      </c>
      <c r="D23" s="11" t="str">
        <f aca="false">Matriz!N68&amp;""</f>
        <v/>
      </c>
    </row>
    <row r="24" customFormat="false" ht="15" hidden="false" customHeight="false" outlineLevel="0" collapsed="false">
      <c r="A24" s="9" t="str">
        <f aca="false">Matriz!O4&amp;""</f>
        <v/>
      </c>
      <c r="B24" s="10" t="str">
        <f aca="false">Matriz!O66&amp;""</f>
        <v/>
      </c>
      <c r="C24" s="10" t="str">
        <f aca="false">Matriz!O67&amp;""</f>
        <v/>
      </c>
      <c r="D24" s="11" t="str">
        <f aca="false">Matriz!O68&amp;""</f>
        <v/>
      </c>
    </row>
    <row r="25" customFormat="false" ht="15" hidden="false" customHeight="false" outlineLevel="0" collapsed="false">
      <c r="A25" s="9" t="str">
        <f aca="false">Matriz!P4&amp;""</f>
        <v/>
      </c>
      <c r="B25" s="10" t="str">
        <f aca="false">Matriz!P66&amp;""</f>
        <v/>
      </c>
      <c r="C25" s="10" t="str">
        <f aca="false">Matriz!P67&amp;""</f>
        <v/>
      </c>
      <c r="D25" s="11" t="str">
        <f aca="false">Matriz!P68&amp;""</f>
        <v/>
      </c>
    </row>
    <row r="26" customFormat="false" ht="15" hidden="false" customHeight="false" outlineLevel="0" collapsed="false">
      <c r="A26" s="9" t="str">
        <f aca="false">Matriz!Q4&amp;""</f>
        <v/>
      </c>
      <c r="B26" s="10" t="str">
        <f aca="false">Matriz!Q66&amp;""</f>
        <v/>
      </c>
      <c r="C26" s="10" t="str">
        <f aca="false">Matriz!Q67&amp;""</f>
        <v/>
      </c>
      <c r="D26" s="11" t="str">
        <f aca="false">Matriz!Q68&amp;""</f>
        <v/>
      </c>
    </row>
    <row r="27" customFormat="false" ht="15" hidden="false" customHeight="false" outlineLevel="0" collapsed="false">
      <c r="A27" s="9" t="str">
        <f aca="false">Matriz!R4&amp;""</f>
        <v/>
      </c>
      <c r="B27" s="10" t="str">
        <f aca="false">Matriz!R66&amp;""</f>
        <v/>
      </c>
      <c r="C27" s="10" t="str">
        <f aca="false">Matriz!R67&amp;""</f>
        <v/>
      </c>
      <c r="D27" s="11" t="str">
        <f aca="false">Matriz!R68&amp;""</f>
        <v/>
      </c>
    </row>
    <row r="28" customFormat="false" ht="15" hidden="false" customHeight="false" outlineLevel="0" collapsed="false">
      <c r="A28" s="9" t="str">
        <f aca="false">Matriz!S4&amp;""</f>
        <v/>
      </c>
      <c r="B28" s="10" t="str">
        <f aca="false">Matriz!S66&amp;""</f>
        <v/>
      </c>
      <c r="C28" s="10" t="str">
        <f aca="false">Matriz!S67&amp;""</f>
        <v/>
      </c>
      <c r="D28" s="11" t="str">
        <f aca="false">Matriz!S68&amp;""</f>
        <v/>
      </c>
    </row>
    <row r="29" customFormat="false" ht="15" hidden="false" customHeight="false" outlineLevel="0" collapsed="false">
      <c r="A29" s="9" t="str">
        <f aca="false">Matriz!T4&amp;""</f>
        <v/>
      </c>
      <c r="B29" s="10" t="str">
        <f aca="false">Matriz!T66&amp;""</f>
        <v/>
      </c>
      <c r="C29" s="10" t="str">
        <f aca="false">Matriz!T67&amp;""</f>
        <v/>
      </c>
      <c r="D29" s="11" t="str">
        <f aca="false">Matriz!T68&amp;""</f>
        <v/>
      </c>
    </row>
    <row r="30" customFormat="false" ht="15" hidden="false" customHeight="false" outlineLevel="0" collapsed="false">
      <c r="A30" s="9" t="str">
        <f aca="false">Matriz!U4&amp;""</f>
        <v/>
      </c>
      <c r="B30" s="10" t="str">
        <f aca="false">Matriz!U66&amp;""</f>
        <v/>
      </c>
      <c r="C30" s="10" t="str">
        <f aca="false">Matriz!U67&amp;""</f>
        <v/>
      </c>
      <c r="D30" s="11" t="str">
        <f aca="false">Matriz!U68&amp;""</f>
        <v/>
      </c>
    </row>
    <row r="31" customFormat="false" ht="15" hidden="false" customHeight="false" outlineLevel="0" collapsed="false">
      <c r="A31" s="9" t="str">
        <f aca="false">Matriz!V4&amp;""</f>
        <v/>
      </c>
      <c r="B31" s="10" t="str">
        <f aca="false">Matriz!V66&amp;""</f>
        <v/>
      </c>
      <c r="C31" s="10" t="str">
        <f aca="false">Matriz!V67&amp;""</f>
        <v/>
      </c>
      <c r="D31" s="11" t="str">
        <f aca="false">Matriz!V68&amp;""</f>
        <v/>
      </c>
    </row>
    <row r="32" customFormat="false" ht="15" hidden="false" customHeight="false" outlineLevel="0" collapsed="false">
      <c r="A32" s="9" t="str">
        <f aca="false">Matriz!W4&amp;""</f>
        <v/>
      </c>
      <c r="B32" s="10" t="str">
        <f aca="false">Matriz!W66&amp;""</f>
        <v/>
      </c>
      <c r="C32" s="10" t="str">
        <f aca="false">Matriz!W67&amp;""</f>
        <v/>
      </c>
      <c r="D32" s="11" t="str">
        <f aca="false">Matriz!W68&amp;""</f>
        <v/>
      </c>
    </row>
    <row r="33" customFormat="false" ht="15" hidden="false" customHeight="false" outlineLevel="0" collapsed="false">
      <c r="A33" s="9" t="str">
        <f aca="false">Matriz!X4&amp;""</f>
        <v/>
      </c>
      <c r="B33" s="10" t="str">
        <f aca="false">Matriz!X66&amp;""</f>
        <v/>
      </c>
      <c r="C33" s="10" t="str">
        <f aca="false">Matriz!X67&amp;""</f>
        <v/>
      </c>
      <c r="D33" s="11" t="str">
        <f aca="false">Matriz!X68&amp;""</f>
        <v/>
      </c>
    </row>
    <row r="34" customFormat="false" ht="15" hidden="false" customHeight="false" outlineLevel="0" collapsed="false">
      <c r="A34" s="9" t="str">
        <f aca="false">Matriz!Y4&amp;""</f>
        <v/>
      </c>
      <c r="B34" s="10" t="str">
        <f aca="false">Matriz!Y66&amp;""</f>
        <v/>
      </c>
      <c r="C34" s="10" t="str">
        <f aca="false">Matriz!Y67&amp;""</f>
        <v/>
      </c>
      <c r="D34" s="11" t="str">
        <f aca="false">Matriz!Y68&amp;""</f>
        <v/>
      </c>
    </row>
    <row r="35" customFormat="false" ht="15" hidden="false" customHeight="false" outlineLevel="0" collapsed="false">
      <c r="A35" s="9" t="str">
        <f aca="false">Matriz!Z4&amp;""</f>
        <v/>
      </c>
      <c r="B35" s="10" t="str">
        <f aca="false">Matriz!Z66&amp;""</f>
        <v/>
      </c>
      <c r="C35" s="10" t="str">
        <f aca="false">Matriz!Z67&amp;""</f>
        <v/>
      </c>
      <c r="D35" s="11" t="str">
        <f aca="false">Matriz!Z68&amp;""</f>
        <v/>
      </c>
    </row>
    <row r="36" customFormat="false" ht="15" hidden="false" customHeight="false" outlineLevel="0" collapsed="false">
      <c r="A36" s="9" t="str">
        <f aca="false">Matriz!AA4&amp;""</f>
        <v/>
      </c>
      <c r="B36" s="10" t="str">
        <f aca="false">Matriz!AA66&amp;""</f>
        <v/>
      </c>
      <c r="C36" s="10" t="str">
        <f aca="false">Matriz!AA67&amp;""</f>
        <v/>
      </c>
      <c r="D36" s="11" t="str">
        <f aca="false">Matriz!AA68&amp;""</f>
        <v/>
      </c>
    </row>
    <row r="37" customFormat="false" ht="15" hidden="false" customHeight="false" outlineLevel="0" collapsed="false">
      <c r="A37" s="9" t="str">
        <f aca="false">Matriz!AB4&amp;""</f>
        <v/>
      </c>
      <c r="B37" s="10" t="str">
        <f aca="false">Matriz!AB66&amp;""</f>
        <v/>
      </c>
      <c r="C37" s="10" t="str">
        <f aca="false">Matriz!AB67&amp;""</f>
        <v/>
      </c>
      <c r="D37" s="11" t="str">
        <f aca="false">Matriz!AB68&amp;""</f>
        <v/>
      </c>
    </row>
    <row r="38" customFormat="false" ht="15" hidden="false" customHeight="false" outlineLevel="0" collapsed="false">
      <c r="A38" s="9" t="str">
        <f aca="false">Matriz!AC4&amp;""</f>
        <v/>
      </c>
      <c r="B38" s="10" t="str">
        <f aca="false">Matriz!AC66&amp;""</f>
        <v/>
      </c>
      <c r="C38" s="10" t="str">
        <f aca="false">Matriz!AC67&amp;""</f>
        <v/>
      </c>
      <c r="D38" s="11" t="str">
        <f aca="false">Matriz!AC68&amp;""</f>
        <v/>
      </c>
    </row>
    <row r="39" customFormat="false" ht="15" hidden="false" customHeight="false" outlineLevel="0" collapsed="false">
      <c r="A39" s="9" t="str">
        <f aca="false">Matriz!AD4&amp;""</f>
        <v/>
      </c>
      <c r="B39" s="10" t="str">
        <f aca="false">Matriz!AD66&amp;""</f>
        <v/>
      </c>
      <c r="C39" s="10" t="str">
        <f aca="false">Matriz!AD67&amp;""</f>
        <v/>
      </c>
      <c r="D39" s="11" t="str">
        <f aca="false">Matriz!AD68&amp;""</f>
        <v/>
      </c>
    </row>
    <row r="40" customFormat="false" ht="15" hidden="false" customHeight="false" outlineLevel="0" collapsed="false">
      <c r="A40" s="9" t="str">
        <f aca="false">Matriz!AE4&amp;""</f>
        <v/>
      </c>
      <c r="B40" s="10" t="str">
        <f aca="false">Matriz!AE66&amp;""</f>
        <v/>
      </c>
      <c r="C40" s="10" t="str">
        <f aca="false">Matriz!AE67&amp;""</f>
        <v/>
      </c>
      <c r="D40" s="11" t="str">
        <f aca="false">Matriz!AE68&amp;""</f>
        <v/>
      </c>
    </row>
    <row r="41" customFormat="false" ht="15" hidden="false" customHeight="false" outlineLevel="0" collapsed="false">
      <c r="A41" s="9" t="str">
        <f aca="false">Matriz!AF4&amp;""</f>
        <v/>
      </c>
      <c r="B41" s="10" t="str">
        <f aca="false">Matriz!AF66&amp;""</f>
        <v/>
      </c>
      <c r="C41" s="10" t="str">
        <f aca="false">Matriz!AF67&amp;""</f>
        <v/>
      </c>
      <c r="D41" s="11" t="str">
        <f aca="false">Matriz!AF68&amp;""</f>
        <v/>
      </c>
    </row>
  </sheetData>
  <conditionalFormatting sqref="B6">
    <cfRule type="cellIs" priority="2" operator="greaterThan" aboveAverage="0" equalAverage="0" bottom="0" percent="0" rank="0" text="" dxfId="0">
      <formula>0</formula>
    </cfRule>
  </conditionalFormatting>
  <conditionalFormatting sqref="B7">
    <cfRule type="cellIs" priority="3" operator="greaterThan" aboveAverage="0" equalAverage="0" bottom="0" percent="0" rank="0" text="" dxfId="0">
      <formula>0</formula>
    </cfRule>
  </conditionalFormatting>
  <conditionalFormatting sqref="D12:D41">
    <cfRule type="cellIs" priority="4" operator="equal" aboveAverage="0" equalAverage="0" bottom="0" percent="0" rank="0" text="" dxfId="1">
      <formula>"Sin cobertura"</formula>
    </cfRule>
    <cfRule type="cellIs" priority="5" operator="equal" aboveAverage="0" equalAverage="0" bottom="0" percent="0" rank="0" text="" dxfId="2">
      <formula>"Riesgo"</formula>
    </cfRule>
    <cfRule type="cellIs" priority="6" operator="equal" aboveAverage="0" equalAverage="0" bottom="0" percent="0" rank="0" text="" dxfId="3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2" min="3" style="0" width="12"/>
    <col collapsed="false" customWidth="true" hidden="false" outlineLevel="0" max="34" min="33" style="0" width="14"/>
  </cols>
  <sheetData>
    <row r="1" customFormat="false" ht="17.35" hidden="false" customHeight="false" outlineLevel="0" collapsed="false">
      <c r="A1" s="5" t="s">
        <v>29</v>
      </c>
    </row>
    <row r="2" customFormat="false" ht="15" hidden="false" customHeight="false" outlineLevel="0" collapsed="false">
      <c r="A2" s="2" t="s">
        <v>30</v>
      </c>
    </row>
    <row r="4" customFormat="false" ht="48" hidden="false" customHeight="true" outlineLevel="0" collapsed="false">
      <c r="A4" s="8" t="s">
        <v>31</v>
      </c>
      <c r="B4" s="8" t="s">
        <v>32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8" t="s">
        <v>39</v>
      </c>
      <c r="AH4" s="8" t="s">
        <v>40</v>
      </c>
    </row>
    <row r="5" customFormat="false" ht="15" hidden="false" customHeight="false" outlineLevel="0" collapsed="false">
      <c r="A5" s="13" t="s">
        <v>41</v>
      </c>
      <c r="B5" s="13" t="s">
        <v>42</v>
      </c>
      <c r="C5" s="14" t="n">
        <v>4</v>
      </c>
      <c r="D5" s="14" t="n">
        <v>3</v>
      </c>
      <c r="E5" s="14" t="n">
        <v>2</v>
      </c>
      <c r="F5" s="14" t="n">
        <v>1</v>
      </c>
      <c r="G5" s="14" t="n">
        <v>3</v>
      </c>
      <c r="H5" s="14" t="n">
        <v>0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 t="n">
        <f aca="false">IF($A5="","",COUNTIF(C5:AF5,"&gt;=3"))</f>
        <v>3</v>
      </c>
      <c r="AH5" s="15" t="n">
        <f aca="false">IF($A5="","",COUNTIF(C5:AF5,4))</f>
        <v>1</v>
      </c>
    </row>
    <row r="6" customFormat="false" ht="15" hidden="false" customHeight="false" outlineLevel="0" collapsed="false">
      <c r="A6" s="13" t="s">
        <v>43</v>
      </c>
      <c r="B6" s="13" t="s">
        <v>42</v>
      </c>
      <c r="C6" s="14" t="n">
        <v>3</v>
      </c>
      <c r="D6" s="14" t="n">
        <v>2</v>
      </c>
      <c r="E6" s="14" t="n">
        <v>4</v>
      </c>
      <c r="F6" s="14" t="n">
        <v>0</v>
      </c>
      <c r="G6" s="14" t="n">
        <v>2</v>
      </c>
      <c r="H6" s="14" t="n">
        <v>3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5" t="n">
        <f aca="false">IF($A6="","",COUNTIF(C6:AF6,"&gt;=3"))</f>
        <v>3</v>
      </c>
      <c r="AH6" s="15" t="n">
        <f aca="false">IF($A6="","",COUNTIF(C6:AF6,4))</f>
        <v>1</v>
      </c>
    </row>
    <row r="7" customFormat="false" ht="15" hidden="false" customHeight="false" outlineLevel="0" collapsed="false">
      <c r="A7" s="13" t="s">
        <v>44</v>
      </c>
      <c r="B7" s="13" t="s">
        <v>45</v>
      </c>
      <c r="C7" s="14" t="n">
        <v>2</v>
      </c>
      <c r="D7" s="14" t="n">
        <v>1</v>
      </c>
      <c r="E7" s="14" t="n">
        <v>3</v>
      </c>
      <c r="F7" s="14" t="n">
        <v>3</v>
      </c>
      <c r="G7" s="14" t="n">
        <v>4</v>
      </c>
      <c r="H7" s="14" t="n">
        <v>0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5" t="n">
        <f aca="false">IF($A7="","",COUNTIF(C7:AF7,"&gt;=3"))</f>
        <v>3</v>
      </c>
      <c r="AH7" s="15" t="n">
        <f aca="false">IF($A7="","",COUNTIF(C7:AF7,4))</f>
        <v>1</v>
      </c>
    </row>
    <row r="8" customFormat="false" ht="15" hidden="false" customHeight="false" outlineLevel="0" collapsed="false">
      <c r="A8" s="13" t="s">
        <v>46</v>
      </c>
      <c r="B8" s="13" t="s">
        <v>45</v>
      </c>
      <c r="C8" s="14" t="n">
        <v>1</v>
      </c>
      <c r="D8" s="14" t="n">
        <v>0</v>
      </c>
      <c r="E8" s="14" t="n">
        <v>3</v>
      </c>
      <c r="F8" s="14" t="n">
        <v>0</v>
      </c>
      <c r="G8" s="14" t="n">
        <v>3</v>
      </c>
      <c r="H8" s="14" t="n">
        <v>3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5" t="n">
        <f aca="false">IF($A8="","",COUNTIF(C8:AF8,"&gt;=3"))</f>
        <v>3</v>
      </c>
      <c r="AH8" s="15" t="n">
        <f aca="false">IF($A8="","",COUNTIF(C8:AF8,4))</f>
        <v>0</v>
      </c>
    </row>
    <row r="9" customFormat="false" ht="15" hidden="false" customHeight="false" outlineLevel="0" collapsed="false">
      <c r="A9" s="13" t="s">
        <v>47</v>
      </c>
      <c r="B9" s="13" t="s">
        <v>48</v>
      </c>
      <c r="C9" s="14" t="n">
        <v>0</v>
      </c>
      <c r="D9" s="14" t="n">
        <v>0</v>
      </c>
      <c r="E9" s="14" t="n">
        <v>2</v>
      </c>
      <c r="F9" s="14" t="n">
        <v>0</v>
      </c>
      <c r="G9" s="14" t="n">
        <v>3</v>
      </c>
      <c r="H9" s="14" t="n">
        <v>0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5" t="n">
        <f aca="false">IF($A9="","",COUNTIF(C9:AF9,"&gt;=3"))</f>
        <v>1</v>
      </c>
      <c r="AH9" s="15" t="n">
        <f aca="false">IF($A9="","",COUNTIF(C9:AF9,4))</f>
        <v>0</v>
      </c>
    </row>
    <row r="10" customFormat="false" ht="15" hidden="false" customHeight="false" outlineLevel="0" collapsed="false">
      <c r="A10" s="13" t="s">
        <v>49</v>
      </c>
      <c r="B10" s="13" t="s">
        <v>48</v>
      </c>
      <c r="C10" s="14" t="n">
        <v>2</v>
      </c>
      <c r="D10" s="14" t="n">
        <v>1</v>
      </c>
      <c r="E10" s="14" t="n">
        <v>1</v>
      </c>
      <c r="F10" s="14" t="n">
        <v>0</v>
      </c>
      <c r="G10" s="14" t="n">
        <v>2</v>
      </c>
      <c r="H10" s="14" t="n">
        <v>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5" t="n">
        <f aca="false">IF($A10="","",COUNTIF(C10:AF10,"&gt;=3"))</f>
        <v>1</v>
      </c>
      <c r="AH10" s="15" t="n">
        <f aca="false">IF($A10="","",COUNTIF(C10:AF10,4))</f>
        <v>1</v>
      </c>
    </row>
    <row r="11" customFormat="false" ht="15" hidden="false" customHeight="false" outlineLevel="0" collapsed="false">
      <c r="A11" s="13" t="s">
        <v>50</v>
      </c>
      <c r="B11" s="13" t="s">
        <v>42</v>
      </c>
      <c r="C11" s="14" t="n">
        <v>1</v>
      </c>
      <c r="D11" s="14" t="n">
        <v>0</v>
      </c>
      <c r="E11" s="14" t="n">
        <v>3</v>
      </c>
      <c r="F11" s="14" t="n">
        <v>2</v>
      </c>
      <c r="G11" s="14" t="n">
        <v>3</v>
      </c>
      <c r="H11" s="14" t="n">
        <v>0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5" t="n">
        <f aca="false">IF($A11="","",COUNTIF(C11:AF11,"&gt;=3"))</f>
        <v>2</v>
      </c>
      <c r="AH11" s="15" t="n">
        <f aca="false">IF($A11="","",COUNTIF(C11:AF11,4))</f>
        <v>0</v>
      </c>
    </row>
    <row r="12" customFormat="false" ht="15" hidden="false" customHeight="false" outlineLevel="0" collapsed="false">
      <c r="A12" s="13" t="s">
        <v>51</v>
      </c>
      <c r="B12" s="13" t="s">
        <v>45</v>
      </c>
      <c r="C12" s="14" t="n">
        <v>0</v>
      </c>
      <c r="D12" s="14" t="n">
        <v>0</v>
      </c>
      <c r="E12" s="14" t="n">
        <v>1</v>
      </c>
      <c r="F12" s="14" t="n">
        <v>0</v>
      </c>
      <c r="G12" s="14" t="n">
        <v>1</v>
      </c>
      <c r="H12" s="14" t="n">
        <v>0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5" t="n">
        <f aca="false">IF($A12="","",COUNTIF(C12:AF12,"&gt;=3"))</f>
        <v>0</v>
      </c>
      <c r="AH12" s="15" t="n">
        <f aca="false">IF($A12="","",COUNTIF(C12:AF12,4))</f>
        <v>0</v>
      </c>
    </row>
    <row r="13" customFormat="false" ht="15" hidden="false" customHeight="false" outlineLevel="0" collapsed="false">
      <c r="A13" s="13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5" t="str">
        <f aca="false">IF($A13="","",COUNTIF(C13:AF13,"&gt;=3"))</f>
        <v/>
      </c>
      <c r="AH13" s="15" t="str">
        <f aca="false">IF($A13="","",COUNTIF(C13:AF13,4))</f>
        <v/>
      </c>
    </row>
    <row r="14" customFormat="false" ht="15" hidden="false" customHeight="false" outlineLevel="0" collapsed="false">
      <c r="A14" s="13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5" t="str">
        <f aca="false">IF($A14="","",COUNTIF(C14:AF14,"&gt;=3"))</f>
        <v/>
      </c>
      <c r="AH14" s="15" t="str">
        <f aca="false">IF($A14="","",COUNTIF(C14:AF14,4))</f>
        <v/>
      </c>
    </row>
    <row r="15" customFormat="false" ht="15" hidden="false" customHeight="false" outlineLevel="0" collapsed="false">
      <c r="A15" s="13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5" t="str">
        <f aca="false">IF($A15="","",COUNTIF(C15:AF15,"&gt;=3"))</f>
        <v/>
      </c>
      <c r="AH15" s="15" t="str">
        <f aca="false">IF($A15="","",COUNTIF(C15:AF15,4))</f>
        <v/>
      </c>
    </row>
    <row r="16" customFormat="false" ht="15" hidden="false" customHeight="false" outlineLevel="0" collapsed="false">
      <c r="A16" s="13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 t="str">
        <f aca="false">IF($A16="","",COUNTIF(C16:AF16,"&gt;=3"))</f>
        <v/>
      </c>
      <c r="AH16" s="15" t="str">
        <f aca="false">IF($A16="","",COUNTIF(C16:AF16,4))</f>
        <v/>
      </c>
    </row>
    <row r="17" customFormat="false" ht="15" hidden="false" customHeight="false" outlineLevel="0" collapsed="false">
      <c r="A17" s="13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5" t="str">
        <f aca="false">IF($A17="","",COUNTIF(C17:AF17,"&gt;=3"))</f>
        <v/>
      </c>
      <c r="AH17" s="15" t="str">
        <f aca="false">IF($A17="","",COUNTIF(C17:AF17,4))</f>
        <v/>
      </c>
    </row>
    <row r="18" customFormat="false" ht="15" hidden="false" customHeight="false" outlineLevel="0" collapsed="false">
      <c r="A18" s="13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 t="str">
        <f aca="false">IF($A18="","",COUNTIF(C18:AF18,"&gt;=3"))</f>
        <v/>
      </c>
      <c r="AH18" s="15" t="str">
        <f aca="false">IF($A18="","",COUNTIF(C18:AF18,4))</f>
        <v/>
      </c>
    </row>
    <row r="19" customFormat="false" ht="15" hidden="false" customHeight="false" outlineLevel="0" collapsed="false">
      <c r="A19" s="13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5" t="str">
        <f aca="false">IF($A19="","",COUNTIF(C19:AF19,"&gt;=3"))</f>
        <v/>
      </c>
      <c r="AH19" s="15" t="str">
        <f aca="false">IF($A19="","",COUNTIF(C19:AF19,4))</f>
        <v/>
      </c>
    </row>
    <row r="20" customFormat="false" ht="15" hidden="false" customHeight="false" outlineLevel="0" collapsed="false">
      <c r="A20" s="13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5" t="str">
        <f aca="false">IF($A20="","",COUNTIF(C20:AF20,"&gt;=3"))</f>
        <v/>
      </c>
      <c r="AH20" s="15" t="str">
        <f aca="false">IF($A20="","",COUNTIF(C20:AF20,4))</f>
        <v/>
      </c>
    </row>
    <row r="21" customFormat="false" ht="15" hidden="false" customHeight="false" outlineLevel="0" collapsed="false">
      <c r="A21" s="13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5" t="str">
        <f aca="false">IF($A21="","",COUNTIF(C21:AF21,"&gt;=3"))</f>
        <v/>
      </c>
      <c r="AH21" s="15" t="str">
        <f aca="false">IF($A21="","",COUNTIF(C21:AF21,4))</f>
        <v/>
      </c>
    </row>
    <row r="22" customFormat="false" ht="15" hidden="false" customHeight="false" outlineLevel="0" collapsed="false">
      <c r="A22" s="13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5" t="str">
        <f aca="false">IF($A22="","",COUNTIF(C22:AF22,"&gt;=3"))</f>
        <v/>
      </c>
      <c r="AH22" s="15" t="str">
        <f aca="false">IF($A22="","",COUNTIF(C22:AF22,4))</f>
        <v/>
      </c>
    </row>
    <row r="23" customFormat="false" ht="15" hidden="false" customHeight="false" outlineLevel="0" collapsed="false">
      <c r="A23" s="13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5" t="str">
        <f aca="false">IF($A23="","",COUNTIF(C23:AF23,"&gt;=3"))</f>
        <v/>
      </c>
      <c r="AH23" s="15" t="str">
        <f aca="false">IF($A23="","",COUNTIF(C23:AF23,4))</f>
        <v/>
      </c>
    </row>
    <row r="24" customFormat="false" ht="15" hidden="false" customHeight="false" outlineLevel="0" collapsed="false">
      <c r="A24" s="13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5" t="str">
        <f aca="false">IF($A24="","",COUNTIF(C24:AF24,"&gt;=3"))</f>
        <v/>
      </c>
      <c r="AH24" s="15" t="str">
        <f aca="false">IF($A24="","",COUNTIF(C24:AF24,4))</f>
        <v/>
      </c>
    </row>
    <row r="25" customFormat="false" ht="15" hidden="false" customHeight="false" outlineLevel="0" collapsed="false">
      <c r="A25" s="13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 t="str">
        <f aca="false">IF($A25="","",COUNTIF(C25:AF25,"&gt;=3"))</f>
        <v/>
      </c>
      <c r="AH25" s="15" t="str">
        <f aca="false">IF($A25="","",COUNTIF(C25:AF25,4))</f>
        <v/>
      </c>
    </row>
    <row r="26" customFormat="false" ht="15" hidden="false" customHeight="false" outlineLevel="0" collapsed="false">
      <c r="A26" s="13"/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5" t="str">
        <f aca="false">IF($A26="","",COUNTIF(C26:AF26,"&gt;=3"))</f>
        <v/>
      </c>
      <c r="AH26" s="15" t="str">
        <f aca="false">IF($A26="","",COUNTIF(C26:AF26,4))</f>
        <v/>
      </c>
    </row>
    <row r="27" customFormat="false" ht="15" hidden="false" customHeight="false" outlineLevel="0" collapsed="false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5" t="str">
        <f aca="false">IF($A27="","",COUNTIF(C27:AF27,"&gt;=3"))</f>
        <v/>
      </c>
      <c r="AH27" s="15" t="str">
        <f aca="false">IF($A27="","",COUNTIF(C27:AF27,4))</f>
        <v/>
      </c>
    </row>
    <row r="28" customFormat="false" ht="15" hidden="false" customHeight="false" outlineLevel="0" collapsed="false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5" t="str">
        <f aca="false">IF($A28="","",COUNTIF(C28:AF28,"&gt;=3"))</f>
        <v/>
      </c>
      <c r="AH28" s="15" t="str">
        <f aca="false">IF($A28="","",COUNTIF(C28:AF28,4))</f>
        <v/>
      </c>
    </row>
    <row r="29" customFormat="false" ht="15" hidden="false" customHeight="false" outlineLevel="0" collapsed="false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5" t="str">
        <f aca="false">IF($A29="","",COUNTIF(C29:AF29,"&gt;=3"))</f>
        <v/>
      </c>
      <c r="AH29" s="15" t="str">
        <f aca="false">IF($A29="","",COUNTIF(C29:AF29,4))</f>
        <v/>
      </c>
    </row>
    <row r="30" customFormat="false" ht="15" hidden="false" customHeight="false" outlineLevel="0" collapsed="false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5" t="str">
        <f aca="false">IF($A30="","",COUNTIF(C30:AF30,"&gt;=3"))</f>
        <v/>
      </c>
      <c r="AH30" s="15" t="str">
        <f aca="false">IF($A30="","",COUNTIF(C30:AF30,4))</f>
        <v/>
      </c>
    </row>
    <row r="31" customFormat="false" ht="15" hidden="false" customHeight="false" outlineLevel="0" collapsed="false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5" t="str">
        <f aca="false">IF($A31="","",COUNTIF(C31:AF31,"&gt;=3"))</f>
        <v/>
      </c>
      <c r="AH31" s="15" t="str">
        <f aca="false">IF($A31="","",COUNTIF(C31:AF31,4))</f>
        <v/>
      </c>
    </row>
    <row r="32" customFormat="false" ht="15" hidden="false" customHeight="false" outlineLevel="0" collapsed="false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5" t="str">
        <f aca="false">IF($A32="","",COUNTIF(C32:AF32,"&gt;=3"))</f>
        <v/>
      </c>
      <c r="AH32" s="15" t="str">
        <f aca="false">IF($A32="","",COUNTIF(C32:AF32,4))</f>
        <v/>
      </c>
    </row>
    <row r="33" customFormat="false" ht="15" hidden="false" customHeight="false" outlineLevel="0" collapsed="false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5" t="str">
        <f aca="false">IF($A33="","",COUNTIF(C33:AF33,"&gt;=3"))</f>
        <v/>
      </c>
      <c r="AH33" s="15" t="str">
        <f aca="false">IF($A33="","",COUNTIF(C33:AF33,4))</f>
        <v/>
      </c>
    </row>
    <row r="34" customFormat="false" ht="15" hidden="false" customHeight="false" outlineLevel="0" collapsed="false">
      <c r="A34" s="13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5" t="str">
        <f aca="false">IF($A34="","",COUNTIF(C34:AF34,"&gt;=3"))</f>
        <v/>
      </c>
      <c r="AH34" s="15" t="str">
        <f aca="false">IF($A34="","",COUNTIF(C34:AF34,4))</f>
        <v/>
      </c>
    </row>
    <row r="35" customFormat="false" ht="15" hidden="false" customHeight="false" outlineLevel="0" collapsed="false">
      <c r="A35" s="13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5" t="str">
        <f aca="false">IF($A35="","",COUNTIF(C35:AF35,"&gt;=3"))</f>
        <v/>
      </c>
      <c r="AH35" s="15" t="str">
        <f aca="false">IF($A35="","",COUNTIF(C35:AF35,4))</f>
        <v/>
      </c>
    </row>
    <row r="36" customFormat="false" ht="15" hidden="false" customHeight="false" outlineLevel="0" collapsed="false">
      <c r="A36" s="13"/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5" t="str">
        <f aca="false">IF($A36="","",COUNTIF(C36:AF36,"&gt;=3"))</f>
        <v/>
      </c>
      <c r="AH36" s="15" t="str">
        <f aca="false">IF($A36="","",COUNTIF(C36:AF36,4))</f>
        <v/>
      </c>
    </row>
    <row r="37" customFormat="false" ht="15" hidden="false" customHeight="false" outlineLevel="0" collapsed="false">
      <c r="A37" s="13"/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5" t="str">
        <f aca="false">IF($A37="","",COUNTIF(C37:AF37,"&gt;=3"))</f>
        <v/>
      </c>
      <c r="AH37" s="15" t="str">
        <f aca="false">IF($A37="","",COUNTIF(C37:AF37,4))</f>
        <v/>
      </c>
    </row>
    <row r="38" customFormat="false" ht="15" hidden="false" customHeight="false" outlineLevel="0" collapsed="false">
      <c r="A38" s="13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5" t="str">
        <f aca="false">IF($A38="","",COUNTIF(C38:AF38,"&gt;=3"))</f>
        <v/>
      </c>
      <c r="AH38" s="15" t="str">
        <f aca="false">IF($A38="","",COUNTIF(C38:AF38,4))</f>
        <v/>
      </c>
    </row>
    <row r="39" customFormat="false" ht="15" hidden="false" customHeight="false" outlineLevel="0" collapsed="false">
      <c r="A39" s="13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5" t="str">
        <f aca="false">IF($A39="","",COUNTIF(C39:AF39,"&gt;=3"))</f>
        <v/>
      </c>
      <c r="AH39" s="15" t="str">
        <f aca="false">IF($A39="","",COUNTIF(C39:AF39,4))</f>
        <v/>
      </c>
    </row>
    <row r="40" customFormat="false" ht="15" hidden="false" customHeight="false" outlineLevel="0" collapsed="false">
      <c r="A40" s="13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5" t="str">
        <f aca="false">IF($A40="","",COUNTIF(C40:AF40,"&gt;=3"))</f>
        <v/>
      </c>
      <c r="AH40" s="15" t="str">
        <f aca="false">IF($A40="","",COUNTIF(C40:AF40,4))</f>
        <v/>
      </c>
    </row>
    <row r="41" customFormat="false" ht="15" hidden="false" customHeight="false" outlineLevel="0" collapsed="false">
      <c r="A41" s="13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5" t="str">
        <f aca="false">IF($A41="","",COUNTIF(C41:AF41,"&gt;=3"))</f>
        <v/>
      </c>
      <c r="AH41" s="15" t="str">
        <f aca="false">IF($A41="","",COUNTIF(C41:AF41,4))</f>
        <v/>
      </c>
    </row>
    <row r="42" customFormat="false" ht="15" hidden="false" customHeight="false" outlineLevel="0" collapsed="false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5" t="str">
        <f aca="false">IF($A42="","",COUNTIF(C42:AF42,"&gt;=3"))</f>
        <v/>
      </c>
      <c r="AH42" s="15" t="str">
        <f aca="false">IF($A42="","",COUNTIF(C42:AF42,4))</f>
        <v/>
      </c>
    </row>
    <row r="43" customFormat="false" ht="15" hidden="false" customHeight="false" outlineLevel="0" collapsed="false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5" t="str">
        <f aca="false">IF($A43="","",COUNTIF(C43:AF43,"&gt;=3"))</f>
        <v/>
      </c>
      <c r="AH43" s="15" t="str">
        <f aca="false">IF($A43="","",COUNTIF(C43:AF43,4))</f>
        <v/>
      </c>
    </row>
    <row r="44" customFormat="false" ht="15" hidden="false" customHeight="false" outlineLevel="0" collapsed="false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5" t="str">
        <f aca="false">IF($A44="","",COUNTIF(C44:AF44,"&gt;=3"))</f>
        <v/>
      </c>
      <c r="AH44" s="15" t="str">
        <f aca="false">IF($A44="","",COUNTIF(C44:AF44,4))</f>
        <v/>
      </c>
    </row>
    <row r="45" customFormat="false" ht="15" hidden="false" customHeight="false" outlineLevel="0" collapsed="false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5" t="str">
        <f aca="false">IF($A45="","",COUNTIF(C45:AF45,"&gt;=3"))</f>
        <v/>
      </c>
      <c r="AH45" s="15" t="str">
        <f aca="false">IF($A45="","",COUNTIF(C45:AF45,4))</f>
        <v/>
      </c>
    </row>
    <row r="46" customFormat="false" ht="15" hidden="false" customHeight="false" outlineLevel="0" collapsed="false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5" t="str">
        <f aca="false">IF($A46="","",COUNTIF(C46:AF46,"&gt;=3"))</f>
        <v/>
      </c>
      <c r="AH46" s="15" t="str">
        <f aca="false">IF($A46="","",COUNTIF(C46:AF46,4))</f>
        <v/>
      </c>
    </row>
    <row r="47" customFormat="false" ht="15" hidden="false" customHeight="false" outlineLevel="0" collapsed="false">
      <c r="A47" s="13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5" t="str">
        <f aca="false">IF($A47="","",COUNTIF(C47:AF47,"&gt;=3"))</f>
        <v/>
      </c>
      <c r="AH47" s="15" t="str">
        <f aca="false">IF($A47="","",COUNTIF(C47:AF47,4))</f>
        <v/>
      </c>
    </row>
    <row r="48" customFormat="false" ht="15" hidden="false" customHeight="false" outlineLevel="0" collapsed="false">
      <c r="A48" s="13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5" t="str">
        <f aca="false">IF($A48="","",COUNTIF(C48:AF48,"&gt;=3"))</f>
        <v/>
      </c>
      <c r="AH48" s="15" t="str">
        <f aca="false">IF($A48="","",COUNTIF(C48:AF48,4))</f>
        <v/>
      </c>
    </row>
    <row r="49" customFormat="false" ht="15" hidden="false" customHeight="false" outlineLevel="0" collapsed="false">
      <c r="A49" s="13"/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5" t="str">
        <f aca="false">IF($A49="","",COUNTIF(C49:AF49,"&gt;=3"))</f>
        <v/>
      </c>
      <c r="AH49" s="15" t="str">
        <f aca="false">IF($A49="","",COUNTIF(C49:AF49,4))</f>
        <v/>
      </c>
    </row>
    <row r="50" customFormat="false" ht="15" hidden="false" customHeight="false" outlineLevel="0" collapsed="false">
      <c r="A50" s="13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5" t="str">
        <f aca="false">IF($A50="","",COUNTIF(C50:AF50,"&gt;=3"))</f>
        <v/>
      </c>
      <c r="AH50" s="15" t="str">
        <f aca="false">IF($A50="","",COUNTIF(C50:AF50,4))</f>
        <v/>
      </c>
    </row>
    <row r="51" customFormat="false" ht="15" hidden="false" customHeight="false" outlineLevel="0" collapsed="false">
      <c r="A51" s="13"/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 t="str">
        <f aca="false">IF($A51="","",COUNTIF(C51:AF51,"&gt;=3"))</f>
        <v/>
      </c>
      <c r="AH51" s="15" t="str">
        <f aca="false">IF($A51="","",COUNTIF(C51:AF51,4))</f>
        <v/>
      </c>
    </row>
    <row r="52" customFormat="false" ht="15" hidden="false" customHeight="false" outlineLevel="0" collapsed="false">
      <c r="A52" s="13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 t="str">
        <f aca="false">IF($A52="","",COUNTIF(C52:AF52,"&gt;=3"))</f>
        <v/>
      </c>
      <c r="AH52" s="15" t="str">
        <f aca="false">IF($A52="","",COUNTIF(C52:AF52,4))</f>
        <v/>
      </c>
    </row>
    <row r="53" customFormat="false" ht="15" hidden="false" customHeight="false" outlineLevel="0" collapsed="false">
      <c r="A53" s="13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 t="str">
        <f aca="false">IF($A53="","",COUNTIF(C53:AF53,"&gt;=3"))</f>
        <v/>
      </c>
      <c r="AH53" s="15" t="str">
        <f aca="false">IF($A53="","",COUNTIF(C53:AF53,4))</f>
        <v/>
      </c>
    </row>
    <row r="54" customFormat="false" ht="15" hidden="false" customHeight="false" outlineLevel="0" collapsed="false">
      <c r="A54" s="13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 t="str">
        <f aca="false">IF($A54="","",COUNTIF(C54:AF54,"&gt;=3"))</f>
        <v/>
      </c>
      <c r="AH54" s="15" t="str">
        <f aca="false">IF($A54="","",COUNTIF(C54:AF54,4))</f>
        <v/>
      </c>
    </row>
    <row r="55" customFormat="false" ht="15" hidden="false" customHeight="false" outlineLevel="0" collapsed="false">
      <c r="A55" s="13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 t="str">
        <f aca="false">IF($A55="","",COUNTIF(C55:AF55,"&gt;=3"))</f>
        <v/>
      </c>
      <c r="AH55" s="15" t="str">
        <f aca="false">IF($A55="","",COUNTIF(C55:AF55,4))</f>
        <v/>
      </c>
    </row>
    <row r="56" customFormat="false" ht="15" hidden="false" customHeight="false" outlineLevel="0" collapsed="false">
      <c r="A56" s="13"/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 t="str">
        <f aca="false">IF($A56="","",COUNTIF(C56:AF56,"&gt;=3"))</f>
        <v/>
      </c>
      <c r="AH56" s="15" t="str">
        <f aca="false">IF($A56="","",COUNTIF(C56:AF56,4))</f>
        <v/>
      </c>
    </row>
    <row r="57" customFormat="false" ht="15" hidden="false" customHeight="false" outlineLevel="0" collapsed="false">
      <c r="A57" s="13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 t="str">
        <f aca="false">IF($A57="","",COUNTIF(C57:AF57,"&gt;=3"))</f>
        <v/>
      </c>
      <c r="AH57" s="15" t="str">
        <f aca="false">IF($A57="","",COUNTIF(C57:AF57,4))</f>
        <v/>
      </c>
    </row>
    <row r="58" customFormat="false" ht="15" hidden="false" customHeight="false" outlineLevel="0" collapsed="false">
      <c r="A58" s="13"/>
      <c r="B58" s="1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 t="str">
        <f aca="false">IF($A58="","",COUNTIF(C58:AF58,"&gt;=3"))</f>
        <v/>
      </c>
      <c r="AH58" s="15" t="str">
        <f aca="false">IF($A58="","",COUNTIF(C58:AF58,4))</f>
        <v/>
      </c>
    </row>
    <row r="59" customFormat="false" ht="15" hidden="false" customHeight="false" outlineLevel="0" collapsed="false">
      <c r="A59" s="13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 t="str">
        <f aca="false">IF($A59="","",COUNTIF(C59:AF59,"&gt;=3"))</f>
        <v/>
      </c>
      <c r="AH59" s="15" t="str">
        <f aca="false">IF($A59="","",COUNTIF(C59:AF59,4))</f>
        <v/>
      </c>
    </row>
    <row r="60" customFormat="false" ht="15" hidden="false" customHeight="false" outlineLevel="0" collapsed="false">
      <c r="A60" s="13"/>
      <c r="B60" s="13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 t="str">
        <f aca="false">IF($A60="","",COUNTIF(C60:AF60,"&gt;=3"))</f>
        <v/>
      </c>
      <c r="AH60" s="15" t="str">
        <f aca="false">IF($A60="","",COUNTIF(C60:AF60,4))</f>
        <v/>
      </c>
    </row>
    <row r="61" customFormat="false" ht="15" hidden="false" customHeight="false" outlineLevel="0" collapsed="false">
      <c r="A61" s="13"/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 t="str">
        <f aca="false">IF($A61="","",COUNTIF(C61:AF61,"&gt;=3"))</f>
        <v/>
      </c>
      <c r="AH61" s="15" t="str">
        <f aca="false">IF($A61="","",COUNTIF(C61:AF61,4))</f>
        <v/>
      </c>
    </row>
    <row r="62" customFormat="false" ht="15" hidden="false" customHeight="false" outlineLevel="0" collapsed="false">
      <c r="A62" s="13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 t="str">
        <f aca="false">IF($A62="","",COUNTIF(C62:AF62,"&gt;=3"))</f>
        <v/>
      </c>
      <c r="AH62" s="15" t="str">
        <f aca="false">IF($A62="","",COUNTIF(C62:AF62,4))</f>
        <v/>
      </c>
    </row>
    <row r="63" customFormat="false" ht="15" hidden="false" customHeight="false" outlineLevel="0" collapsed="false">
      <c r="A63" s="13"/>
      <c r="B63" s="1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 t="str">
        <f aca="false">IF($A63="","",COUNTIF(C63:AF63,"&gt;=3"))</f>
        <v/>
      </c>
      <c r="AH63" s="15" t="str">
        <f aca="false">IF($A63="","",COUNTIF(C63:AF63,4))</f>
        <v/>
      </c>
    </row>
    <row r="64" customFormat="false" ht="15" hidden="false" customHeight="false" outlineLevel="0" collapsed="false">
      <c r="A64" s="13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 t="str">
        <f aca="false">IF($A64="","",COUNTIF(C64:AF64,"&gt;=3"))</f>
        <v/>
      </c>
      <c r="AH64" s="15" t="str">
        <f aca="false">IF($A64="","",COUNTIF(C64:AF64,4))</f>
        <v/>
      </c>
    </row>
    <row r="66" customFormat="false" ht="15" hidden="false" customHeight="false" outlineLevel="0" collapsed="false">
      <c r="A66" s="16" t="s">
        <v>52</v>
      </c>
      <c r="B66" s="17"/>
      <c r="C66" s="15" t="n">
        <f aca="false">IF(C4="","",COUNTIF(C5:C64,"&gt;=3"))</f>
        <v>2</v>
      </c>
      <c r="D66" s="15" t="n">
        <f aca="false">IF(D4="","",COUNTIF(D5:D64,"&gt;=3"))</f>
        <v>1</v>
      </c>
      <c r="E66" s="15" t="n">
        <f aca="false">IF(E4="","",COUNTIF(E5:E64,"&gt;=3"))</f>
        <v>4</v>
      </c>
      <c r="F66" s="15" t="n">
        <f aca="false">IF(F4="","",COUNTIF(F5:F64,"&gt;=3"))</f>
        <v>1</v>
      </c>
      <c r="G66" s="15" t="n">
        <f aca="false">IF(G4="","",COUNTIF(G5:G64,"&gt;=3"))</f>
        <v>5</v>
      </c>
      <c r="H66" s="15" t="n">
        <f aca="false">IF(H4="","",COUNTIF(H5:H64,"&gt;=3"))</f>
        <v>3</v>
      </c>
      <c r="I66" s="15" t="str">
        <f aca="false">IF(I4="","",COUNTIF(I5:I64,"&gt;=3"))</f>
        <v/>
      </c>
      <c r="J66" s="15" t="str">
        <f aca="false">IF(J4="","",COUNTIF(J5:J64,"&gt;=3"))</f>
        <v/>
      </c>
      <c r="K66" s="15" t="str">
        <f aca="false">IF(K4="","",COUNTIF(K5:K64,"&gt;=3"))</f>
        <v/>
      </c>
      <c r="L66" s="15" t="str">
        <f aca="false">IF(L4="","",COUNTIF(L5:L64,"&gt;=3"))</f>
        <v/>
      </c>
      <c r="M66" s="15" t="str">
        <f aca="false">IF(M4="","",COUNTIF(M5:M64,"&gt;=3"))</f>
        <v/>
      </c>
      <c r="N66" s="15" t="str">
        <f aca="false">IF(N4="","",COUNTIF(N5:N64,"&gt;=3"))</f>
        <v/>
      </c>
      <c r="O66" s="15" t="str">
        <f aca="false">IF(O4="","",COUNTIF(O5:O64,"&gt;=3"))</f>
        <v/>
      </c>
      <c r="P66" s="15" t="str">
        <f aca="false">IF(P4="","",COUNTIF(P5:P64,"&gt;=3"))</f>
        <v/>
      </c>
      <c r="Q66" s="15" t="str">
        <f aca="false">IF(Q4="","",COUNTIF(Q5:Q64,"&gt;=3"))</f>
        <v/>
      </c>
      <c r="R66" s="15" t="str">
        <f aca="false">IF(R4="","",COUNTIF(R5:R64,"&gt;=3"))</f>
        <v/>
      </c>
      <c r="S66" s="15" t="str">
        <f aca="false">IF(S4="","",COUNTIF(S5:S64,"&gt;=3"))</f>
        <v/>
      </c>
      <c r="T66" s="15" t="str">
        <f aca="false">IF(T4="","",COUNTIF(T5:T64,"&gt;=3"))</f>
        <v/>
      </c>
      <c r="U66" s="15" t="str">
        <f aca="false">IF(U4="","",COUNTIF(U5:U64,"&gt;=3"))</f>
        <v/>
      </c>
      <c r="V66" s="15" t="str">
        <f aca="false">IF(V4="","",COUNTIF(V5:V64,"&gt;=3"))</f>
        <v/>
      </c>
      <c r="W66" s="15" t="str">
        <f aca="false">IF(W4="","",COUNTIF(W5:W64,"&gt;=3"))</f>
        <v/>
      </c>
      <c r="X66" s="15" t="str">
        <f aca="false">IF(X4="","",COUNTIF(X5:X64,"&gt;=3"))</f>
        <v/>
      </c>
      <c r="Y66" s="15" t="str">
        <f aca="false">IF(Y4="","",COUNTIF(Y5:Y64,"&gt;=3"))</f>
        <v/>
      </c>
      <c r="Z66" s="15" t="str">
        <f aca="false">IF(Z4="","",COUNTIF(Z5:Z64,"&gt;=3"))</f>
        <v/>
      </c>
      <c r="AA66" s="15" t="str">
        <f aca="false">IF(AA4="","",COUNTIF(AA5:AA64,"&gt;=3"))</f>
        <v/>
      </c>
      <c r="AB66" s="15" t="str">
        <f aca="false">IF(AB4="","",COUNTIF(AB5:AB64,"&gt;=3"))</f>
        <v/>
      </c>
      <c r="AC66" s="15" t="str">
        <f aca="false">IF(AC4="","",COUNTIF(AC5:AC64,"&gt;=3"))</f>
        <v/>
      </c>
      <c r="AD66" s="15" t="str">
        <f aca="false">IF(AD4="","",COUNTIF(AD5:AD64,"&gt;=3"))</f>
        <v/>
      </c>
      <c r="AE66" s="15" t="str">
        <f aca="false">IF(AE4="","",COUNTIF(AE5:AE64,"&gt;=3"))</f>
        <v/>
      </c>
      <c r="AF66" s="15" t="str">
        <f aca="false">IF(AF4="","",COUNTIF(AF5:AF64,"&gt;=3"))</f>
        <v/>
      </c>
    </row>
    <row r="67" customFormat="false" ht="15" hidden="false" customHeight="false" outlineLevel="0" collapsed="false">
      <c r="A67" s="16" t="s">
        <v>53</v>
      </c>
      <c r="B67" s="17"/>
      <c r="C67" s="15" t="n">
        <f aca="false">IF(C4="","",COUNTIF(C5:C64,4))</f>
        <v>1</v>
      </c>
      <c r="D67" s="15" t="n">
        <f aca="false">IF(D4="","",COUNTIF(D5:D64,4))</f>
        <v>0</v>
      </c>
      <c r="E67" s="15" t="n">
        <f aca="false">IF(E4="","",COUNTIF(E5:E64,4))</f>
        <v>1</v>
      </c>
      <c r="F67" s="15" t="n">
        <f aca="false">IF(F4="","",COUNTIF(F5:F64,4))</f>
        <v>0</v>
      </c>
      <c r="G67" s="15" t="n">
        <f aca="false">IF(G4="","",COUNTIF(G5:G64,4))</f>
        <v>1</v>
      </c>
      <c r="H67" s="15" t="n">
        <f aca="false">IF(H4="","",COUNTIF(H5:H64,4))</f>
        <v>1</v>
      </c>
      <c r="I67" s="15" t="str">
        <f aca="false">IF(I4="","",COUNTIF(I5:I64,4))</f>
        <v/>
      </c>
      <c r="J67" s="15" t="str">
        <f aca="false">IF(J4="","",COUNTIF(J5:J64,4))</f>
        <v/>
      </c>
      <c r="K67" s="15" t="str">
        <f aca="false">IF(K4="","",COUNTIF(K5:K64,4))</f>
        <v/>
      </c>
      <c r="L67" s="15" t="str">
        <f aca="false">IF(L4="","",COUNTIF(L5:L64,4))</f>
        <v/>
      </c>
      <c r="M67" s="15" t="str">
        <f aca="false">IF(M4="","",COUNTIF(M5:M64,4))</f>
        <v/>
      </c>
      <c r="N67" s="15" t="str">
        <f aca="false">IF(N4="","",COUNTIF(N5:N64,4))</f>
        <v/>
      </c>
      <c r="O67" s="15" t="str">
        <f aca="false">IF(O4="","",COUNTIF(O5:O64,4))</f>
        <v/>
      </c>
      <c r="P67" s="15" t="str">
        <f aca="false">IF(P4="","",COUNTIF(P5:P64,4))</f>
        <v/>
      </c>
      <c r="Q67" s="15" t="str">
        <f aca="false">IF(Q4="","",COUNTIF(Q5:Q64,4))</f>
        <v/>
      </c>
      <c r="R67" s="15" t="str">
        <f aca="false">IF(R4="","",COUNTIF(R5:R64,4))</f>
        <v/>
      </c>
      <c r="S67" s="15" t="str">
        <f aca="false">IF(S4="","",COUNTIF(S5:S64,4))</f>
        <v/>
      </c>
      <c r="T67" s="15" t="str">
        <f aca="false">IF(T4="","",COUNTIF(T5:T64,4))</f>
        <v/>
      </c>
      <c r="U67" s="15" t="str">
        <f aca="false">IF(U4="","",COUNTIF(U5:U64,4))</f>
        <v/>
      </c>
      <c r="V67" s="15" t="str">
        <f aca="false">IF(V4="","",COUNTIF(V5:V64,4))</f>
        <v/>
      </c>
      <c r="W67" s="15" t="str">
        <f aca="false">IF(W4="","",COUNTIF(W5:W64,4))</f>
        <v/>
      </c>
      <c r="X67" s="15" t="str">
        <f aca="false">IF(X4="","",COUNTIF(X5:X64,4))</f>
        <v/>
      </c>
      <c r="Y67" s="15" t="str">
        <f aca="false">IF(Y4="","",COUNTIF(Y5:Y64,4))</f>
        <v/>
      </c>
      <c r="Z67" s="15" t="str">
        <f aca="false">IF(Z4="","",COUNTIF(Z5:Z64,4))</f>
        <v/>
      </c>
      <c r="AA67" s="15" t="str">
        <f aca="false">IF(AA4="","",COUNTIF(AA5:AA64,4))</f>
        <v/>
      </c>
      <c r="AB67" s="15" t="str">
        <f aca="false">IF(AB4="","",COUNTIF(AB5:AB64,4))</f>
        <v/>
      </c>
      <c r="AC67" s="15" t="str">
        <f aca="false">IF(AC4="","",COUNTIF(AC5:AC64,4))</f>
        <v/>
      </c>
      <c r="AD67" s="15" t="str">
        <f aca="false">IF(AD4="","",COUNTIF(AD5:AD64,4))</f>
        <v/>
      </c>
      <c r="AE67" s="15" t="str">
        <f aca="false">IF(AE4="","",COUNTIF(AE5:AE64,4))</f>
        <v/>
      </c>
      <c r="AF67" s="15" t="str">
        <f aca="false">IF(AF4="","",COUNTIF(AF5:AF64,4))</f>
        <v/>
      </c>
    </row>
    <row r="68" customFormat="false" ht="15" hidden="false" customHeight="false" outlineLevel="0" collapsed="false">
      <c r="A68" s="16" t="s">
        <v>54</v>
      </c>
      <c r="B68" s="17"/>
      <c r="C68" s="18" t="str">
        <f aca="false">IF(C4="","",IF(C66=0,"Sin cobertura",IF(C66=1,"Riesgo","OK")))</f>
        <v>OK</v>
      </c>
      <c r="D68" s="18" t="str">
        <f aca="false">IF(D4="","",IF(D66=0,"Sin cobertura",IF(D66=1,"Riesgo","OK")))</f>
        <v>Riesgo</v>
      </c>
      <c r="E68" s="18" t="str">
        <f aca="false">IF(E4="","",IF(E66=0,"Sin cobertura",IF(E66=1,"Riesgo","OK")))</f>
        <v>OK</v>
      </c>
      <c r="F68" s="18" t="str">
        <f aca="false">IF(F4="","",IF(F66=0,"Sin cobertura",IF(F66=1,"Riesgo","OK")))</f>
        <v>Riesgo</v>
      </c>
      <c r="G68" s="18" t="str">
        <f aca="false">IF(G4="","",IF(G66=0,"Sin cobertura",IF(G66=1,"Riesgo","OK")))</f>
        <v>OK</v>
      </c>
      <c r="H68" s="18" t="str">
        <f aca="false">IF(H4="","",IF(H66=0,"Sin cobertura",IF(H66=1,"Riesgo","OK")))</f>
        <v>OK</v>
      </c>
      <c r="I68" s="18" t="str">
        <f aca="false">IF(I4="","",IF(I66=0,"Sin cobertura",IF(I66=1,"Riesgo","OK")))</f>
        <v/>
      </c>
      <c r="J68" s="18" t="str">
        <f aca="false">IF(J4="","",IF(J66=0,"Sin cobertura",IF(J66=1,"Riesgo","OK")))</f>
        <v/>
      </c>
      <c r="K68" s="18" t="str">
        <f aca="false">IF(K4="","",IF(K66=0,"Sin cobertura",IF(K66=1,"Riesgo","OK")))</f>
        <v/>
      </c>
      <c r="L68" s="18" t="str">
        <f aca="false">IF(L4="","",IF(L66=0,"Sin cobertura",IF(L66=1,"Riesgo","OK")))</f>
        <v/>
      </c>
      <c r="M68" s="18" t="str">
        <f aca="false">IF(M4="","",IF(M66=0,"Sin cobertura",IF(M66=1,"Riesgo","OK")))</f>
        <v/>
      </c>
      <c r="N68" s="18" t="str">
        <f aca="false">IF(N4="","",IF(N66=0,"Sin cobertura",IF(N66=1,"Riesgo","OK")))</f>
        <v/>
      </c>
      <c r="O68" s="18" t="str">
        <f aca="false">IF(O4="","",IF(O66=0,"Sin cobertura",IF(O66=1,"Riesgo","OK")))</f>
        <v/>
      </c>
      <c r="P68" s="18" t="str">
        <f aca="false">IF(P4="","",IF(P66=0,"Sin cobertura",IF(P66=1,"Riesgo","OK")))</f>
        <v/>
      </c>
      <c r="Q68" s="18" t="str">
        <f aca="false">IF(Q4="","",IF(Q66=0,"Sin cobertura",IF(Q66=1,"Riesgo","OK")))</f>
        <v/>
      </c>
      <c r="R68" s="18" t="str">
        <f aca="false">IF(R4="","",IF(R66=0,"Sin cobertura",IF(R66=1,"Riesgo","OK")))</f>
        <v/>
      </c>
      <c r="S68" s="18" t="str">
        <f aca="false">IF(S4="","",IF(S66=0,"Sin cobertura",IF(S66=1,"Riesgo","OK")))</f>
        <v/>
      </c>
      <c r="T68" s="18" t="str">
        <f aca="false">IF(T4="","",IF(T66=0,"Sin cobertura",IF(T66=1,"Riesgo","OK")))</f>
        <v/>
      </c>
      <c r="U68" s="18" t="str">
        <f aca="false">IF(U4="","",IF(U66=0,"Sin cobertura",IF(U66=1,"Riesgo","OK")))</f>
        <v/>
      </c>
      <c r="V68" s="18" t="str">
        <f aca="false">IF(V4="","",IF(V66=0,"Sin cobertura",IF(V66=1,"Riesgo","OK")))</f>
        <v/>
      </c>
      <c r="W68" s="18" t="str">
        <f aca="false">IF(W4="","",IF(W66=0,"Sin cobertura",IF(W66=1,"Riesgo","OK")))</f>
        <v/>
      </c>
      <c r="X68" s="18" t="str">
        <f aca="false">IF(X4="","",IF(X66=0,"Sin cobertura",IF(X66=1,"Riesgo","OK")))</f>
        <v/>
      </c>
      <c r="Y68" s="18" t="str">
        <f aca="false">IF(Y4="","",IF(Y66=0,"Sin cobertura",IF(Y66=1,"Riesgo","OK")))</f>
        <v/>
      </c>
      <c r="Z68" s="18" t="str">
        <f aca="false">IF(Z4="","",IF(Z66=0,"Sin cobertura",IF(Z66=1,"Riesgo","OK")))</f>
        <v/>
      </c>
      <c r="AA68" s="18" t="str">
        <f aca="false">IF(AA4="","",IF(AA66=0,"Sin cobertura",IF(AA66=1,"Riesgo","OK")))</f>
        <v/>
      </c>
      <c r="AB68" s="18" t="str">
        <f aca="false">IF(AB4="","",IF(AB66=0,"Sin cobertura",IF(AB66=1,"Riesgo","OK")))</f>
        <v/>
      </c>
      <c r="AC68" s="18" t="str">
        <f aca="false">IF(AC4="","",IF(AC66=0,"Sin cobertura",IF(AC66=1,"Riesgo","OK")))</f>
        <v/>
      </c>
      <c r="AD68" s="18" t="str">
        <f aca="false">IF(AD4="","",IF(AD66=0,"Sin cobertura",IF(AD66=1,"Riesgo","OK")))</f>
        <v/>
      </c>
      <c r="AE68" s="18" t="str">
        <f aca="false">IF(AE4="","",IF(AE66=0,"Sin cobertura",IF(AE66=1,"Riesgo","OK")))</f>
        <v/>
      </c>
      <c r="AF68" s="18" t="str">
        <f aca="false">IF(AF4="","",IF(AF66=0,"Sin cobertura",IF(AF66=1,"Riesgo","OK")))</f>
        <v/>
      </c>
    </row>
  </sheetData>
  <conditionalFormatting sqref="C5:AF64">
    <cfRule type="cellIs" priority="2" operator="equal" aboveAverage="0" equalAverage="0" bottom="0" percent="0" rank="0" text="" dxfId="4">
      <formula>1</formula>
    </cfRule>
    <cfRule type="cellIs" priority="3" operator="equal" aboveAverage="0" equalAverage="0" bottom="0" percent="0" rank="0" text="" dxfId="5">
      <formula>2</formula>
    </cfRule>
    <cfRule type="cellIs" priority="4" operator="equal" aboveAverage="0" equalAverage="0" bottom="0" percent="0" rank="0" text="" dxfId="3">
      <formula>3</formula>
    </cfRule>
    <cfRule type="cellIs" priority="5" operator="equal" aboveAverage="0" equalAverage="0" bottom="0" percent="0" rank="0" text="" dxfId="6">
      <formula>4</formula>
    </cfRule>
  </conditionalFormatting>
  <conditionalFormatting sqref="C68:AF68">
    <cfRule type="cellIs" priority="6" operator="equal" aboveAverage="0" equalAverage="0" bottom="0" percent="0" rank="0" text="" dxfId="1">
      <formula>"Sin cobertura"</formula>
    </cfRule>
    <cfRule type="cellIs" priority="7" operator="equal" aboveAverage="0" equalAverage="0" bottom="0" percent="0" rank="0" text="" dxfId="2">
      <formula>"Riesgo"</formula>
    </cfRule>
    <cfRule type="cellIs" priority="8" operator="equal" aboveAverage="0" equalAverage="0" bottom="0" percent="0" rank="0" text="" dxfId="3">
      <formula>"OK"</formula>
    </cfRule>
  </conditionalFormatting>
  <dataValidations count="2">
    <dataValidation allowBlank="true" error="Escribe un nivel de 0 a 4." errorStyle="stop" errorTitle="Nivel no válido" operator="between" showDropDown="false" showErrorMessage="false" showInputMessage="false" sqref="C5:AF64" type="whole">
      <formula1>0</formula1>
      <formula2>4</formula2>
    </dataValidation>
    <dataValidation allowBlank="true" errorStyle="stop" operator="between" showDropDown="false" showErrorMessage="false" showInputMessage="false" sqref="B5:B64" type="list">
      <formula1>"Mañana,Tarde,Noche,Central,Rotativo"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2026-10-21T22:34:19Z</dcterms:created>
  <dc:creator>openpyxl</dc:creator>
  <dc:description/>
  <dc:language>en-US</dc:language>
  <cp:lastModifiedBy/>
  <dcterms:modified xsi:type="dcterms:W3CDTF">2026-10-21T22:34:19Z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