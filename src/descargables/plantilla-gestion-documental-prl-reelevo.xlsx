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Resumen" sheetId="2" state="visible" r:id="rId4"/>
    <sheet name="Instrucciones" sheetId="3" state="visible" r:id="rId5"/>
    <sheet name="Trabajadores" sheetId="4" state="visible" r:id="rId6"/>
    <sheet name="Acuses" sheetId="5" state="visible" r:id="rId7"/>
    <sheet name="Matriz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Súbela al publicar una revisión: quienes tenían la anterior pasan solos a Pendiente.</t>
        </r>
      </text>
    </comment>
  </commentList>
</comments>
</file>

<file path=xl/sharedStrings.xml><?xml version="1.0" encoding="utf-8"?>
<sst xmlns="http://schemas.openxmlformats.org/spreadsheetml/2006/main" count="318" uniqueCount="138">
  <si>
    <t xml:space="preserve">Plantilla de gestión documental de PRL e instrucciones de trabajo</t>
  </si>
  <si>
    <t xml:space="preserve">REELEVO · gmvsolutions.es · Plantilla gratuita. Los datos que trae son un ejemplo ficticio: bórralos y pon los tuyos.</t>
  </si>
  <si>
    <t xml:space="preserve">Para qué sirve</t>
  </si>
  <si>
    <t xml:space="preserve">Saber, para cada trabajador y cada instrucción de PRL, de trabajo (IT), de calidad o política, si conoce la versión vigente, qué tiene pendiente y qué caduca. Es la tabla que en papel se descontrola: aquí no se rellena a mano, se calcula.</t>
  </si>
  <si>
    <t xml:space="preserve">Qué rellenas tú (celdas amarillas)</t>
  </si>
  <si>
    <t xml:space="preserve">1. Instrucciones: una fila por instrucción, con su versión vigente (número entero: 1, 2, 3…), a quién afecta y cada cuántos meses hay que reciclarla (0 si no caduca).</t>
  </si>
  <si>
    <t xml:space="preserve">2. Trabajadores: una fila por persona, con su puesto, turno y si es de ETT. Marca «No» en Activo cuando alguien se vaya; no borres la fila.</t>
  </si>
  <si>
    <t xml:space="preserve">3. Acuses: una fila cada vez que alguien lee y acepta una versión. Es el registro: no se modifica, solo se añaden filas.</t>
  </si>
  <si>
    <t xml:space="preserve">Qué se calcula solo</t>
  </si>
  <si>
    <t xml:space="preserve">· Matriz: el estado de cada persona en cada instrucción. OK, Pendiente (no ha aceptado la versión vigente), Caducado (pasó su reciclaje), Caduca pronto (en los próximos 30 días) o «—» si no le afecta.</t>
  </si>
  <si>
    <t xml:space="preserve">· Resumen: combinaciones a controlar, pendientes, caducados y porcentaje al día. Los pendientes por persona salen en Trabajadores, y los pendientes por instrucción en Instrucciones.</t>
  </si>
  <si>
    <t xml:space="preserve">Cuando cambia una instrucción</t>
  </si>
  <si>
    <t xml:space="preserve">Sube el número de versión en la hoja Instrucciones. Todos los que la tenían aceptada pasan solos a «Pendiente» hasta que registres su nuevo acuse. Los acuses antiguos se quedan como histórico: así puedes demostrar qué versión conocía cada persona en cada fecha.</t>
  </si>
  <si>
    <t xml:space="preserve">Fecha de referencia</t>
  </si>
  <si>
    <t xml:space="preserve">El Resumen usa la fecha de hoy. Si quieres ver cómo estabas en otra fecha (por ejemplo, el día de una auditoría), escríbela en la celda amarilla del Resumen.</t>
  </si>
  <si>
    <t xml:space="preserve">Hasta dónde llega esta plantilla</t>
  </si>
  <si>
    <t xml:space="preserve">Funciona bien con pocas decenas de instrucciones y una plantilla estable. Se queda corta cuando: (1) los acuses se registran a mano desde hojas de firmas y alguien tiene que pasarlos; (2) hay varios turnos o personal de ETT que nunca coincide con las sesiones; (3) las revisiones son frecuentes y cada una deja a decenas de personas pendientes; (4) necesitas que nadie trabaje con una versión que no ha aceptado, no solo saberlo después.</t>
  </si>
  <si>
    <t xml:space="preserve">Por qué pasa y cómo se resuelve: gmvsolutions.es/blog/gestion-instrucciones-prl-e-it/</t>
  </si>
  <si>
    <t xml:space="preserve">Aviso</t>
  </si>
  <si>
    <t xml:space="preserve">Es una herramienta práctica de control interno, no asesoramiento jurídico. Contrasta siempre los requisitos con la Ley 31/1995, tu evaluación de riesgos y tu servicio de prevención.</t>
  </si>
  <si>
    <t xml:space="preserve">Leyenda:</t>
  </si>
  <si>
    <t xml:space="preserve">Celda amarilla = la rellenas tú.   Celda blanca o gris = fórmula, no la toques.</t>
  </si>
  <si>
    <t xml:space="preserve">Resumen</t>
  </si>
  <si>
    <t xml:space="preserve">Se calcula solo a partir de Instrucciones, Trabajadores y Acuses.</t>
  </si>
  <si>
    <t xml:space="preserve">Por defecto, hoy. Escribe otra fecha para ver cómo estabas ese día (p. ej., el de una auditoría).</t>
  </si>
  <si>
    <t xml:space="preserve">Instrucciones registradas</t>
  </si>
  <si>
    <t xml:space="preserve">Todas las que tienen código en la hoja Instrucciones.</t>
  </si>
  <si>
    <t xml:space="preserve">Trabajadores activos</t>
  </si>
  <si>
    <t xml:space="preserve">Los que tienen Activo distinto de «No».</t>
  </si>
  <si>
    <t xml:space="preserve">Personal de ETT activo</t>
  </si>
  <si>
    <t xml:space="preserve">Combinaciones persona-instrucción a controlar</t>
  </si>
  <si>
    <t xml:space="preserve">Cada una es algo que alguien tiene que poder demostrar. Crece mucho más deprisa que la plantilla.</t>
  </si>
  <si>
    <t xml:space="preserve">Al día</t>
  </si>
  <si>
    <t xml:space="preserve">Pendientes (no han aceptado la versión vigente)</t>
  </si>
  <si>
    <t xml:space="preserve">Cada revisión de una instrucción vuelve a dejar pendientes a todos sus afectados.</t>
  </si>
  <si>
    <t xml:space="preserve">Caducados (reciclaje vencido)</t>
  </si>
  <si>
    <t xml:space="preserve">Caducan en los próximos 30 días</t>
  </si>
  <si>
    <t xml:space="preserve">% al día</t>
  </si>
  <si>
    <t xml:space="preserve">Objetivo: 100 % en las instrucciones de seguridad.</t>
  </si>
  <si>
    <t xml:space="preserve">¿Te salen muchos pendientes cada vez que cambias una versión?</t>
  </si>
  <si>
    <t xml:space="preserve">Es normal: es aritmética, no falta de diligencia. Por qué la gestión documental se desborda con carpetas y Excel, y cómo se mantiene sola la lista de pendientes: gmvsolutions.es/blog/gestion-instrucciones-prl-e-it/</t>
  </si>
  <si>
    <t xml:space="preserve">Instrucciones</t>
  </si>
  <si>
    <t xml:space="preserve">Una fila por instrucción. Versión vigente en número entero. Alcance: «Toda la plantilla» o «Por puesto» (y escribe los puestos separados por ;).</t>
  </si>
  <si>
    <t xml:space="preserve">Código</t>
  </si>
  <si>
    <t xml:space="preserve">Tipo</t>
  </si>
  <si>
    <t xml:space="preserve">Título</t>
  </si>
  <si>
    <t xml:space="preserve">Versión vigente</t>
  </si>
  <si>
    <t xml:space="preserve">Fecha de la versión</t>
  </si>
  <si>
    <t xml:space="preserve">Responsable</t>
  </si>
  <si>
    <t xml:space="preserve">Alcance</t>
  </si>
  <si>
    <t xml:space="preserve">Puestos afectados (separados por ;)</t>
  </si>
  <si>
    <t xml:space="preserve">Reciclaje (meses, 0 = no caduca)</t>
  </si>
  <si>
    <t xml:space="preserve">Afectados</t>
  </si>
  <si>
    <t xml:space="preserve">Pendientes</t>
  </si>
  <si>
    <t xml:space="preserve">Caducados</t>
  </si>
  <si>
    <t xml:space="preserve">PRL-01</t>
  </si>
  <si>
    <t xml:space="preserve">PRL</t>
  </si>
  <si>
    <t xml:space="preserve">Uso de EPI en planta</t>
  </si>
  <si>
    <t xml:space="preserve">Prevención</t>
  </si>
  <si>
    <t xml:space="preserve">Toda la plantilla</t>
  </si>
  <si>
    <t xml:space="preserve">PRL-02</t>
  </si>
  <si>
    <t xml:space="preserve">Conducción de carretillas elevadoras</t>
  </si>
  <si>
    <t xml:space="preserve">Por puesto</t>
  </si>
  <si>
    <t xml:space="preserve">Logística; Almacén</t>
  </si>
  <si>
    <t xml:space="preserve">PRL-03</t>
  </si>
  <si>
    <t xml:space="preserve">Bloqueo y consignación de energías (LOTO)</t>
  </si>
  <si>
    <t xml:space="preserve">Mantenimiento; Producción</t>
  </si>
  <si>
    <t xml:space="preserve">PRL-04</t>
  </si>
  <si>
    <t xml:space="preserve">Manipulación de productos químicos</t>
  </si>
  <si>
    <t xml:space="preserve">Producción</t>
  </si>
  <si>
    <t xml:space="preserve">IT-10</t>
  </si>
  <si>
    <t xml:space="preserve">IT</t>
  </si>
  <si>
    <t xml:space="preserve">Arranque y ajuste de la prensa 2</t>
  </si>
  <si>
    <t xml:space="preserve">Ingeniería</t>
  </si>
  <si>
    <t xml:space="preserve">IT-11</t>
  </si>
  <si>
    <t xml:space="preserve">Cambio de formato en línea de corte</t>
  </si>
  <si>
    <t xml:space="preserve">CAL-01</t>
  </si>
  <si>
    <t xml:space="preserve">Calidad</t>
  </si>
  <si>
    <t xml:space="preserve">Control de primera pieza</t>
  </si>
  <si>
    <t xml:space="preserve">Producción; Calidad</t>
  </si>
  <si>
    <t xml:space="preserve">POL-01</t>
  </si>
  <si>
    <t xml:space="preserve">Política</t>
  </si>
  <si>
    <t xml:space="preserve">Política de seguridad y salud</t>
  </si>
  <si>
    <t xml:space="preserve">Dirección</t>
  </si>
  <si>
    <t xml:space="preserve">Trabajadores</t>
  </si>
  <si>
    <t xml:space="preserve">Una fila por persona. El puesto tiene que escribirse igual que en «Puestos afectados». Cuando alguien se va, Activo = No (no borres la fila).</t>
  </si>
  <si>
    <t xml:space="preserve">ID</t>
  </si>
  <si>
    <t xml:space="preserve">Nombre</t>
  </si>
  <si>
    <t xml:space="preserve">Puesto</t>
  </si>
  <si>
    <t xml:space="preserve">Turno</t>
  </si>
  <si>
    <t xml:space="preserve">ETT</t>
  </si>
  <si>
    <t xml:space="preserve">Fecha de alta</t>
  </si>
  <si>
    <t xml:space="preserve">Activo</t>
  </si>
  <si>
    <t xml:space="preserve">Caducan pronto</t>
  </si>
  <si>
    <t xml:space="preserve">T001</t>
  </si>
  <si>
    <t xml:space="preserve">Ana López</t>
  </si>
  <si>
    <t xml:space="preserve">Mañana</t>
  </si>
  <si>
    <t xml:space="preserve">No</t>
  </si>
  <si>
    <t xml:space="preserve">Sí</t>
  </si>
  <si>
    <t xml:space="preserve">T002</t>
  </si>
  <si>
    <t xml:space="preserve">Carlos Ruiz</t>
  </si>
  <si>
    <t xml:space="preserve">Tarde</t>
  </si>
  <si>
    <t xml:space="preserve">T003</t>
  </si>
  <si>
    <t xml:space="preserve">Marta Gil</t>
  </si>
  <si>
    <t xml:space="preserve">Noche</t>
  </si>
  <si>
    <t xml:space="preserve">T004</t>
  </si>
  <si>
    <t xml:space="preserve">Luis Pardo</t>
  </si>
  <si>
    <t xml:space="preserve">Mantenimiento</t>
  </si>
  <si>
    <t xml:space="preserve">T005</t>
  </si>
  <si>
    <t xml:space="preserve">Sara Vidal</t>
  </si>
  <si>
    <t xml:space="preserve">T006</t>
  </si>
  <si>
    <t xml:space="preserve">Jorge Martín</t>
  </si>
  <si>
    <t xml:space="preserve">Logística</t>
  </si>
  <si>
    <t xml:space="preserve">T007</t>
  </si>
  <si>
    <t xml:space="preserve">Iván Castro</t>
  </si>
  <si>
    <t xml:space="preserve">Almacén</t>
  </si>
  <si>
    <t xml:space="preserve">T008</t>
  </si>
  <si>
    <t xml:space="preserve">Nerea Sanz</t>
  </si>
  <si>
    <t xml:space="preserve">T009</t>
  </si>
  <si>
    <t xml:space="preserve">Pablo Rey</t>
  </si>
  <si>
    <t xml:space="preserve">T010</t>
  </si>
  <si>
    <t xml:space="preserve">Elena Mora</t>
  </si>
  <si>
    <t xml:space="preserve">Registro de acuses</t>
  </si>
  <si>
    <t xml:space="preserve">Una fila cada vez que alguien lee y acepta una versión. Solo se añaden filas; las antiguas son el histórico.</t>
  </si>
  <si>
    <t xml:space="preserve">ID trabajador</t>
  </si>
  <si>
    <t xml:space="preserve">Código instrucción</t>
  </si>
  <si>
    <t xml:space="preserve">Versión aceptada</t>
  </si>
  <si>
    <t xml:space="preserve">Fecha de acuse</t>
  </si>
  <si>
    <t xml:space="preserve">Test superado</t>
  </si>
  <si>
    <t xml:space="preserve">Vía</t>
  </si>
  <si>
    <t xml:space="preserve">Observaciones</t>
  </si>
  <si>
    <t xml:space="preserve">Hoja de firmas</t>
  </si>
  <si>
    <t xml:space="preserve">N/A</t>
  </si>
  <si>
    <t xml:space="preserve">Matriz de estado (se calcula sola)</t>
  </si>
  <si>
    <t xml:space="preserve">No escribas aquí. OK · Pendiente · Caducado · Caduca pronto · «—» no le afecta. Las filas son los trabajadores activos y las columnas las instrucciones.</t>
  </si>
  <si>
    <t xml:space="preserve">Instrucción</t>
  </si>
  <si>
    <t xml:space="preserve">Puestos</t>
  </si>
  <si>
    <t xml:space="preserve">Reciclaje (meses)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</si>
</sst>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4521E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F4521E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4"/>
      <color rgb="FFF4521E"/>
      <name val="Arial"/>
      <family val="0"/>
      <charset val="1"/>
    </font>
    <font>
      <b val="true"/>
      <sz val="12"/>
      <color rgb="FF0A0A0A"/>
      <name val="Arial"/>
      <family val="0"/>
      <charset val="1"/>
    </font>
    <font>
      <b val="true"/>
      <sz val="12"/>
      <color rgb="FFF452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9"/>
      <color rgb="FF6B6B6B"/>
      <name val="Arial"/>
      <family val="0"/>
      <charset val="1"/>
    </font>
    <font>
      <sz val="8"/>
      <color rgb="FF6B6B6B"/>
      <name val="Arial"/>
      <family val="0"/>
      <charset val="1"/>
    </font>
    <font>
      <sz val="9"/>
      <color rgb="FF0A0A0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FF0C2"/>
      </patternFill>
    </fill>
    <fill>
      <patternFill patternType="solid">
        <fgColor rgb="FFF4521E"/>
        <bgColor rgb="FFB3360C"/>
      </patternFill>
    </fill>
    <fill>
      <patternFill patternType="solid">
        <fgColor rgb="FFF2F2F2"/>
        <bgColor rgb="FFE2F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3360C"/>
        <sz val="10"/>
      </font>
      <fill>
        <patternFill>
          <bgColor rgb="FFFDE2D8"/>
        </patternFill>
      </fill>
    </dxf>
    <dxf>
      <font>
        <name val="Arial"/>
        <charset val="1"/>
        <family val="0"/>
        <b val="1"/>
        <color rgb="FFB3360C"/>
        <sz val="9"/>
      </font>
      <fill>
        <patternFill>
          <bgColor rgb="FFFDE2D8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8C9C9"/>
        </patternFill>
      </fill>
    </dxf>
    <dxf>
      <font>
        <name val="Arial"/>
        <charset val="1"/>
        <family val="0"/>
        <b val="1"/>
        <color rgb="FF7A5A00"/>
        <sz val="9"/>
      </font>
      <fill>
        <patternFill>
          <bgColor rgb="FFFFF0C2"/>
        </patternFill>
      </fill>
    </dxf>
    <dxf>
      <font>
        <name val="Arial"/>
        <charset val="1"/>
        <family val="0"/>
        <color rgb="FF1E6B1E"/>
        <sz val="9"/>
      </font>
      <fill>
        <patternFill>
          <bgColor rgb="FFE2F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1E"/>
      <rgbColor rgb="FF000080"/>
      <rgbColor rgb="FF7A5A00"/>
      <rgbColor rgb="FF800080"/>
      <rgbColor rgb="FF008080"/>
      <rgbColor rgb="FFC0C0C0"/>
      <rgbColor rgb="FF7F7F7F"/>
      <rgbColor rgb="FF9999FF"/>
      <rgbColor rgb="FF993366"/>
      <rgbColor rgb="FFFFF4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2D8"/>
      <rgbColor rgb="FFE2F2E2"/>
      <rgbColor rgb="FFFFF0C2"/>
      <rgbColor rgb="FF99CCFF"/>
      <rgbColor rgb="FFFF99CC"/>
      <rgbColor rgb="FFCC99FF"/>
      <rgbColor rgb="FFF8C9C9"/>
      <rgbColor rgb="FF3366FF"/>
      <rgbColor rgb="FF33CCCC"/>
      <rgbColor rgb="FF99CC00"/>
      <rgbColor rgb="FFFFC000"/>
      <rgbColor rgb="FFFF9900"/>
      <rgbColor rgb="FFF4521E"/>
      <rgbColor rgb="FF6B6B6B"/>
      <rgbColor rgb="FF969696"/>
      <rgbColor rgb="FF003366"/>
      <rgbColor rgb="FF339966"/>
      <rgbColor rgb="FF0A0A0A"/>
      <rgbColor rgb="FF333300"/>
      <rgbColor rgb="FFB336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521E"/>
    <pageSetUpPr fitToPage="false"/>
  </sheetPr>
  <dimension ref="B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30" hidden="false" customHeight="true" outlineLevel="0" collapsed="false">
      <c r="B8" s="4" t="s">
        <v>5</v>
      </c>
    </row>
    <row r="9" customFormat="false" ht="30" hidden="false" customHeight="true" outlineLevel="0" collapsed="false">
      <c r="B9" s="4" t="s">
        <v>6</v>
      </c>
    </row>
    <row r="10" customFormat="false" ht="30" hidden="false" customHeight="tru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30" hidden="false" customHeight="true" outlineLevel="0" collapsed="false">
      <c r="B13" s="4" t="s">
        <v>9</v>
      </c>
    </row>
    <row r="14" customFormat="false" ht="30" hidden="false" customHeight="true" outlineLevel="0" collapsed="false">
      <c r="B14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45" hidden="false" customHeight="tru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30" hidden="false" customHeight="true" outlineLevel="0" collapsed="false">
      <c r="B20" s="4" t="s">
        <v>14</v>
      </c>
    </row>
    <row r="22" customFormat="false" ht="15" hidden="false" customHeight="false" outlineLevel="0" collapsed="false">
      <c r="B22" s="3" t="s">
        <v>15</v>
      </c>
    </row>
    <row r="23" customFormat="false" ht="75" hidden="false" customHeight="true" outlineLevel="0" collapsed="false">
      <c r="B23" s="4" t="s">
        <v>16</v>
      </c>
    </row>
    <row r="24" customFormat="false" ht="15" hidden="false" customHeight="true" outlineLevel="0" collapsed="false">
      <c r="B24" s="4" t="s">
        <v>17</v>
      </c>
    </row>
    <row r="26" customFormat="false" ht="15" hidden="false" customHeight="false" outlineLevel="0" collapsed="false">
      <c r="B26" s="3" t="s">
        <v>18</v>
      </c>
    </row>
    <row r="27" customFormat="false" ht="30" hidden="false" customHeight="true" outlineLevel="0" collapsed="false">
      <c r="B27" s="4" t="s">
        <v>19</v>
      </c>
    </row>
    <row r="29" customFormat="false" ht="15" hidden="false" customHeight="false" outlineLevel="0" collapsed="false">
      <c r="B29" s="5" t="s">
        <v>20</v>
      </c>
    </row>
    <row r="30" customFormat="false" ht="15" hidden="false" customHeight="false" outlineLevel="0" collapsed="false">
      <c r="B30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521E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7" t="s">
        <v>22</v>
      </c>
    </row>
    <row r="2" customFormat="false" ht="15" hidden="false" customHeight="false" outlineLevel="0" collapsed="false">
      <c r="A2" s="2" t="s">
        <v>23</v>
      </c>
    </row>
    <row r="4" customFormat="false" ht="25.5" hidden="false" customHeight="true" outlineLevel="0" collapsed="false">
      <c r="B4" s="5" t="s">
        <v>13</v>
      </c>
      <c r="C4" s="8" t="n">
        <f aca="true">TODAY()</f>
        <v>46312</v>
      </c>
      <c r="D4" s="9" t="s">
        <v>24</v>
      </c>
    </row>
    <row r="6" customFormat="false" ht="15" hidden="false" customHeight="false" outlineLevel="0" collapsed="false">
      <c r="B6" s="10" t="s">
        <v>25</v>
      </c>
      <c r="C6" s="11" t="n">
        <f aca="false">COUNTA(Instrucciones!$A$5:$A$44)</f>
        <v>8</v>
      </c>
      <c r="D6" s="9" t="s">
        <v>26</v>
      </c>
    </row>
    <row r="7" customFormat="false" ht="15" hidden="false" customHeight="false" outlineLevel="0" collapsed="false">
      <c r="B7" s="10" t="s">
        <v>27</v>
      </c>
      <c r="C7" s="11" t="n">
        <f aca="false">COUNTIF(Matriz!$A$10:$A$129,"?*")</f>
        <v>9</v>
      </c>
      <c r="D7" s="9" t="s">
        <v>28</v>
      </c>
    </row>
    <row r="8" customFormat="false" ht="15" hidden="false" customHeight="false" outlineLevel="0" collapsed="false">
      <c r="B8" s="10" t="s">
        <v>29</v>
      </c>
      <c r="C8" s="11" t="n">
        <f aca="false">COUNTIFS(Trabajadores!$E$5:$E$124,"Sí",Trabajadores!$G$5:$G$124,"&lt;&gt;No")</f>
        <v>2</v>
      </c>
      <c r="D8" s="9"/>
    </row>
    <row r="9" customFormat="false" ht="25.5" hidden="false" customHeight="true" outlineLevel="0" collapsed="false">
      <c r="B9" s="5" t="s">
        <v>30</v>
      </c>
      <c r="C9" s="11" t="n">
        <f aca="false">COUNTIF(Matriz!$D$10:$AQ$129,"OK")+COUNTIF(Matriz!$D$10:$AQ$129,"Pendiente")+COUNTIF(Matriz!$D$10:$AQ$129,"Caducado")+COUNTIF(Matriz!$D$10:$AQ$129,"Caduca pronto")</f>
        <v>47</v>
      </c>
      <c r="D9" s="9" t="s">
        <v>31</v>
      </c>
    </row>
    <row r="10" customFormat="false" ht="15" hidden="false" customHeight="false" outlineLevel="0" collapsed="false">
      <c r="B10" s="10" t="s">
        <v>32</v>
      </c>
      <c r="C10" s="11" t="n">
        <f aca="false">COUNTIF(Matriz!$D$10:$AQ$129,"OK")+COUNTIF(Matriz!$D$10:$AQ$129,"Caduca pronto")</f>
        <v>24</v>
      </c>
      <c r="D10" s="9"/>
    </row>
    <row r="11" customFormat="false" ht="25.5" hidden="false" customHeight="true" outlineLevel="0" collapsed="false">
      <c r="B11" s="5" t="s">
        <v>33</v>
      </c>
      <c r="C11" s="12" t="n">
        <f aca="false">COUNTIF(Matriz!$D$10:$AQ$129,"Pendiente")</f>
        <v>22</v>
      </c>
      <c r="D11" s="9" t="s">
        <v>34</v>
      </c>
    </row>
    <row r="12" customFormat="false" ht="15" hidden="false" customHeight="false" outlineLevel="0" collapsed="false">
      <c r="B12" s="5" t="s">
        <v>35</v>
      </c>
      <c r="C12" s="12" t="n">
        <f aca="false">COUNTIF(Matriz!$D$10:$AQ$129,"Caducado")</f>
        <v>1</v>
      </c>
      <c r="D12" s="9"/>
    </row>
    <row r="13" customFormat="false" ht="15" hidden="false" customHeight="false" outlineLevel="0" collapsed="false">
      <c r="B13" s="10" t="s">
        <v>36</v>
      </c>
      <c r="C13" s="11" t="n">
        <f aca="false">COUNTIF(Matriz!$D$10:$AQ$129,"Caduca pronto")</f>
        <v>1</v>
      </c>
      <c r="D13" s="9"/>
    </row>
    <row r="14" customFormat="false" ht="15" hidden="false" customHeight="false" outlineLevel="0" collapsed="false">
      <c r="B14" s="10" t="s">
        <v>37</v>
      </c>
      <c r="C14" s="13" t="n">
        <f aca="false">IF(C9=0,"",C10/C9)</f>
        <v>0.51063829787234</v>
      </c>
      <c r="D14" s="9" t="s">
        <v>38</v>
      </c>
    </row>
    <row r="17" customFormat="false" ht="15" hidden="false" customHeight="false" outlineLevel="0" collapsed="false">
      <c r="B17" s="3" t="s">
        <v>39</v>
      </c>
    </row>
    <row r="18" customFormat="false" ht="30" hidden="false" customHeight="true" outlineLevel="0" collapsed="false">
      <c r="B18" s="14" t="s">
        <v>40</v>
      </c>
      <c r="C18" s="14"/>
      <c r="D18" s="14"/>
    </row>
    <row r="19" customFormat="false" ht="15" hidden="false" customHeight="false" outlineLevel="0" collapsed="false">
      <c r="B19" s="14"/>
      <c r="C19" s="14"/>
      <c r="D19" s="14"/>
    </row>
  </sheetData>
  <mergeCells count="1">
    <mergeCell ref="B18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7" t="s">
        <v>41</v>
      </c>
    </row>
    <row r="2" customFormat="false" ht="15" hidden="false" customHeight="false" outlineLevel="0" collapsed="false">
      <c r="A2" s="2" t="s">
        <v>42</v>
      </c>
    </row>
    <row r="4" customFormat="false" ht="31.5" hidden="false" customHeight="true" outlineLevel="0" collapsed="false">
      <c r="A4" s="15" t="s">
        <v>43</v>
      </c>
      <c r="B4" s="15" t="s">
        <v>44</v>
      </c>
      <c r="C4" s="15" t="s">
        <v>45</v>
      </c>
      <c r="D4" s="15" t="s">
        <v>46</v>
      </c>
      <c r="E4" s="15" t="s">
        <v>47</v>
      </c>
      <c r="F4" s="15" t="s">
        <v>48</v>
      </c>
      <c r="G4" s="15" t="s">
        <v>49</v>
      </c>
      <c r="H4" s="15" t="s">
        <v>50</v>
      </c>
      <c r="I4" s="15" t="s">
        <v>51</v>
      </c>
      <c r="J4" s="15" t="s">
        <v>52</v>
      </c>
      <c r="K4" s="15" t="s">
        <v>53</v>
      </c>
      <c r="L4" s="15" t="s">
        <v>54</v>
      </c>
      <c r="M4" s="15" t="s">
        <v>37</v>
      </c>
    </row>
    <row r="5" customFormat="false" ht="15" hidden="false" customHeight="false" outlineLevel="0" collapsed="false">
      <c r="A5" s="16" t="s">
        <v>55</v>
      </c>
      <c r="B5" s="16" t="s">
        <v>56</v>
      </c>
      <c r="C5" s="16" t="s">
        <v>57</v>
      </c>
      <c r="D5" s="16" t="n">
        <v>3</v>
      </c>
      <c r="E5" s="17" t="n">
        <v>46266</v>
      </c>
      <c r="F5" s="16" t="s">
        <v>58</v>
      </c>
      <c r="G5" s="16" t="s">
        <v>59</v>
      </c>
      <c r="H5" s="16"/>
      <c r="I5" s="16" t="n">
        <v>12</v>
      </c>
      <c r="J5" s="18" t="n">
        <f aca="false">IF($A5="","",COUNTIF(Matriz!$D$10:$D$129,"OK")+COUNTIF(Matriz!$D$10:$D$129,"Pendiente")+COUNTIF(Matriz!$D$10:$D$129,"Caducado")+COUNTIF(Matriz!$D$10:$D$129,"Caduca pronto"))</f>
        <v>9</v>
      </c>
      <c r="K5" s="18" t="n">
        <f aca="false">IF($A5="","",COUNTIF(Matriz!$D$10:$D$129,"Pendiente"))</f>
        <v>3</v>
      </c>
      <c r="L5" s="18" t="n">
        <f aca="false">IF($A5="","",COUNTIF(Matriz!$D$10:$D$129,"Caducado"))</f>
        <v>0</v>
      </c>
      <c r="M5" s="19" t="n">
        <f aca="false">IF(OR($A5="",N(J5)=0),"",(COUNTIF(Matriz!$D$10:$D$129,"OK")+COUNTIF(Matriz!$D$10:$D$129,"Caduca pronto"))/J5)</f>
        <v>0.666666666666667</v>
      </c>
    </row>
    <row r="6" customFormat="false" ht="15" hidden="false" customHeight="false" outlineLevel="0" collapsed="false">
      <c r="A6" s="16" t="s">
        <v>60</v>
      </c>
      <c r="B6" s="16" t="s">
        <v>56</v>
      </c>
      <c r="C6" s="16" t="s">
        <v>61</v>
      </c>
      <c r="D6" s="16" t="n">
        <v>2</v>
      </c>
      <c r="E6" s="17" t="n">
        <v>46188</v>
      </c>
      <c r="F6" s="16" t="s">
        <v>58</v>
      </c>
      <c r="G6" s="16" t="s">
        <v>62</v>
      </c>
      <c r="H6" s="16" t="s">
        <v>63</v>
      </c>
      <c r="I6" s="16" t="n">
        <v>24</v>
      </c>
      <c r="J6" s="18" t="n">
        <f aca="false">IF($A6="","",COUNTIF(Matriz!$E$10:$E$129,"OK")+COUNTIF(Matriz!$E$10:$E$129,"Pendiente")+COUNTIF(Matriz!$E$10:$E$129,"Caducado")+COUNTIF(Matriz!$E$10:$E$129,"Caduca pronto"))</f>
        <v>2</v>
      </c>
      <c r="K6" s="18" t="n">
        <f aca="false">IF($A6="","",COUNTIF(Matriz!$E$10:$E$129,"Pendiente"))</f>
        <v>0</v>
      </c>
      <c r="L6" s="18" t="n">
        <f aca="false">IF($A6="","",COUNTIF(Matriz!$E$10:$E$129,"Caducado"))</f>
        <v>1</v>
      </c>
      <c r="M6" s="19" t="n">
        <f aca="false">IF(OR($A6="",N(J6)=0),"",(COUNTIF(Matriz!$E$10:$E$129,"OK")+COUNTIF(Matriz!$E$10:$E$129,"Caduca pronto"))/J6)</f>
        <v>0.5</v>
      </c>
    </row>
    <row r="7" customFormat="false" ht="15" hidden="false" customHeight="false" outlineLevel="0" collapsed="false">
      <c r="A7" s="16" t="s">
        <v>64</v>
      </c>
      <c r="B7" s="16" t="s">
        <v>56</v>
      </c>
      <c r="C7" s="16" t="s">
        <v>65</v>
      </c>
      <c r="D7" s="16" t="n">
        <v>1</v>
      </c>
      <c r="E7" s="17" t="n">
        <v>46091</v>
      </c>
      <c r="F7" s="16" t="s">
        <v>58</v>
      </c>
      <c r="G7" s="16" t="s">
        <v>62</v>
      </c>
      <c r="H7" s="16" t="s">
        <v>66</v>
      </c>
      <c r="I7" s="16" t="n">
        <v>12</v>
      </c>
      <c r="J7" s="18" t="n">
        <f aca="false">IF($A7="","",COUNTIF(Matriz!$F$10:$F$129,"OK")+COUNTIF(Matriz!$F$10:$F$129,"Pendiente")+COUNTIF(Matriz!$F$10:$F$129,"Caducado")+COUNTIF(Matriz!$F$10:$F$129,"Caduca pronto"))</f>
        <v>6</v>
      </c>
      <c r="K7" s="18" t="n">
        <f aca="false">IF($A7="","",COUNTIF(Matriz!$F$10:$F$129,"Pendiente"))</f>
        <v>3</v>
      </c>
      <c r="L7" s="18" t="n">
        <f aca="false">IF($A7="","",COUNTIF(Matriz!$F$10:$F$129,"Caducado"))</f>
        <v>0</v>
      </c>
      <c r="M7" s="19" t="n">
        <f aca="false">IF(OR($A7="",N(J7)=0),"",(COUNTIF(Matriz!$F$10:$F$129,"OK")+COUNTIF(Matriz!$F$10:$F$129,"Caduca pronto"))/J7)</f>
        <v>0.5</v>
      </c>
    </row>
    <row r="8" customFormat="false" ht="15" hidden="false" customHeight="false" outlineLevel="0" collapsed="false">
      <c r="A8" s="16" t="s">
        <v>67</v>
      </c>
      <c r="B8" s="16" t="s">
        <v>56</v>
      </c>
      <c r="C8" s="16" t="s">
        <v>68</v>
      </c>
      <c r="D8" s="16" t="n">
        <v>2</v>
      </c>
      <c r="E8" s="17" t="n">
        <v>46254</v>
      </c>
      <c r="F8" s="16" t="s">
        <v>58</v>
      </c>
      <c r="G8" s="16" t="s">
        <v>62</v>
      </c>
      <c r="H8" s="16" t="s">
        <v>69</v>
      </c>
      <c r="I8" s="16" t="n">
        <v>0</v>
      </c>
      <c r="J8" s="18" t="n">
        <f aca="false">IF($A8="","",COUNTIF(Matriz!$G$10:$G$129,"OK")+COUNTIF(Matriz!$G$10:$G$129,"Pendiente")+COUNTIF(Matriz!$G$10:$G$129,"Caducado")+COUNTIF(Matriz!$G$10:$G$129,"Caduca pronto"))</f>
        <v>5</v>
      </c>
      <c r="K8" s="18" t="n">
        <f aca="false">IF($A8="","",COUNTIF(Matriz!$G$10:$G$129,"Pendiente"))</f>
        <v>3</v>
      </c>
      <c r="L8" s="18" t="n">
        <f aca="false">IF($A8="","",COUNTIF(Matriz!$G$10:$G$129,"Caducado"))</f>
        <v>0</v>
      </c>
      <c r="M8" s="19" t="n">
        <f aca="false">IF(OR($A8="",N(J8)=0),"",(COUNTIF(Matriz!$G$10:$G$129,"OK")+COUNTIF(Matriz!$G$10:$G$129,"Caduca pronto"))/J8)</f>
        <v>0.4</v>
      </c>
    </row>
    <row r="9" customFormat="false" ht="15" hidden="false" customHeight="false" outlineLevel="0" collapsed="false">
      <c r="A9" s="16" t="s">
        <v>70</v>
      </c>
      <c r="B9" s="16" t="s">
        <v>71</v>
      </c>
      <c r="C9" s="16" t="s">
        <v>72</v>
      </c>
      <c r="D9" s="16" t="n">
        <v>4</v>
      </c>
      <c r="E9" s="17" t="n">
        <v>46296</v>
      </c>
      <c r="F9" s="16" t="s">
        <v>73</v>
      </c>
      <c r="G9" s="16" t="s">
        <v>62</v>
      </c>
      <c r="H9" s="16" t="s">
        <v>69</v>
      </c>
      <c r="I9" s="16" t="n">
        <v>0</v>
      </c>
      <c r="J9" s="18" t="n">
        <f aca="false">IF($A9="","",COUNTIF(Matriz!$H$10:$H$129,"OK")+COUNTIF(Matriz!$H$10:$H$129,"Pendiente")+COUNTIF(Matriz!$H$10:$H$129,"Caducado")+COUNTIF(Matriz!$H$10:$H$129,"Caduca pronto"))</f>
        <v>5</v>
      </c>
      <c r="K9" s="18" t="n">
        <f aca="false">IF($A9="","",COUNTIF(Matriz!$H$10:$H$129,"Pendiente"))</f>
        <v>4</v>
      </c>
      <c r="L9" s="18" t="n">
        <f aca="false">IF($A9="","",COUNTIF(Matriz!$H$10:$H$129,"Caducado"))</f>
        <v>0</v>
      </c>
      <c r="M9" s="19" t="n">
        <f aca="false">IF(OR($A9="",N(J9)=0),"",(COUNTIF(Matriz!$H$10:$H$129,"OK")+COUNTIF(Matriz!$H$10:$H$129,"Caduca pronto"))/J9)</f>
        <v>0.2</v>
      </c>
    </row>
    <row r="10" customFormat="false" ht="15" hidden="false" customHeight="false" outlineLevel="0" collapsed="false">
      <c r="A10" s="16" t="s">
        <v>74</v>
      </c>
      <c r="B10" s="16" t="s">
        <v>71</v>
      </c>
      <c r="C10" s="16" t="s">
        <v>75</v>
      </c>
      <c r="D10" s="16" t="n">
        <v>2</v>
      </c>
      <c r="E10" s="17" t="n">
        <v>46208</v>
      </c>
      <c r="F10" s="16" t="s">
        <v>73</v>
      </c>
      <c r="G10" s="16" t="s">
        <v>62</v>
      </c>
      <c r="H10" s="16" t="s">
        <v>69</v>
      </c>
      <c r="I10" s="16" t="n">
        <v>0</v>
      </c>
      <c r="J10" s="18" t="n">
        <f aca="false">IF($A10="","",COUNTIF(Matriz!$I$10:$I$129,"OK")+COUNTIF(Matriz!$I$10:$I$129,"Pendiente")+COUNTIF(Matriz!$I$10:$I$129,"Caducado")+COUNTIF(Matriz!$I$10:$I$129,"Caduca pronto"))</f>
        <v>5</v>
      </c>
      <c r="K10" s="18" t="n">
        <f aca="false">IF($A10="","",COUNTIF(Matriz!$I$10:$I$129,"Pendiente"))</f>
        <v>1</v>
      </c>
      <c r="L10" s="18" t="n">
        <f aca="false">IF($A10="","",COUNTIF(Matriz!$I$10:$I$129,"Caducado"))</f>
        <v>0</v>
      </c>
      <c r="M10" s="19" t="n">
        <f aca="false">IF(OR($A10="",N(J10)=0),"",(COUNTIF(Matriz!$I$10:$I$129,"OK")+COUNTIF(Matriz!$I$10:$I$129,"Caduca pronto"))/J10)</f>
        <v>0.8</v>
      </c>
    </row>
    <row r="11" customFormat="false" ht="15" hidden="false" customHeight="false" outlineLevel="0" collapsed="false">
      <c r="A11" s="16" t="s">
        <v>76</v>
      </c>
      <c r="B11" s="16" t="s">
        <v>77</v>
      </c>
      <c r="C11" s="16" t="s">
        <v>78</v>
      </c>
      <c r="D11" s="16" t="n">
        <v>1</v>
      </c>
      <c r="E11" s="17" t="n">
        <v>46144</v>
      </c>
      <c r="F11" s="16" t="s">
        <v>77</v>
      </c>
      <c r="G11" s="16" t="s">
        <v>62</v>
      </c>
      <c r="H11" s="16" t="s">
        <v>79</v>
      </c>
      <c r="I11" s="16" t="n">
        <v>0</v>
      </c>
      <c r="J11" s="18" t="n">
        <f aca="false">IF($A11="","",COUNTIF(Matriz!$J$10:$J$129,"OK")+COUNTIF(Matriz!$J$10:$J$129,"Pendiente")+COUNTIF(Matriz!$J$10:$J$129,"Caducado")+COUNTIF(Matriz!$J$10:$J$129,"Caduca pronto"))</f>
        <v>6</v>
      </c>
      <c r="K11" s="18" t="n">
        <f aca="false">IF($A11="","",COUNTIF(Matriz!$J$10:$J$129,"Pendiente"))</f>
        <v>4</v>
      </c>
      <c r="L11" s="18" t="n">
        <f aca="false">IF($A11="","",COUNTIF(Matriz!$J$10:$J$129,"Caducado"))</f>
        <v>0</v>
      </c>
      <c r="M11" s="19" t="n">
        <f aca="false">IF(OR($A11="",N(J11)=0),"",(COUNTIF(Matriz!$J$10:$J$129,"OK")+COUNTIF(Matriz!$J$10:$J$129,"Caduca pronto"))/J11)</f>
        <v>0.333333333333333</v>
      </c>
    </row>
    <row r="12" customFormat="false" ht="15" hidden="false" customHeight="false" outlineLevel="0" collapsed="false">
      <c r="A12" s="16" t="s">
        <v>80</v>
      </c>
      <c r="B12" s="16" t="s">
        <v>81</v>
      </c>
      <c r="C12" s="16" t="s">
        <v>82</v>
      </c>
      <c r="D12" s="16" t="n">
        <v>1</v>
      </c>
      <c r="E12" s="17" t="n">
        <v>46037</v>
      </c>
      <c r="F12" s="16" t="s">
        <v>83</v>
      </c>
      <c r="G12" s="16" t="s">
        <v>59</v>
      </c>
      <c r="H12" s="16"/>
      <c r="I12" s="16" t="n">
        <v>0</v>
      </c>
      <c r="J12" s="18" t="n">
        <f aca="false">IF($A12="","",COUNTIF(Matriz!$K$10:$K$129,"OK")+COUNTIF(Matriz!$K$10:$K$129,"Pendiente")+COUNTIF(Matriz!$K$10:$K$129,"Caducado")+COUNTIF(Matriz!$K$10:$K$129,"Caduca pronto"))</f>
        <v>9</v>
      </c>
      <c r="K12" s="18" t="n">
        <f aca="false">IF($A12="","",COUNTIF(Matriz!$K$10:$K$129,"Pendiente"))</f>
        <v>4</v>
      </c>
      <c r="L12" s="18" t="n">
        <f aca="false">IF($A12="","",COUNTIF(Matriz!$K$10:$K$129,"Caducado"))</f>
        <v>0</v>
      </c>
      <c r="M12" s="19" t="n">
        <f aca="false">IF(OR($A12="",N(J12)=0),"",(COUNTIF(Matriz!$K$10:$K$129,"OK")+COUNTIF(Matriz!$K$10:$K$129,"Caduca pronto"))/J12)</f>
        <v>0.555555555555556</v>
      </c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6"/>
      <c r="G13" s="16"/>
      <c r="H13" s="16"/>
      <c r="I13" s="16"/>
      <c r="J13" s="18" t="str">
        <f aca="false">IF($A13="","",COUNTIF(Matriz!$L$10:$L$129,"OK")+COUNTIF(Matriz!$L$10:$L$129,"Pendiente")+COUNTIF(Matriz!$L$10:$L$129,"Caducado")+COUNTIF(Matriz!$L$10:$L$129,"Caduca pronto"))</f>
        <v/>
      </c>
      <c r="K13" s="18" t="str">
        <f aca="false">IF($A13="","",COUNTIF(Matriz!$L$10:$L$129,"Pendiente"))</f>
        <v/>
      </c>
      <c r="L13" s="18" t="str">
        <f aca="false">IF($A13="","",COUNTIF(Matriz!$L$10:$L$129,"Caducado"))</f>
        <v/>
      </c>
      <c r="M13" s="19" t="str">
        <f aca="false">IF(OR($A13="",N(J13)=0),"",(COUNTIF(Matriz!$L$10:$L$129,"OK")+COUNTIF(Matriz!$L$10:$L$129,"Caduca pronto"))/J13)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6"/>
      <c r="G14" s="16"/>
      <c r="H14" s="16"/>
      <c r="I14" s="16"/>
      <c r="J14" s="18" t="str">
        <f aca="false">IF($A14="","",COUNTIF(Matriz!$M$10:$M$129,"OK")+COUNTIF(Matriz!$M$10:$M$129,"Pendiente")+COUNTIF(Matriz!$M$10:$M$129,"Caducado")+COUNTIF(Matriz!$M$10:$M$129,"Caduca pronto"))</f>
        <v/>
      </c>
      <c r="K14" s="18" t="str">
        <f aca="false">IF($A14="","",COUNTIF(Matriz!$M$10:$M$129,"Pendiente"))</f>
        <v/>
      </c>
      <c r="L14" s="18" t="str">
        <f aca="false">IF($A14="","",COUNTIF(Matriz!$M$10:$M$129,"Caducado"))</f>
        <v/>
      </c>
      <c r="M14" s="19" t="str">
        <f aca="false">IF(OR($A14="",N(J14)=0),"",(COUNTIF(Matriz!$M$10:$M$129,"OK")+COUNTIF(Matriz!$M$10:$M$129,"Caduca pronto"))/J14)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6"/>
      <c r="G15" s="16"/>
      <c r="H15" s="16"/>
      <c r="I15" s="16"/>
      <c r="J15" s="18" t="str">
        <f aca="false">IF($A15="","",COUNTIF(Matriz!$N$10:$N$129,"OK")+COUNTIF(Matriz!$N$10:$N$129,"Pendiente")+COUNTIF(Matriz!$N$10:$N$129,"Caducado")+COUNTIF(Matriz!$N$10:$N$129,"Caduca pronto"))</f>
        <v/>
      </c>
      <c r="K15" s="18" t="str">
        <f aca="false">IF($A15="","",COUNTIF(Matriz!$N$10:$N$129,"Pendiente"))</f>
        <v/>
      </c>
      <c r="L15" s="18" t="str">
        <f aca="false">IF($A15="","",COUNTIF(Matriz!$N$10:$N$129,"Caducado"))</f>
        <v/>
      </c>
      <c r="M15" s="19" t="str">
        <f aca="false">IF(OR($A15="",N(J15)=0),"",(COUNTIF(Matriz!$N$10:$N$129,"OK")+COUNTIF(Matriz!$N$10:$N$129,"Caduca pronto"))/J15)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6"/>
      <c r="G16" s="16"/>
      <c r="H16" s="16"/>
      <c r="I16" s="16"/>
      <c r="J16" s="18" t="str">
        <f aca="false">IF($A16="","",COUNTIF(Matriz!$O$10:$O$129,"OK")+COUNTIF(Matriz!$O$10:$O$129,"Pendiente")+COUNTIF(Matriz!$O$10:$O$129,"Caducado")+COUNTIF(Matriz!$O$10:$O$129,"Caduca pronto"))</f>
        <v/>
      </c>
      <c r="K16" s="18" t="str">
        <f aca="false">IF($A16="","",COUNTIF(Matriz!$O$10:$O$129,"Pendiente"))</f>
        <v/>
      </c>
      <c r="L16" s="18" t="str">
        <f aca="false">IF($A16="","",COUNTIF(Matriz!$O$10:$O$129,"Caducado"))</f>
        <v/>
      </c>
      <c r="M16" s="19" t="str">
        <f aca="false">IF(OR($A16="",N(J16)=0),"",(COUNTIF(Matriz!$O$10:$O$129,"OK")+COUNTIF(Matriz!$O$10:$O$129,"Caduca pronto"))/J16)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6"/>
      <c r="G17" s="16"/>
      <c r="H17" s="16"/>
      <c r="I17" s="16"/>
      <c r="J17" s="18" t="str">
        <f aca="false">IF($A17="","",COUNTIF(Matriz!$P$10:$P$129,"OK")+COUNTIF(Matriz!$P$10:$P$129,"Pendiente")+COUNTIF(Matriz!$P$10:$P$129,"Caducado")+COUNTIF(Matriz!$P$10:$P$129,"Caduca pronto"))</f>
        <v/>
      </c>
      <c r="K17" s="18" t="str">
        <f aca="false">IF($A17="","",COUNTIF(Matriz!$P$10:$P$129,"Pendiente"))</f>
        <v/>
      </c>
      <c r="L17" s="18" t="str">
        <f aca="false">IF($A17="","",COUNTIF(Matriz!$P$10:$P$129,"Caducado"))</f>
        <v/>
      </c>
      <c r="M17" s="19" t="str">
        <f aca="false">IF(OR($A17="",N(J17)=0),"",(COUNTIF(Matriz!$P$10:$P$129,"OK")+COUNTIF(Matriz!$P$10:$P$129,"Caduca pronto"))/J17)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6"/>
      <c r="G18" s="16"/>
      <c r="H18" s="16"/>
      <c r="I18" s="16"/>
      <c r="J18" s="18" t="str">
        <f aca="false">IF($A18="","",COUNTIF(Matriz!$Q$10:$Q$129,"OK")+COUNTIF(Matriz!$Q$10:$Q$129,"Pendiente")+COUNTIF(Matriz!$Q$10:$Q$129,"Caducado")+COUNTIF(Matriz!$Q$10:$Q$129,"Caduca pronto"))</f>
        <v/>
      </c>
      <c r="K18" s="18" t="str">
        <f aca="false">IF($A18="","",COUNTIF(Matriz!$Q$10:$Q$129,"Pendiente"))</f>
        <v/>
      </c>
      <c r="L18" s="18" t="str">
        <f aca="false">IF($A18="","",COUNTIF(Matriz!$Q$10:$Q$129,"Caducado"))</f>
        <v/>
      </c>
      <c r="M18" s="19" t="str">
        <f aca="false">IF(OR($A18="",N(J18)=0),"",(COUNTIF(Matriz!$Q$10:$Q$129,"OK")+COUNTIF(Matriz!$Q$10:$Q$129,"Caduca pronto"))/J18)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6"/>
      <c r="G19" s="16"/>
      <c r="H19" s="16"/>
      <c r="I19" s="16"/>
      <c r="J19" s="18" t="str">
        <f aca="false">IF($A19="","",COUNTIF(Matriz!$R$10:$R$129,"OK")+COUNTIF(Matriz!$R$10:$R$129,"Pendiente")+COUNTIF(Matriz!$R$10:$R$129,"Caducado")+COUNTIF(Matriz!$R$10:$R$129,"Caduca pronto"))</f>
        <v/>
      </c>
      <c r="K19" s="18" t="str">
        <f aca="false">IF($A19="","",COUNTIF(Matriz!$R$10:$R$129,"Pendiente"))</f>
        <v/>
      </c>
      <c r="L19" s="18" t="str">
        <f aca="false">IF($A19="","",COUNTIF(Matriz!$R$10:$R$129,"Caducado"))</f>
        <v/>
      </c>
      <c r="M19" s="19" t="str">
        <f aca="false">IF(OR($A19="",N(J19)=0),"",(COUNTIF(Matriz!$R$10:$R$129,"OK")+COUNTIF(Matriz!$R$10:$R$129,"Caduca pronto"))/J19)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6"/>
      <c r="G20" s="16"/>
      <c r="H20" s="16"/>
      <c r="I20" s="16"/>
      <c r="J20" s="18" t="str">
        <f aca="false">IF($A20="","",COUNTIF(Matriz!$S$10:$S$129,"OK")+COUNTIF(Matriz!$S$10:$S$129,"Pendiente")+COUNTIF(Matriz!$S$10:$S$129,"Caducado")+COUNTIF(Matriz!$S$10:$S$129,"Caduca pronto"))</f>
        <v/>
      </c>
      <c r="K20" s="18" t="str">
        <f aca="false">IF($A20="","",COUNTIF(Matriz!$S$10:$S$129,"Pendiente"))</f>
        <v/>
      </c>
      <c r="L20" s="18" t="str">
        <f aca="false">IF($A20="","",COUNTIF(Matriz!$S$10:$S$129,"Caducado"))</f>
        <v/>
      </c>
      <c r="M20" s="19" t="str">
        <f aca="false">IF(OR($A20="",N(J20)=0),"",(COUNTIF(Matriz!$S$10:$S$129,"OK")+COUNTIF(Matriz!$S$10:$S$129,"Caduca pronto"))/J20)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6"/>
      <c r="G21" s="16"/>
      <c r="H21" s="16"/>
      <c r="I21" s="16"/>
      <c r="J21" s="18" t="str">
        <f aca="false">IF($A21="","",COUNTIF(Matriz!$T$10:$T$129,"OK")+COUNTIF(Matriz!$T$10:$T$129,"Pendiente")+COUNTIF(Matriz!$T$10:$T$129,"Caducado")+COUNTIF(Matriz!$T$10:$T$129,"Caduca pronto"))</f>
        <v/>
      </c>
      <c r="K21" s="18" t="str">
        <f aca="false">IF($A21="","",COUNTIF(Matriz!$T$10:$T$129,"Pendiente"))</f>
        <v/>
      </c>
      <c r="L21" s="18" t="str">
        <f aca="false">IF($A21="","",COUNTIF(Matriz!$T$10:$T$129,"Caducado"))</f>
        <v/>
      </c>
      <c r="M21" s="19" t="str">
        <f aca="false">IF(OR($A21="",N(J21)=0),"",(COUNTIF(Matriz!$T$10:$T$129,"OK")+COUNTIF(Matriz!$T$10:$T$129,"Caduca pronto"))/J21)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6"/>
      <c r="G22" s="16"/>
      <c r="H22" s="16"/>
      <c r="I22" s="16"/>
      <c r="J22" s="18" t="str">
        <f aca="false">IF($A22="","",COUNTIF(Matriz!$U$10:$U$129,"OK")+COUNTIF(Matriz!$U$10:$U$129,"Pendiente")+COUNTIF(Matriz!$U$10:$U$129,"Caducado")+COUNTIF(Matriz!$U$10:$U$129,"Caduca pronto"))</f>
        <v/>
      </c>
      <c r="K22" s="18" t="str">
        <f aca="false">IF($A22="","",COUNTIF(Matriz!$U$10:$U$129,"Pendiente"))</f>
        <v/>
      </c>
      <c r="L22" s="18" t="str">
        <f aca="false">IF($A22="","",COUNTIF(Matriz!$U$10:$U$129,"Caducado"))</f>
        <v/>
      </c>
      <c r="M22" s="19" t="str">
        <f aca="false">IF(OR($A22="",N(J22)=0),"",(COUNTIF(Matriz!$U$10:$U$129,"OK")+COUNTIF(Matriz!$U$10:$U$129,"Caduca pronto"))/J22)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6"/>
      <c r="G23" s="16"/>
      <c r="H23" s="16"/>
      <c r="I23" s="16"/>
      <c r="J23" s="18" t="str">
        <f aca="false">IF($A23="","",COUNTIF(Matriz!$V$10:$V$129,"OK")+COUNTIF(Matriz!$V$10:$V$129,"Pendiente")+COUNTIF(Matriz!$V$10:$V$129,"Caducado")+COUNTIF(Matriz!$V$10:$V$129,"Caduca pronto"))</f>
        <v/>
      </c>
      <c r="K23" s="18" t="str">
        <f aca="false">IF($A23="","",COUNTIF(Matriz!$V$10:$V$129,"Pendiente"))</f>
        <v/>
      </c>
      <c r="L23" s="18" t="str">
        <f aca="false">IF($A23="","",COUNTIF(Matriz!$V$10:$V$129,"Caducado"))</f>
        <v/>
      </c>
      <c r="M23" s="19" t="str">
        <f aca="false">IF(OR($A23="",N(J23)=0),"",(COUNTIF(Matriz!$V$10:$V$129,"OK")+COUNTIF(Matriz!$V$10:$V$129,"Caduca pronto"))/J23)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6"/>
      <c r="G24" s="16"/>
      <c r="H24" s="16"/>
      <c r="I24" s="16"/>
      <c r="J24" s="18" t="str">
        <f aca="false">IF($A24="","",COUNTIF(Matriz!$W$10:$W$129,"OK")+COUNTIF(Matriz!$W$10:$W$129,"Pendiente")+COUNTIF(Matriz!$W$10:$W$129,"Caducado")+COUNTIF(Matriz!$W$10:$W$129,"Caduca pronto"))</f>
        <v/>
      </c>
      <c r="K24" s="18" t="str">
        <f aca="false">IF($A24="","",COUNTIF(Matriz!$W$10:$W$129,"Pendiente"))</f>
        <v/>
      </c>
      <c r="L24" s="18" t="str">
        <f aca="false">IF($A24="","",COUNTIF(Matriz!$W$10:$W$129,"Caducado"))</f>
        <v/>
      </c>
      <c r="M24" s="19" t="str">
        <f aca="false">IF(OR($A24="",N(J24)=0),"",(COUNTIF(Matriz!$W$10:$W$129,"OK")+COUNTIF(Matriz!$W$10:$W$129,"Caduca pronto"))/J24)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6"/>
      <c r="G25" s="16"/>
      <c r="H25" s="16"/>
      <c r="I25" s="16"/>
      <c r="J25" s="18" t="str">
        <f aca="false">IF($A25="","",COUNTIF(Matriz!$X$10:$X$129,"OK")+COUNTIF(Matriz!$X$10:$X$129,"Pendiente")+COUNTIF(Matriz!$X$10:$X$129,"Caducado")+COUNTIF(Matriz!$X$10:$X$129,"Caduca pronto"))</f>
        <v/>
      </c>
      <c r="K25" s="18" t="str">
        <f aca="false">IF($A25="","",COUNTIF(Matriz!$X$10:$X$129,"Pendiente"))</f>
        <v/>
      </c>
      <c r="L25" s="18" t="str">
        <f aca="false">IF($A25="","",COUNTIF(Matriz!$X$10:$X$129,"Caducado"))</f>
        <v/>
      </c>
      <c r="M25" s="19" t="str">
        <f aca="false">IF(OR($A25="",N(J25)=0),"",(COUNTIF(Matriz!$X$10:$X$129,"OK")+COUNTIF(Matriz!$X$10:$X$129,"Caduca pronto"))/J25)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6"/>
      <c r="G26" s="16"/>
      <c r="H26" s="16"/>
      <c r="I26" s="16"/>
      <c r="J26" s="18" t="str">
        <f aca="false">IF($A26="","",COUNTIF(Matriz!$Y$10:$Y$129,"OK")+COUNTIF(Matriz!$Y$10:$Y$129,"Pendiente")+COUNTIF(Matriz!$Y$10:$Y$129,"Caducado")+COUNTIF(Matriz!$Y$10:$Y$129,"Caduca pronto"))</f>
        <v/>
      </c>
      <c r="K26" s="18" t="str">
        <f aca="false">IF($A26="","",COUNTIF(Matriz!$Y$10:$Y$129,"Pendiente"))</f>
        <v/>
      </c>
      <c r="L26" s="18" t="str">
        <f aca="false">IF($A26="","",COUNTIF(Matriz!$Y$10:$Y$129,"Caducado"))</f>
        <v/>
      </c>
      <c r="M26" s="19" t="str">
        <f aca="false">IF(OR($A26="",N(J26)=0),"",(COUNTIF(Matriz!$Y$10:$Y$129,"OK")+COUNTIF(Matriz!$Y$10:$Y$129,"Caduca pronto"))/J26)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6"/>
      <c r="G27" s="16"/>
      <c r="H27" s="16"/>
      <c r="I27" s="16"/>
      <c r="J27" s="18" t="str">
        <f aca="false">IF($A27="","",COUNTIF(Matriz!$Z$10:$Z$129,"OK")+COUNTIF(Matriz!$Z$10:$Z$129,"Pendiente")+COUNTIF(Matriz!$Z$10:$Z$129,"Caducado")+COUNTIF(Matriz!$Z$10:$Z$129,"Caduca pronto"))</f>
        <v/>
      </c>
      <c r="K27" s="18" t="str">
        <f aca="false">IF($A27="","",COUNTIF(Matriz!$Z$10:$Z$129,"Pendiente"))</f>
        <v/>
      </c>
      <c r="L27" s="18" t="str">
        <f aca="false">IF($A27="","",COUNTIF(Matriz!$Z$10:$Z$129,"Caducado"))</f>
        <v/>
      </c>
      <c r="M27" s="19" t="str">
        <f aca="false">IF(OR($A27="",N(J27)=0),"",(COUNTIF(Matriz!$Z$10:$Z$129,"OK")+COUNTIF(Matriz!$Z$10:$Z$129,"Caduca pronto"))/J27)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6"/>
      <c r="G28" s="16"/>
      <c r="H28" s="16"/>
      <c r="I28" s="16"/>
      <c r="J28" s="18" t="str">
        <f aca="false">IF($A28="","",COUNTIF(Matriz!$AA$10:$AA$129,"OK")+COUNTIF(Matriz!$AA$10:$AA$129,"Pendiente")+COUNTIF(Matriz!$AA$10:$AA$129,"Caducado")+COUNTIF(Matriz!$AA$10:$AA$129,"Caduca pronto"))</f>
        <v/>
      </c>
      <c r="K28" s="18" t="str">
        <f aca="false">IF($A28="","",COUNTIF(Matriz!$AA$10:$AA$129,"Pendiente"))</f>
        <v/>
      </c>
      <c r="L28" s="18" t="str">
        <f aca="false">IF($A28="","",COUNTIF(Matriz!$AA$10:$AA$129,"Caducado"))</f>
        <v/>
      </c>
      <c r="M28" s="19" t="str">
        <f aca="false">IF(OR($A28="",N(J28)=0),"",(COUNTIF(Matriz!$AA$10:$AA$129,"OK")+COUNTIF(Matriz!$AA$10:$AA$129,"Caduca pronto"))/J28)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6"/>
      <c r="G29" s="16"/>
      <c r="H29" s="16"/>
      <c r="I29" s="16"/>
      <c r="J29" s="18" t="str">
        <f aca="false">IF($A29="","",COUNTIF(Matriz!$AB$10:$AB$129,"OK")+COUNTIF(Matriz!$AB$10:$AB$129,"Pendiente")+COUNTIF(Matriz!$AB$10:$AB$129,"Caducado")+COUNTIF(Matriz!$AB$10:$AB$129,"Caduca pronto"))</f>
        <v/>
      </c>
      <c r="K29" s="18" t="str">
        <f aca="false">IF($A29="","",COUNTIF(Matriz!$AB$10:$AB$129,"Pendiente"))</f>
        <v/>
      </c>
      <c r="L29" s="18" t="str">
        <f aca="false">IF($A29="","",COUNTIF(Matriz!$AB$10:$AB$129,"Caducado"))</f>
        <v/>
      </c>
      <c r="M29" s="19" t="str">
        <f aca="false">IF(OR($A29="",N(J29)=0),"",(COUNTIF(Matriz!$AB$10:$AB$129,"OK")+COUNTIF(Matriz!$AB$10:$AB$129,"Caduca pronto"))/J29)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6"/>
      <c r="G30" s="16"/>
      <c r="H30" s="16"/>
      <c r="I30" s="16"/>
      <c r="J30" s="18" t="str">
        <f aca="false">IF($A30="","",COUNTIF(Matriz!$AC$10:$AC$129,"OK")+COUNTIF(Matriz!$AC$10:$AC$129,"Pendiente")+COUNTIF(Matriz!$AC$10:$AC$129,"Caducado")+COUNTIF(Matriz!$AC$10:$AC$129,"Caduca pronto"))</f>
        <v/>
      </c>
      <c r="K30" s="18" t="str">
        <f aca="false">IF($A30="","",COUNTIF(Matriz!$AC$10:$AC$129,"Pendiente"))</f>
        <v/>
      </c>
      <c r="L30" s="18" t="str">
        <f aca="false">IF($A30="","",COUNTIF(Matriz!$AC$10:$AC$129,"Caducado"))</f>
        <v/>
      </c>
      <c r="M30" s="19" t="str">
        <f aca="false">IF(OR($A30="",N(J30)=0),"",(COUNTIF(Matriz!$AC$10:$AC$129,"OK")+COUNTIF(Matriz!$AC$10:$AC$129,"Caduca pronto"))/J30)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6"/>
      <c r="G31" s="16"/>
      <c r="H31" s="16"/>
      <c r="I31" s="16"/>
      <c r="J31" s="18" t="str">
        <f aca="false">IF($A31="","",COUNTIF(Matriz!$AD$10:$AD$129,"OK")+COUNTIF(Matriz!$AD$10:$AD$129,"Pendiente")+COUNTIF(Matriz!$AD$10:$AD$129,"Caducado")+COUNTIF(Matriz!$AD$10:$AD$129,"Caduca pronto"))</f>
        <v/>
      </c>
      <c r="K31" s="18" t="str">
        <f aca="false">IF($A31="","",COUNTIF(Matriz!$AD$10:$AD$129,"Pendiente"))</f>
        <v/>
      </c>
      <c r="L31" s="18" t="str">
        <f aca="false">IF($A31="","",COUNTIF(Matriz!$AD$10:$AD$129,"Caducado"))</f>
        <v/>
      </c>
      <c r="M31" s="19" t="str">
        <f aca="false">IF(OR($A31="",N(J31)=0),"",(COUNTIF(Matriz!$AD$10:$AD$129,"OK")+COUNTIF(Matriz!$AD$10:$AD$129,"Caduca pronto"))/J31)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6"/>
      <c r="G32" s="16"/>
      <c r="H32" s="16"/>
      <c r="I32" s="16"/>
      <c r="J32" s="18" t="str">
        <f aca="false">IF($A32="","",COUNTIF(Matriz!$AE$10:$AE$129,"OK")+COUNTIF(Matriz!$AE$10:$AE$129,"Pendiente")+COUNTIF(Matriz!$AE$10:$AE$129,"Caducado")+COUNTIF(Matriz!$AE$10:$AE$129,"Caduca pronto"))</f>
        <v/>
      </c>
      <c r="K32" s="18" t="str">
        <f aca="false">IF($A32="","",COUNTIF(Matriz!$AE$10:$AE$129,"Pendiente"))</f>
        <v/>
      </c>
      <c r="L32" s="18" t="str">
        <f aca="false">IF($A32="","",COUNTIF(Matriz!$AE$10:$AE$129,"Caducado"))</f>
        <v/>
      </c>
      <c r="M32" s="19" t="str">
        <f aca="false">IF(OR($A32="",N(J32)=0),"",(COUNTIF(Matriz!$AE$10:$AE$129,"OK")+COUNTIF(Matriz!$AE$10:$AE$129,"Caduca pronto"))/J32)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6"/>
      <c r="G33" s="16"/>
      <c r="H33" s="16"/>
      <c r="I33" s="16"/>
      <c r="J33" s="18" t="str">
        <f aca="false">IF($A33="","",COUNTIF(Matriz!$AF$10:$AF$129,"OK")+COUNTIF(Matriz!$AF$10:$AF$129,"Pendiente")+COUNTIF(Matriz!$AF$10:$AF$129,"Caducado")+COUNTIF(Matriz!$AF$10:$AF$129,"Caduca pronto"))</f>
        <v/>
      </c>
      <c r="K33" s="18" t="str">
        <f aca="false">IF($A33="","",COUNTIF(Matriz!$AF$10:$AF$129,"Pendiente"))</f>
        <v/>
      </c>
      <c r="L33" s="18" t="str">
        <f aca="false">IF($A33="","",COUNTIF(Matriz!$AF$10:$AF$129,"Caducado"))</f>
        <v/>
      </c>
      <c r="M33" s="19" t="str">
        <f aca="false">IF(OR($A33="",N(J33)=0),"",(COUNTIF(Matriz!$AF$10:$AF$129,"OK")+COUNTIF(Matriz!$AF$10:$AF$129,"Caduca pronto"))/J33)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6"/>
      <c r="G34" s="16"/>
      <c r="H34" s="16"/>
      <c r="I34" s="16"/>
      <c r="J34" s="18" t="str">
        <f aca="false">IF($A34="","",COUNTIF(Matriz!$AG$10:$AG$129,"OK")+COUNTIF(Matriz!$AG$10:$AG$129,"Pendiente")+COUNTIF(Matriz!$AG$10:$AG$129,"Caducado")+COUNTIF(Matriz!$AG$10:$AG$129,"Caduca pronto"))</f>
        <v/>
      </c>
      <c r="K34" s="18" t="str">
        <f aca="false">IF($A34="","",COUNTIF(Matriz!$AG$10:$AG$129,"Pendiente"))</f>
        <v/>
      </c>
      <c r="L34" s="18" t="str">
        <f aca="false">IF($A34="","",COUNTIF(Matriz!$AG$10:$AG$129,"Caducado"))</f>
        <v/>
      </c>
      <c r="M34" s="19" t="str">
        <f aca="false">IF(OR($A34="",N(J34)=0),"",(COUNTIF(Matriz!$AG$10:$AG$129,"OK")+COUNTIF(Matriz!$AG$10:$AG$129,"Caduca pronto"))/J34)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6"/>
      <c r="G35" s="16"/>
      <c r="H35" s="16"/>
      <c r="I35" s="16"/>
      <c r="J35" s="18" t="str">
        <f aca="false">IF($A35="","",COUNTIF(Matriz!$AH$10:$AH$129,"OK")+COUNTIF(Matriz!$AH$10:$AH$129,"Pendiente")+COUNTIF(Matriz!$AH$10:$AH$129,"Caducado")+COUNTIF(Matriz!$AH$10:$AH$129,"Caduca pronto"))</f>
        <v/>
      </c>
      <c r="K35" s="18" t="str">
        <f aca="false">IF($A35="","",COUNTIF(Matriz!$AH$10:$AH$129,"Pendiente"))</f>
        <v/>
      </c>
      <c r="L35" s="18" t="str">
        <f aca="false">IF($A35="","",COUNTIF(Matriz!$AH$10:$AH$129,"Caducado"))</f>
        <v/>
      </c>
      <c r="M35" s="19" t="str">
        <f aca="false">IF(OR($A35="",N(J35)=0),"",(COUNTIF(Matriz!$AH$10:$AH$129,"OK")+COUNTIF(Matriz!$AH$10:$AH$129,"Caduca pronto"))/J35)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6"/>
      <c r="G36" s="16"/>
      <c r="H36" s="16"/>
      <c r="I36" s="16"/>
      <c r="J36" s="18" t="str">
        <f aca="false">IF($A36="","",COUNTIF(Matriz!$AI$10:$AI$129,"OK")+COUNTIF(Matriz!$AI$10:$AI$129,"Pendiente")+COUNTIF(Matriz!$AI$10:$AI$129,"Caducado")+COUNTIF(Matriz!$AI$10:$AI$129,"Caduca pronto"))</f>
        <v/>
      </c>
      <c r="K36" s="18" t="str">
        <f aca="false">IF($A36="","",COUNTIF(Matriz!$AI$10:$AI$129,"Pendiente"))</f>
        <v/>
      </c>
      <c r="L36" s="18" t="str">
        <f aca="false">IF($A36="","",COUNTIF(Matriz!$AI$10:$AI$129,"Caducado"))</f>
        <v/>
      </c>
      <c r="M36" s="19" t="str">
        <f aca="false">IF(OR($A36="",N(J36)=0),"",(COUNTIF(Matriz!$AI$10:$AI$129,"OK")+COUNTIF(Matriz!$AI$10:$AI$129,"Caduca pronto"))/J36)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6"/>
      <c r="G37" s="16"/>
      <c r="H37" s="16"/>
      <c r="I37" s="16"/>
      <c r="J37" s="18" t="str">
        <f aca="false">IF($A37="","",COUNTIF(Matriz!$AJ$10:$AJ$129,"OK")+COUNTIF(Matriz!$AJ$10:$AJ$129,"Pendiente")+COUNTIF(Matriz!$AJ$10:$AJ$129,"Caducado")+COUNTIF(Matriz!$AJ$10:$AJ$129,"Caduca pronto"))</f>
        <v/>
      </c>
      <c r="K37" s="18" t="str">
        <f aca="false">IF($A37="","",COUNTIF(Matriz!$AJ$10:$AJ$129,"Pendiente"))</f>
        <v/>
      </c>
      <c r="L37" s="18" t="str">
        <f aca="false">IF($A37="","",COUNTIF(Matriz!$AJ$10:$AJ$129,"Caducado"))</f>
        <v/>
      </c>
      <c r="M37" s="19" t="str">
        <f aca="false">IF(OR($A37="",N(J37)=0),"",(COUNTIF(Matriz!$AJ$10:$AJ$129,"OK")+COUNTIF(Matriz!$AJ$10:$AJ$129,"Caduca pronto"))/J37)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6"/>
      <c r="G38" s="16"/>
      <c r="H38" s="16"/>
      <c r="I38" s="16"/>
      <c r="J38" s="18" t="str">
        <f aca="false">IF($A38="","",COUNTIF(Matriz!$AK$10:$AK$129,"OK")+COUNTIF(Matriz!$AK$10:$AK$129,"Pendiente")+COUNTIF(Matriz!$AK$10:$AK$129,"Caducado")+COUNTIF(Matriz!$AK$10:$AK$129,"Caduca pronto"))</f>
        <v/>
      </c>
      <c r="K38" s="18" t="str">
        <f aca="false">IF($A38="","",COUNTIF(Matriz!$AK$10:$AK$129,"Pendiente"))</f>
        <v/>
      </c>
      <c r="L38" s="18" t="str">
        <f aca="false">IF($A38="","",COUNTIF(Matriz!$AK$10:$AK$129,"Caducado"))</f>
        <v/>
      </c>
      <c r="M38" s="19" t="str">
        <f aca="false">IF(OR($A38="",N(J38)=0),"",(COUNTIF(Matriz!$AK$10:$AK$129,"OK")+COUNTIF(Matriz!$AK$10:$AK$129,"Caduca pronto"))/J38)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6"/>
      <c r="G39" s="16"/>
      <c r="H39" s="16"/>
      <c r="I39" s="16"/>
      <c r="J39" s="18" t="str">
        <f aca="false">IF($A39="","",COUNTIF(Matriz!$AL$10:$AL$129,"OK")+COUNTIF(Matriz!$AL$10:$AL$129,"Pendiente")+COUNTIF(Matriz!$AL$10:$AL$129,"Caducado")+COUNTIF(Matriz!$AL$10:$AL$129,"Caduca pronto"))</f>
        <v/>
      </c>
      <c r="K39" s="18" t="str">
        <f aca="false">IF($A39="","",COUNTIF(Matriz!$AL$10:$AL$129,"Pendiente"))</f>
        <v/>
      </c>
      <c r="L39" s="18" t="str">
        <f aca="false">IF($A39="","",COUNTIF(Matriz!$AL$10:$AL$129,"Caducado"))</f>
        <v/>
      </c>
      <c r="M39" s="19" t="str">
        <f aca="false">IF(OR($A39="",N(J39)=0),"",(COUNTIF(Matriz!$AL$10:$AL$129,"OK")+COUNTIF(Matriz!$AL$10:$AL$129,"Caduca pronto"))/J39)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6"/>
      <c r="G40" s="16"/>
      <c r="H40" s="16"/>
      <c r="I40" s="16"/>
      <c r="J40" s="18" t="str">
        <f aca="false">IF($A40="","",COUNTIF(Matriz!$AM$10:$AM$129,"OK")+COUNTIF(Matriz!$AM$10:$AM$129,"Pendiente")+COUNTIF(Matriz!$AM$10:$AM$129,"Caducado")+COUNTIF(Matriz!$AM$10:$AM$129,"Caduca pronto"))</f>
        <v/>
      </c>
      <c r="K40" s="18" t="str">
        <f aca="false">IF($A40="","",COUNTIF(Matriz!$AM$10:$AM$129,"Pendiente"))</f>
        <v/>
      </c>
      <c r="L40" s="18" t="str">
        <f aca="false">IF($A40="","",COUNTIF(Matriz!$AM$10:$AM$129,"Caducado"))</f>
        <v/>
      </c>
      <c r="M40" s="19" t="str">
        <f aca="false">IF(OR($A40="",N(J40)=0),"",(COUNTIF(Matriz!$AM$10:$AM$129,"OK")+COUNTIF(Matriz!$AM$10:$AM$129,"Caduca pronto"))/J40)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6"/>
      <c r="G41" s="16"/>
      <c r="H41" s="16"/>
      <c r="I41" s="16"/>
      <c r="J41" s="18" t="str">
        <f aca="false">IF($A41="","",COUNTIF(Matriz!$AN$10:$AN$129,"OK")+COUNTIF(Matriz!$AN$10:$AN$129,"Pendiente")+COUNTIF(Matriz!$AN$10:$AN$129,"Caducado")+COUNTIF(Matriz!$AN$10:$AN$129,"Caduca pronto"))</f>
        <v/>
      </c>
      <c r="K41" s="18" t="str">
        <f aca="false">IF($A41="","",COUNTIF(Matriz!$AN$10:$AN$129,"Pendiente"))</f>
        <v/>
      </c>
      <c r="L41" s="18" t="str">
        <f aca="false">IF($A41="","",COUNTIF(Matriz!$AN$10:$AN$129,"Caducado"))</f>
        <v/>
      </c>
      <c r="M41" s="19" t="str">
        <f aca="false">IF(OR($A41="",N(J41)=0),"",(COUNTIF(Matriz!$AN$10:$AN$129,"OK")+COUNTIF(Matriz!$AN$10:$AN$129,"Caduca pronto"))/J41)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6"/>
      <c r="G42" s="16"/>
      <c r="H42" s="16"/>
      <c r="I42" s="16"/>
      <c r="J42" s="18" t="str">
        <f aca="false">IF($A42="","",COUNTIF(Matriz!$AO$10:$AO$129,"OK")+COUNTIF(Matriz!$AO$10:$AO$129,"Pendiente")+COUNTIF(Matriz!$AO$10:$AO$129,"Caducado")+COUNTIF(Matriz!$AO$10:$AO$129,"Caduca pronto"))</f>
        <v/>
      </c>
      <c r="K42" s="18" t="str">
        <f aca="false">IF($A42="","",COUNTIF(Matriz!$AO$10:$AO$129,"Pendiente"))</f>
        <v/>
      </c>
      <c r="L42" s="18" t="str">
        <f aca="false">IF($A42="","",COUNTIF(Matriz!$AO$10:$AO$129,"Caducado"))</f>
        <v/>
      </c>
      <c r="M42" s="19" t="str">
        <f aca="false">IF(OR($A42="",N(J42)=0),"",(COUNTIF(Matriz!$AO$10:$AO$129,"OK")+COUNTIF(Matriz!$AO$10:$AO$129,"Caduca pronto"))/J42)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6"/>
      <c r="G43" s="16"/>
      <c r="H43" s="16"/>
      <c r="I43" s="16"/>
      <c r="J43" s="18" t="str">
        <f aca="false">IF($A43="","",COUNTIF(Matriz!$AP$10:$AP$129,"OK")+COUNTIF(Matriz!$AP$10:$AP$129,"Pendiente")+COUNTIF(Matriz!$AP$10:$AP$129,"Caducado")+COUNTIF(Matriz!$AP$10:$AP$129,"Caduca pronto"))</f>
        <v/>
      </c>
      <c r="K43" s="18" t="str">
        <f aca="false">IF($A43="","",COUNTIF(Matriz!$AP$10:$AP$129,"Pendiente"))</f>
        <v/>
      </c>
      <c r="L43" s="18" t="str">
        <f aca="false">IF($A43="","",COUNTIF(Matriz!$AP$10:$AP$129,"Caducado"))</f>
        <v/>
      </c>
      <c r="M43" s="19" t="str">
        <f aca="false">IF(OR($A43="",N(J43)=0),"",(COUNTIF(Matriz!$AP$10:$AP$129,"OK")+COUNTIF(Matriz!$AP$10:$AP$129,"Caduca pronto"))/J43)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6"/>
      <c r="G44" s="16"/>
      <c r="H44" s="16"/>
      <c r="I44" s="16"/>
      <c r="J44" s="18" t="str">
        <f aca="false">IF($A44="","",COUNTIF(Matriz!$AQ$10:$AQ$129,"OK")+COUNTIF(Matriz!$AQ$10:$AQ$129,"Pendiente")+COUNTIF(Matriz!$AQ$10:$AQ$129,"Caducado")+COUNTIF(Matriz!$AQ$10:$AQ$129,"Caduca pronto"))</f>
        <v/>
      </c>
      <c r="K44" s="18" t="str">
        <f aca="false">IF($A44="","",COUNTIF(Matriz!$AQ$10:$AQ$129,"Pendiente"))</f>
        <v/>
      </c>
      <c r="L44" s="18" t="str">
        <f aca="false">IF($A44="","",COUNTIF(Matriz!$AQ$10:$AQ$129,"Caducado"))</f>
        <v/>
      </c>
      <c r="M44" s="19" t="str">
        <f aca="false">IF(OR($A44="",N(J44)=0),"",(COUNTIF(Matriz!$AQ$10:$AQ$129,"OK")+COUNTIF(Matriz!$AQ$10:$AQ$129,"Caduca pronto"))/J44)</f>
        <v/>
      </c>
    </row>
  </sheetData>
  <conditionalFormatting sqref="K5:K44">
    <cfRule type="cellIs" priority="2" operator="greaterThan" aboveAverage="0" equalAverage="0" bottom="0" percent="0" rank="0" text="" dxfId="0">
      <formula>0</formula>
    </cfRule>
  </conditionalFormatting>
  <conditionalFormatting sqref="L5:L44">
    <cfRule type="cellIs" priority="3" operator="greaterThan" aboveAverage="0" equalAverage="0" bottom="0" percent="0" rank="0" text="" dxfId="0">
      <formula>0</formula>
    </cfRule>
  </conditionalFormatting>
  <dataValidations count="4">
    <dataValidation allowBlank="true" errorStyle="stop" operator="between" showDropDown="false" showErrorMessage="false" showInputMessage="false" sqref="B5:B44" type="list">
      <formula1>"PRL,IT,Calidad,Política,Otra"</formula1>
      <formula2>0</formula2>
    </dataValidation>
    <dataValidation allowBlank="true" errorStyle="stop" operator="between" showDropDown="false" showErrorMessage="false" showInputMessage="false" sqref="G5:G44" type="list">
      <formula1>"Toda la plantilla,Por puesto"</formula1>
      <formula2>0</formula2>
    </dataValidation>
    <dataValidation allowBlank="true" error="La versión es un número entero (1, 2, 3…)" errorStyle="stop" operator="greaterThanOrEqual" showDropDown="false" showErrorMessage="true" showInputMessage="false" sqref="D5:D44" type="whole">
      <formula1>1</formula1>
      <formula2>0</formula2>
    </dataValidation>
    <dataValidation allowBlank="true" errorStyle="stop" operator="greaterThanOrEqual" showDropDown="false" showErrorMessage="false" showInputMessage="false" sqref="I5:I4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7" t="s">
        <v>84</v>
      </c>
    </row>
    <row r="2" customFormat="false" ht="15" hidden="false" customHeight="false" outlineLevel="0" collapsed="false">
      <c r="A2" s="2" t="s">
        <v>85</v>
      </c>
    </row>
    <row r="4" customFormat="false" ht="31.5" hidden="false" customHeight="true" outlineLevel="0" collapsed="false">
      <c r="A4" s="15" t="s">
        <v>86</v>
      </c>
      <c r="B4" s="15" t="s">
        <v>87</v>
      </c>
      <c r="C4" s="15" t="s">
        <v>88</v>
      </c>
      <c r="D4" s="15" t="s">
        <v>89</v>
      </c>
      <c r="E4" s="15" t="s">
        <v>90</v>
      </c>
      <c r="F4" s="15" t="s">
        <v>91</v>
      </c>
      <c r="G4" s="15" t="s">
        <v>92</v>
      </c>
      <c r="H4" s="15" t="s">
        <v>53</v>
      </c>
      <c r="I4" s="15" t="s">
        <v>54</v>
      </c>
      <c r="J4" s="15" t="s">
        <v>93</v>
      </c>
    </row>
    <row r="5" customFormat="false" ht="15" hidden="false" customHeight="false" outlineLevel="0" collapsed="false">
      <c r="A5" s="16" t="s">
        <v>94</v>
      </c>
      <c r="B5" s="16" t="s">
        <v>95</v>
      </c>
      <c r="C5" s="16" t="s">
        <v>69</v>
      </c>
      <c r="D5" s="16" t="s">
        <v>96</v>
      </c>
      <c r="E5" s="16" t="s">
        <v>97</v>
      </c>
      <c r="F5" s="17" t="n">
        <v>44256</v>
      </c>
      <c r="G5" s="16" t="s">
        <v>98</v>
      </c>
      <c r="H5" s="18" t="n">
        <f aca="false">IF(Matriz!$A$10="","",COUNTIF(Matriz!$D$10:$AQ$10,"Pendiente"))</f>
        <v>0</v>
      </c>
      <c r="I5" s="18" t="n">
        <f aca="false">IF(Matriz!$A$10="","",COUNTIF(Matriz!$D$10:$AQ$10,"Caducado"))</f>
        <v>0</v>
      </c>
      <c r="J5" s="18" t="n">
        <f aca="false">IF(Matriz!$A$10="","",COUNTIF(Matriz!$D$10:$AQ$10,"Caduca pronto"))</f>
        <v>0</v>
      </c>
    </row>
    <row r="6" customFormat="false" ht="15" hidden="false" customHeight="false" outlineLevel="0" collapsed="false">
      <c r="A6" s="16" t="s">
        <v>99</v>
      </c>
      <c r="B6" s="16" t="s">
        <v>100</v>
      </c>
      <c r="C6" s="16" t="s">
        <v>69</v>
      </c>
      <c r="D6" s="16" t="s">
        <v>101</v>
      </c>
      <c r="E6" s="16" t="s">
        <v>97</v>
      </c>
      <c r="F6" s="17" t="n">
        <v>43724</v>
      </c>
      <c r="G6" s="16" t="s">
        <v>98</v>
      </c>
      <c r="H6" s="18" t="n">
        <f aca="false">IF(Matriz!$A$11="","",COUNTIF(Matriz!$D$11:$AQ$11,"Pendiente"))</f>
        <v>4</v>
      </c>
      <c r="I6" s="18" t="n">
        <f aca="false">IF(Matriz!$A$11="","",COUNTIF(Matriz!$D$11:$AQ$11,"Caducado"))</f>
        <v>0</v>
      </c>
      <c r="J6" s="18" t="n">
        <f aca="false">IF(Matriz!$A$11="","",COUNTIF(Matriz!$D$11:$AQ$11,"Caduca pronto"))</f>
        <v>0</v>
      </c>
    </row>
    <row r="7" customFormat="false" ht="15" hidden="false" customHeight="false" outlineLevel="0" collapsed="false">
      <c r="A7" s="16" t="s">
        <v>102</v>
      </c>
      <c r="B7" s="16" t="s">
        <v>103</v>
      </c>
      <c r="C7" s="16" t="s">
        <v>69</v>
      </c>
      <c r="D7" s="16" t="s">
        <v>104</v>
      </c>
      <c r="E7" s="16" t="s">
        <v>97</v>
      </c>
      <c r="F7" s="17" t="n">
        <v>44935</v>
      </c>
      <c r="G7" s="16" t="s">
        <v>98</v>
      </c>
      <c r="H7" s="18" t="n">
        <f aca="false">IF(Matriz!$A$12="","",COUNTIF(Matriz!$D$12:$AQ$12,"Pendiente"))</f>
        <v>4</v>
      </c>
      <c r="I7" s="18" t="n">
        <f aca="false">IF(Matriz!$A$12="","",COUNTIF(Matriz!$D$12:$AQ$12,"Caducado"))</f>
        <v>0</v>
      </c>
      <c r="J7" s="18" t="n">
        <f aca="false">IF(Matriz!$A$12="","",COUNTIF(Matriz!$D$12:$AQ$12,"Caduca pronto"))</f>
        <v>0</v>
      </c>
    </row>
    <row r="8" customFormat="false" ht="15" hidden="false" customHeight="false" outlineLevel="0" collapsed="false">
      <c r="A8" s="16" t="s">
        <v>105</v>
      </c>
      <c r="B8" s="16" t="s">
        <v>106</v>
      </c>
      <c r="C8" s="16" t="s">
        <v>107</v>
      </c>
      <c r="D8" s="16" t="s">
        <v>96</v>
      </c>
      <c r="E8" s="16" t="s">
        <v>97</v>
      </c>
      <c r="F8" s="17" t="n">
        <v>43222</v>
      </c>
      <c r="G8" s="16" t="s">
        <v>98</v>
      </c>
      <c r="H8" s="18" t="n">
        <f aca="false">IF(Matriz!$A$13="","",COUNTIF(Matriz!$D$13:$AQ$13,"Pendiente"))</f>
        <v>0</v>
      </c>
      <c r="I8" s="18" t="n">
        <f aca="false">IF(Matriz!$A$13="","",COUNTIF(Matriz!$D$13:$AQ$13,"Caducado"))</f>
        <v>0</v>
      </c>
      <c r="J8" s="18" t="n">
        <f aca="false">IF(Matriz!$A$13="","",COUNTIF(Matriz!$D$13:$AQ$13,"Caduca pronto"))</f>
        <v>1</v>
      </c>
    </row>
    <row r="9" customFormat="false" ht="15" hidden="false" customHeight="false" outlineLevel="0" collapsed="false">
      <c r="A9" s="16" t="s">
        <v>108</v>
      </c>
      <c r="B9" s="16" t="s">
        <v>109</v>
      </c>
      <c r="C9" s="16" t="s">
        <v>77</v>
      </c>
      <c r="D9" s="16" t="s">
        <v>96</v>
      </c>
      <c r="E9" s="16" t="s">
        <v>97</v>
      </c>
      <c r="F9" s="17" t="n">
        <v>44872</v>
      </c>
      <c r="G9" s="16" t="s">
        <v>98</v>
      </c>
      <c r="H9" s="18" t="n">
        <f aca="false">IF(Matriz!$A$14="","",COUNTIF(Matriz!$D$14:$AQ$14,"Pendiente"))</f>
        <v>0</v>
      </c>
      <c r="I9" s="18" t="n">
        <f aca="false">IF(Matriz!$A$14="","",COUNTIF(Matriz!$D$14:$AQ$14,"Caducado"))</f>
        <v>0</v>
      </c>
      <c r="J9" s="18" t="n">
        <f aca="false">IF(Matriz!$A$14="","",COUNTIF(Matriz!$D$14:$AQ$14,"Caduca pronto"))</f>
        <v>0</v>
      </c>
    </row>
    <row r="10" customFormat="false" ht="15" hidden="false" customHeight="false" outlineLevel="0" collapsed="false">
      <c r="A10" s="16" t="s">
        <v>110</v>
      </c>
      <c r="B10" s="16" t="s">
        <v>111</v>
      </c>
      <c r="C10" s="16" t="s">
        <v>112</v>
      </c>
      <c r="D10" s="16" t="s">
        <v>101</v>
      </c>
      <c r="E10" s="16" t="s">
        <v>97</v>
      </c>
      <c r="F10" s="17" t="n">
        <v>43864</v>
      </c>
      <c r="G10" s="16" t="s">
        <v>98</v>
      </c>
      <c r="H10" s="18" t="n">
        <f aca="false">IF(Matriz!$A$15="","",COUNTIF(Matriz!$D$15:$AQ$15,"Pendiente"))</f>
        <v>1</v>
      </c>
      <c r="I10" s="18" t="n">
        <f aca="false">IF(Matriz!$A$15="","",COUNTIF(Matriz!$D$15:$AQ$15,"Caducado"))</f>
        <v>1</v>
      </c>
      <c r="J10" s="18" t="n">
        <f aca="false">IF(Matriz!$A$15="","",COUNTIF(Matriz!$D$15:$AQ$15,"Caduca pronto"))</f>
        <v>0</v>
      </c>
    </row>
    <row r="11" customFormat="false" ht="15" hidden="false" customHeight="false" outlineLevel="0" collapsed="false">
      <c r="A11" s="16" t="s">
        <v>113</v>
      </c>
      <c r="B11" s="16" t="s">
        <v>114</v>
      </c>
      <c r="C11" s="16" t="s">
        <v>115</v>
      </c>
      <c r="D11" s="16" t="s">
        <v>96</v>
      </c>
      <c r="E11" s="16" t="s">
        <v>97</v>
      </c>
      <c r="F11" s="17" t="n">
        <v>45404</v>
      </c>
      <c r="G11" s="16" t="s">
        <v>98</v>
      </c>
      <c r="H11" s="18" t="n">
        <f aca="false">IF(Matriz!$A$16="","",COUNTIF(Matriz!$D$16:$AQ$16,"Pendiente"))</f>
        <v>1</v>
      </c>
      <c r="I11" s="18" t="n">
        <f aca="false">IF(Matriz!$A$16="","",COUNTIF(Matriz!$D$16:$AQ$16,"Caducado"))</f>
        <v>0</v>
      </c>
      <c r="J11" s="18" t="n">
        <f aca="false">IF(Matriz!$A$16="","",COUNTIF(Matriz!$D$16:$AQ$16,"Caduca pronto"))</f>
        <v>0</v>
      </c>
    </row>
    <row r="12" customFormat="false" ht="15" hidden="false" customHeight="false" outlineLevel="0" collapsed="false">
      <c r="A12" s="16" t="s">
        <v>116</v>
      </c>
      <c r="B12" s="16" t="s">
        <v>117</v>
      </c>
      <c r="C12" s="16" t="s">
        <v>69</v>
      </c>
      <c r="D12" s="16" t="s">
        <v>104</v>
      </c>
      <c r="E12" s="16" t="s">
        <v>98</v>
      </c>
      <c r="F12" s="17" t="n">
        <v>46294</v>
      </c>
      <c r="G12" s="16" t="s">
        <v>98</v>
      </c>
      <c r="H12" s="18" t="n">
        <f aca="false">IF(Matriz!$A$17="","",COUNTIF(Matriz!$D$17:$AQ$17,"Pendiente"))</f>
        <v>5</v>
      </c>
      <c r="I12" s="18" t="n">
        <f aca="false">IF(Matriz!$A$17="","",COUNTIF(Matriz!$D$17:$AQ$17,"Caducado"))</f>
        <v>0</v>
      </c>
      <c r="J12" s="18" t="n">
        <f aca="false">IF(Matriz!$A$17="","",COUNTIF(Matriz!$D$17:$AQ$17,"Caduca pronto"))</f>
        <v>0</v>
      </c>
    </row>
    <row r="13" customFormat="false" ht="15" hidden="false" customHeight="false" outlineLevel="0" collapsed="false">
      <c r="A13" s="16" t="s">
        <v>118</v>
      </c>
      <c r="B13" s="16" t="s">
        <v>119</v>
      </c>
      <c r="C13" s="16" t="s">
        <v>69</v>
      </c>
      <c r="D13" s="16" t="s">
        <v>101</v>
      </c>
      <c r="E13" s="16" t="s">
        <v>98</v>
      </c>
      <c r="F13" s="17" t="n">
        <v>46301</v>
      </c>
      <c r="G13" s="16" t="s">
        <v>98</v>
      </c>
      <c r="H13" s="18" t="n">
        <f aca="false">IF(Matriz!$A$18="","",COUNTIF(Matriz!$D$18:$AQ$18,"Pendiente"))</f>
        <v>7</v>
      </c>
      <c r="I13" s="18" t="n">
        <f aca="false">IF(Matriz!$A$18="","",COUNTIF(Matriz!$D$18:$AQ$18,"Caducado"))</f>
        <v>0</v>
      </c>
      <c r="J13" s="18" t="n">
        <f aca="false">IF(Matriz!$A$18="","",COUNTIF(Matriz!$D$18:$AQ$18,"Caduca pronto"))</f>
        <v>0</v>
      </c>
    </row>
    <row r="14" customFormat="false" ht="15" hidden="false" customHeight="false" outlineLevel="0" collapsed="false">
      <c r="A14" s="16" t="s">
        <v>120</v>
      </c>
      <c r="B14" s="16" t="s">
        <v>121</v>
      </c>
      <c r="C14" s="16" t="s">
        <v>69</v>
      </c>
      <c r="D14" s="16" t="s">
        <v>96</v>
      </c>
      <c r="E14" s="16" t="s">
        <v>97</v>
      </c>
      <c r="F14" s="17" t="n">
        <v>42898</v>
      </c>
      <c r="G14" s="16" t="s">
        <v>97</v>
      </c>
      <c r="H14" s="18" t="str">
        <f aca="false">IF(Matriz!$A$19="","",COUNTIF(Matriz!$D$19:$AQ$19,"Pendiente"))</f>
        <v/>
      </c>
      <c r="I14" s="18" t="str">
        <f aca="false">IF(Matriz!$A$19="","",COUNTIF(Matriz!$D$19:$AQ$19,"Caducado"))</f>
        <v/>
      </c>
      <c r="J14" s="18" t="str">
        <f aca="false">IF(Matriz!$A$19="","",COUNTIF(Matriz!$D$19:$AQ$19,"Caduca pronto"))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7"/>
      <c r="G15" s="16"/>
      <c r="H15" s="18" t="str">
        <f aca="false">IF(Matriz!$A$20="","",COUNTIF(Matriz!$D$20:$AQ$20,"Pendiente"))</f>
        <v/>
      </c>
      <c r="I15" s="18" t="str">
        <f aca="false">IF(Matriz!$A$20="","",COUNTIF(Matriz!$D$20:$AQ$20,"Caducado"))</f>
        <v/>
      </c>
      <c r="J15" s="18" t="str">
        <f aca="false">IF(Matriz!$A$20="","",COUNTIF(Matriz!$D$20:$AQ$20,"Caduca pronto"))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7"/>
      <c r="G16" s="16"/>
      <c r="H16" s="18" t="str">
        <f aca="false">IF(Matriz!$A$21="","",COUNTIF(Matriz!$D$21:$AQ$21,"Pendiente"))</f>
        <v/>
      </c>
      <c r="I16" s="18" t="str">
        <f aca="false">IF(Matriz!$A$21="","",COUNTIF(Matriz!$D$21:$AQ$21,"Caducado"))</f>
        <v/>
      </c>
      <c r="J16" s="18" t="str">
        <f aca="false">IF(Matriz!$A$21="","",COUNTIF(Matriz!$D$21:$AQ$21,"Caduca pronto"))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7"/>
      <c r="G17" s="16"/>
      <c r="H17" s="18" t="str">
        <f aca="false">IF(Matriz!$A$22="","",COUNTIF(Matriz!$D$22:$AQ$22,"Pendiente"))</f>
        <v/>
      </c>
      <c r="I17" s="18" t="str">
        <f aca="false">IF(Matriz!$A$22="","",COUNTIF(Matriz!$D$22:$AQ$22,"Caducado"))</f>
        <v/>
      </c>
      <c r="J17" s="18" t="str">
        <f aca="false">IF(Matriz!$A$22="","",COUNTIF(Matriz!$D$22:$AQ$22,"Caduca pronto"))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7"/>
      <c r="G18" s="16"/>
      <c r="H18" s="18" t="str">
        <f aca="false">IF(Matriz!$A$23="","",COUNTIF(Matriz!$D$23:$AQ$23,"Pendiente"))</f>
        <v/>
      </c>
      <c r="I18" s="18" t="str">
        <f aca="false">IF(Matriz!$A$23="","",COUNTIF(Matriz!$D$23:$AQ$23,"Caducado"))</f>
        <v/>
      </c>
      <c r="J18" s="18" t="str">
        <f aca="false">IF(Matriz!$A$23="","",COUNTIF(Matriz!$D$23:$AQ$23,"Caduca pronto"))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7"/>
      <c r="G19" s="16"/>
      <c r="H19" s="18" t="str">
        <f aca="false">IF(Matriz!$A$24="","",COUNTIF(Matriz!$D$24:$AQ$24,"Pendiente"))</f>
        <v/>
      </c>
      <c r="I19" s="18" t="str">
        <f aca="false">IF(Matriz!$A$24="","",COUNTIF(Matriz!$D$24:$AQ$24,"Caducado"))</f>
        <v/>
      </c>
      <c r="J19" s="18" t="str">
        <f aca="false">IF(Matriz!$A$24="","",COUNTIF(Matriz!$D$24:$AQ$24,"Caduca pronto"))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7"/>
      <c r="G20" s="16"/>
      <c r="H20" s="18" t="str">
        <f aca="false">IF(Matriz!$A$25="","",COUNTIF(Matriz!$D$25:$AQ$25,"Pendiente"))</f>
        <v/>
      </c>
      <c r="I20" s="18" t="str">
        <f aca="false">IF(Matriz!$A$25="","",COUNTIF(Matriz!$D$25:$AQ$25,"Caducado"))</f>
        <v/>
      </c>
      <c r="J20" s="18" t="str">
        <f aca="false">IF(Matriz!$A$25="","",COUNTIF(Matriz!$D$25:$AQ$25,"Caduca pronto"))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7"/>
      <c r="G21" s="16"/>
      <c r="H21" s="18" t="str">
        <f aca="false">IF(Matriz!$A$26="","",COUNTIF(Matriz!$D$26:$AQ$26,"Pendiente"))</f>
        <v/>
      </c>
      <c r="I21" s="18" t="str">
        <f aca="false">IF(Matriz!$A$26="","",COUNTIF(Matriz!$D$26:$AQ$26,"Caducado"))</f>
        <v/>
      </c>
      <c r="J21" s="18" t="str">
        <f aca="false">IF(Matriz!$A$26="","",COUNTIF(Matriz!$D$26:$AQ$26,"Caduca pronto"))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7"/>
      <c r="G22" s="16"/>
      <c r="H22" s="18" t="str">
        <f aca="false">IF(Matriz!$A$27="","",COUNTIF(Matriz!$D$27:$AQ$27,"Pendiente"))</f>
        <v/>
      </c>
      <c r="I22" s="18" t="str">
        <f aca="false">IF(Matriz!$A$27="","",COUNTIF(Matriz!$D$27:$AQ$27,"Caducado"))</f>
        <v/>
      </c>
      <c r="J22" s="18" t="str">
        <f aca="false">IF(Matriz!$A$27="","",COUNTIF(Matriz!$D$27:$AQ$27,"Caduca pronto"))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7"/>
      <c r="G23" s="16"/>
      <c r="H23" s="18" t="str">
        <f aca="false">IF(Matriz!$A$28="","",COUNTIF(Matriz!$D$28:$AQ$28,"Pendiente"))</f>
        <v/>
      </c>
      <c r="I23" s="18" t="str">
        <f aca="false">IF(Matriz!$A$28="","",COUNTIF(Matriz!$D$28:$AQ$28,"Caducado"))</f>
        <v/>
      </c>
      <c r="J23" s="18" t="str">
        <f aca="false">IF(Matriz!$A$28="","",COUNTIF(Matriz!$D$28:$AQ$28,"Caduca pronto"))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7"/>
      <c r="G24" s="16"/>
      <c r="H24" s="18" t="str">
        <f aca="false">IF(Matriz!$A$29="","",COUNTIF(Matriz!$D$29:$AQ$29,"Pendiente"))</f>
        <v/>
      </c>
      <c r="I24" s="18" t="str">
        <f aca="false">IF(Matriz!$A$29="","",COUNTIF(Matriz!$D$29:$AQ$29,"Caducado"))</f>
        <v/>
      </c>
      <c r="J24" s="18" t="str">
        <f aca="false">IF(Matriz!$A$29="","",COUNTIF(Matriz!$D$29:$AQ$29,"Caduca pronto"))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7"/>
      <c r="G25" s="16"/>
      <c r="H25" s="18" t="str">
        <f aca="false">IF(Matriz!$A$30="","",COUNTIF(Matriz!$D$30:$AQ$30,"Pendiente"))</f>
        <v/>
      </c>
      <c r="I25" s="18" t="str">
        <f aca="false">IF(Matriz!$A$30="","",COUNTIF(Matriz!$D$30:$AQ$30,"Caducado"))</f>
        <v/>
      </c>
      <c r="J25" s="18" t="str">
        <f aca="false">IF(Matriz!$A$30="","",COUNTIF(Matriz!$D$30:$AQ$30,"Caduca pronto"))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7"/>
      <c r="G26" s="16"/>
      <c r="H26" s="18" t="str">
        <f aca="false">IF(Matriz!$A$31="","",COUNTIF(Matriz!$D$31:$AQ$31,"Pendiente"))</f>
        <v/>
      </c>
      <c r="I26" s="18" t="str">
        <f aca="false">IF(Matriz!$A$31="","",COUNTIF(Matriz!$D$31:$AQ$31,"Caducado"))</f>
        <v/>
      </c>
      <c r="J26" s="18" t="str">
        <f aca="false">IF(Matriz!$A$31="","",COUNTIF(Matriz!$D$31:$AQ$31,"Caduca pronto"))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7"/>
      <c r="G27" s="16"/>
      <c r="H27" s="18" t="str">
        <f aca="false">IF(Matriz!$A$32="","",COUNTIF(Matriz!$D$32:$AQ$32,"Pendiente"))</f>
        <v/>
      </c>
      <c r="I27" s="18" t="str">
        <f aca="false">IF(Matriz!$A$32="","",COUNTIF(Matriz!$D$32:$AQ$32,"Caducado"))</f>
        <v/>
      </c>
      <c r="J27" s="18" t="str">
        <f aca="false">IF(Matriz!$A$32="","",COUNTIF(Matriz!$D$32:$AQ$32,"Caduca pronto"))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7"/>
      <c r="G28" s="16"/>
      <c r="H28" s="18" t="str">
        <f aca="false">IF(Matriz!$A$33="","",COUNTIF(Matriz!$D$33:$AQ$33,"Pendiente"))</f>
        <v/>
      </c>
      <c r="I28" s="18" t="str">
        <f aca="false">IF(Matriz!$A$33="","",COUNTIF(Matriz!$D$33:$AQ$33,"Caducado"))</f>
        <v/>
      </c>
      <c r="J28" s="18" t="str">
        <f aca="false">IF(Matriz!$A$33="","",COUNTIF(Matriz!$D$33:$AQ$33,"Caduca pronto"))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7"/>
      <c r="G29" s="16"/>
      <c r="H29" s="18" t="str">
        <f aca="false">IF(Matriz!$A$34="","",COUNTIF(Matriz!$D$34:$AQ$34,"Pendiente"))</f>
        <v/>
      </c>
      <c r="I29" s="18" t="str">
        <f aca="false">IF(Matriz!$A$34="","",COUNTIF(Matriz!$D$34:$AQ$34,"Caducado"))</f>
        <v/>
      </c>
      <c r="J29" s="18" t="str">
        <f aca="false">IF(Matriz!$A$34="","",COUNTIF(Matriz!$D$34:$AQ$34,"Caduca pronto"))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7"/>
      <c r="G30" s="16"/>
      <c r="H30" s="18" t="str">
        <f aca="false">IF(Matriz!$A$35="","",COUNTIF(Matriz!$D$35:$AQ$35,"Pendiente"))</f>
        <v/>
      </c>
      <c r="I30" s="18" t="str">
        <f aca="false">IF(Matriz!$A$35="","",COUNTIF(Matriz!$D$35:$AQ$35,"Caducado"))</f>
        <v/>
      </c>
      <c r="J30" s="18" t="str">
        <f aca="false">IF(Matriz!$A$35="","",COUNTIF(Matriz!$D$35:$AQ$35,"Caduca pronto"))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7"/>
      <c r="G31" s="16"/>
      <c r="H31" s="18" t="str">
        <f aca="false">IF(Matriz!$A$36="","",COUNTIF(Matriz!$D$36:$AQ$36,"Pendiente"))</f>
        <v/>
      </c>
      <c r="I31" s="18" t="str">
        <f aca="false">IF(Matriz!$A$36="","",COUNTIF(Matriz!$D$36:$AQ$36,"Caducado"))</f>
        <v/>
      </c>
      <c r="J31" s="18" t="str">
        <f aca="false">IF(Matriz!$A$36="","",COUNTIF(Matriz!$D$36:$AQ$36,"Caduca pronto"))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7"/>
      <c r="G32" s="16"/>
      <c r="H32" s="18" t="str">
        <f aca="false">IF(Matriz!$A$37="","",COUNTIF(Matriz!$D$37:$AQ$37,"Pendiente"))</f>
        <v/>
      </c>
      <c r="I32" s="18" t="str">
        <f aca="false">IF(Matriz!$A$37="","",COUNTIF(Matriz!$D$37:$AQ$37,"Caducado"))</f>
        <v/>
      </c>
      <c r="J32" s="18" t="str">
        <f aca="false">IF(Matriz!$A$37="","",COUNTIF(Matriz!$D$37:$AQ$37,"Caduca pronto"))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7"/>
      <c r="G33" s="16"/>
      <c r="H33" s="18" t="str">
        <f aca="false">IF(Matriz!$A$38="","",COUNTIF(Matriz!$D$38:$AQ$38,"Pendiente"))</f>
        <v/>
      </c>
      <c r="I33" s="18" t="str">
        <f aca="false">IF(Matriz!$A$38="","",COUNTIF(Matriz!$D$38:$AQ$38,"Caducado"))</f>
        <v/>
      </c>
      <c r="J33" s="18" t="str">
        <f aca="false">IF(Matriz!$A$38="","",COUNTIF(Matriz!$D$38:$AQ$38,"Caduca pronto"))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7"/>
      <c r="G34" s="16"/>
      <c r="H34" s="18" t="str">
        <f aca="false">IF(Matriz!$A$39="","",COUNTIF(Matriz!$D$39:$AQ$39,"Pendiente"))</f>
        <v/>
      </c>
      <c r="I34" s="18" t="str">
        <f aca="false">IF(Matriz!$A$39="","",COUNTIF(Matriz!$D$39:$AQ$39,"Caducado"))</f>
        <v/>
      </c>
      <c r="J34" s="18" t="str">
        <f aca="false">IF(Matriz!$A$39="","",COUNTIF(Matriz!$D$39:$AQ$39,"Caduca pronto"))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/>
      <c r="G35" s="16"/>
      <c r="H35" s="18" t="str">
        <f aca="false">IF(Matriz!$A$40="","",COUNTIF(Matriz!$D$40:$AQ$40,"Pendiente"))</f>
        <v/>
      </c>
      <c r="I35" s="18" t="str">
        <f aca="false">IF(Matriz!$A$40="","",COUNTIF(Matriz!$D$40:$AQ$40,"Caducado"))</f>
        <v/>
      </c>
      <c r="J35" s="18" t="str">
        <f aca="false">IF(Matriz!$A$40="","",COUNTIF(Matriz!$D$40:$AQ$40,"Caduca pronto"))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7"/>
      <c r="G36" s="16"/>
      <c r="H36" s="18" t="str">
        <f aca="false">IF(Matriz!$A$41="","",COUNTIF(Matriz!$D$41:$AQ$41,"Pendiente"))</f>
        <v/>
      </c>
      <c r="I36" s="18" t="str">
        <f aca="false">IF(Matriz!$A$41="","",COUNTIF(Matriz!$D$41:$AQ$41,"Caducado"))</f>
        <v/>
      </c>
      <c r="J36" s="18" t="str">
        <f aca="false">IF(Matriz!$A$41="","",COUNTIF(Matriz!$D$41:$AQ$41,"Caduca pronto"))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7"/>
      <c r="G37" s="16"/>
      <c r="H37" s="18" t="str">
        <f aca="false">IF(Matriz!$A$42="","",COUNTIF(Matriz!$D$42:$AQ$42,"Pendiente"))</f>
        <v/>
      </c>
      <c r="I37" s="18" t="str">
        <f aca="false">IF(Matriz!$A$42="","",COUNTIF(Matriz!$D$42:$AQ$42,"Caducado"))</f>
        <v/>
      </c>
      <c r="J37" s="18" t="str">
        <f aca="false">IF(Matriz!$A$42="","",COUNTIF(Matriz!$D$42:$AQ$42,"Caduca pronto"))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7"/>
      <c r="G38" s="16"/>
      <c r="H38" s="18" t="str">
        <f aca="false">IF(Matriz!$A$43="","",COUNTIF(Matriz!$D$43:$AQ$43,"Pendiente"))</f>
        <v/>
      </c>
      <c r="I38" s="18" t="str">
        <f aca="false">IF(Matriz!$A$43="","",COUNTIF(Matriz!$D$43:$AQ$43,"Caducado"))</f>
        <v/>
      </c>
      <c r="J38" s="18" t="str">
        <f aca="false">IF(Matriz!$A$43="","",COUNTIF(Matriz!$D$43:$AQ$43,"Caduca pronto"))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7"/>
      <c r="G39" s="16"/>
      <c r="H39" s="18" t="str">
        <f aca="false">IF(Matriz!$A$44="","",COUNTIF(Matriz!$D$44:$AQ$44,"Pendiente"))</f>
        <v/>
      </c>
      <c r="I39" s="18" t="str">
        <f aca="false">IF(Matriz!$A$44="","",COUNTIF(Matriz!$D$44:$AQ$44,"Caducado"))</f>
        <v/>
      </c>
      <c r="J39" s="18" t="str">
        <f aca="false">IF(Matriz!$A$44="","",COUNTIF(Matriz!$D$44:$AQ$44,"Caduca pronto"))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7"/>
      <c r="G40" s="16"/>
      <c r="H40" s="18" t="str">
        <f aca="false">IF(Matriz!$A$45="","",COUNTIF(Matriz!$D$45:$AQ$45,"Pendiente"))</f>
        <v/>
      </c>
      <c r="I40" s="18" t="str">
        <f aca="false">IF(Matriz!$A$45="","",COUNTIF(Matriz!$D$45:$AQ$45,"Caducado"))</f>
        <v/>
      </c>
      <c r="J40" s="18" t="str">
        <f aca="false">IF(Matriz!$A$45="","",COUNTIF(Matriz!$D$45:$AQ$45,"Caduca pronto"))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7"/>
      <c r="G41" s="16"/>
      <c r="H41" s="18" t="str">
        <f aca="false">IF(Matriz!$A$46="","",COUNTIF(Matriz!$D$46:$AQ$46,"Pendiente"))</f>
        <v/>
      </c>
      <c r="I41" s="18" t="str">
        <f aca="false">IF(Matriz!$A$46="","",COUNTIF(Matriz!$D$46:$AQ$46,"Caducado"))</f>
        <v/>
      </c>
      <c r="J41" s="18" t="str">
        <f aca="false">IF(Matriz!$A$46="","",COUNTIF(Matriz!$D$46:$AQ$46,"Caduca pronto"))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7"/>
      <c r="G42" s="16"/>
      <c r="H42" s="18" t="str">
        <f aca="false">IF(Matriz!$A$47="","",COUNTIF(Matriz!$D$47:$AQ$47,"Pendiente"))</f>
        <v/>
      </c>
      <c r="I42" s="18" t="str">
        <f aca="false">IF(Matriz!$A$47="","",COUNTIF(Matriz!$D$47:$AQ$47,"Caducado"))</f>
        <v/>
      </c>
      <c r="J42" s="18" t="str">
        <f aca="false">IF(Matriz!$A$47="","",COUNTIF(Matriz!$D$47:$AQ$47,"Caduca pronto"))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7"/>
      <c r="G43" s="16"/>
      <c r="H43" s="18" t="str">
        <f aca="false">IF(Matriz!$A$48="","",COUNTIF(Matriz!$D$48:$AQ$48,"Pendiente"))</f>
        <v/>
      </c>
      <c r="I43" s="18" t="str">
        <f aca="false">IF(Matriz!$A$48="","",COUNTIF(Matriz!$D$48:$AQ$48,"Caducado"))</f>
        <v/>
      </c>
      <c r="J43" s="18" t="str">
        <f aca="false">IF(Matriz!$A$48="","",COUNTIF(Matriz!$D$48:$AQ$48,"Caduca pronto"))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7"/>
      <c r="G44" s="16"/>
      <c r="H44" s="18" t="str">
        <f aca="false">IF(Matriz!$A$49="","",COUNTIF(Matriz!$D$49:$AQ$49,"Pendiente"))</f>
        <v/>
      </c>
      <c r="I44" s="18" t="str">
        <f aca="false">IF(Matriz!$A$49="","",COUNTIF(Matriz!$D$49:$AQ$49,"Caducado"))</f>
        <v/>
      </c>
      <c r="J44" s="18" t="str">
        <f aca="false">IF(Matriz!$A$49="","",COUNTIF(Matriz!$D$49:$AQ$49,"Caduca pronto"))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7"/>
      <c r="G45" s="16"/>
      <c r="H45" s="18" t="str">
        <f aca="false">IF(Matriz!$A$50="","",COUNTIF(Matriz!$D$50:$AQ$50,"Pendiente"))</f>
        <v/>
      </c>
      <c r="I45" s="18" t="str">
        <f aca="false">IF(Matriz!$A$50="","",COUNTIF(Matriz!$D$50:$AQ$50,"Caducado"))</f>
        <v/>
      </c>
      <c r="J45" s="18" t="str">
        <f aca="false">IF(Matriz!$A$50="","",COUNTIF(Matriz!$D$50:$AQ$50,"Caduca pronto"))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7"/>
      <c r="G46" s="16"/>
      <c r="H46" s="18" t="str">
        <f aca="false">IF(Matriz!$A$51="","",COUNTIF(Matriz!$D$51:$AQ$51,"Pendiente"))</f>
        <v/>
      </c>
      <c r="I46" s="18" t="str">
        <f aca="false">IF(Matriz!$A$51="","",COUNTIF(Matriz!$D$51:$AQ$51,"Caducado"))</f>
        <v/>
      </c>
      <c r="J46" s="18" t="str">
        <f aca="false">IF(Matriz!$A$51="","",COUNTIF(Matriz!$D$51:$AQ$51,"Caduca pronto"))</f>
        <v/>
      </c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7"/>
      <c r="G47" s="16"/>
      <c r="H47" s="18" t="str">
        <f aca="false">IF(Matriz!$A$52="","",COUNTIF(Matriz!$D$52:$AQ$52,"Pendiente"))</f>
        <v/>
      </c>
      <c r="I47" s="18" t="str">
        <f aca="false">IF(Matriz!$A$52="","",COUNTIF(Matriz!$D$52:$AQ$52,"Caducado"))</f>
        <v/>
      </c>
      <c r="J47" s="18" t="str">
        <f aca="false">IF(Matriz!$A$52="","",COUNTIF(Matriz!$D$52:$AQ$52,"Caduca pronto"))</f>
        <v/>
      </c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7"/>
      <c r="G48" s="16"/>
      <c r="H48" s="18" t="str">
        <f aca="false">IF(Matriz!$A$53="","",COUNTIF(Matriz!$D$53:$AQ$53,"Pendiente"))</f>
        <v/>
      </c>
      <c r="I48" s="18" t="str">
        <f aca="false">IF(Matriz!$A$53="","",COUNTIF(Matriz!$D$53:$AQ$53,"Caducado"))</f>
        <v/>
      </c>
      <c r="J48" s="18" t="str">
        <f aca="false">IF(Matriz!$A$53="","",COUNTIF(Matriz!$D$53:$AQ$53,"Caduca pronto"))</f>
        <v/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7"/>
      <c r="G49" s="16"/>
      <c r="H49" s="18" t="str">
        <f aca="false">IF(Matriz!$A$54="","",COUNTIF(Matriz!$D$54:$AQ$54,"Pendiente"))</f>
        <v/>
      </c>
      <c r="I49" s="18" t="str">
        <f aca="false">IF(Matriz!$A$54="","",COUNTIF(Matriz!$D$54:$AQ$54,"Caducado"))</f>
        <v/>
      </c>
      <c r="J49" s="18" t="str">
        <f aca="false">IF(Matriz!$A$54="","",COUNTIF(Matriz!$D$54:$AQ$54,"Caduca pronto"))</f>
        <v/>
      </c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7"/>
      <c r="G50" s="16"/>
      <c r="H50" s="18" t="str">
        <f aca="false">IF(Matriz!$A$55="","",COUNTIF(Matriz!$D$55:$AQ$55,"Pendiente"))</f>
        <v/>
      </c>
      <c r="I50" s="18" t="str">
        <f aca="false">IF(Matriz!$A$55="","",COUNTIF(Matriz!$D$55:$AQ$55,"Caducado"))</f>
        <v/>
      </c>
      <c r="J50" s="18" t="str">
        <f aca="false">IF(Matriz!$A$55="","",COUNTIF(Matriz!$D$55:$AQ$55,"Caduca pronto"))</f>
        <v/>
      </c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7"/>
      <c r="G51" s="16"/>
      <c r="H51" s="18" t="str">
        <f aca="false">IF(Matriz!$A$56="","",COUNTIF(Matriz!$D$56:$AQ$56,"Pendiente"))</f>
        <v/>
      </c>
      <c r="I51" s="18" t="str">
        <f aca="false">IF(Matriz!$A$56="","",COUNTIF(Matriz!$D$56:$AQ$56,"Caducado"))</f>
        <v/>
      </c>
      <c r="J51" s="18" t="str">
        <f aca="false">IF(Matriz!$A$56="","",COUNTIF(Matriz!$D$56:$AQ$56,"Caduca pronto"))</f>
        <v/>
      </c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7"/>
      <c r="G52" s="16"/>
      <c r="H52" s="18" t="str">
        <f aca="false">IF(Matriz!$A$57="","",COUNTIF(Matriz!$D$57:$AQ$57,"Pendiente"))</f>
        <v/>
      </c>
      <c r="I52" s="18" t="str">
        <f aca="false">IF(Matriz!$A$57="","",COUNTIF(Matriz!$D$57:$AQ$57,"Caducado"))</f>
        <v/>
      </c>
      <c r="J52" s="18" t="str">
        <f aca="false">IF(Matriz!$A$57="","",COUNTIF(Matriz!$D$57:$AQ$57,"Caduca pronto"))</f>
        <v/>
      </c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7"/>
      <c r="G53" s="16"/>
      <c r="H53" s="18" t="str">
        <f aca="false">IF(Matriz!$A$58="","",COUNTIF(Matriz!$D$58:$AQ$58,"Pendiente"))</f>
        <v/>
      </c>
      <c r="I53" s="18" t="str">
        <f aca="false">IF(Matriz!$A$58="","",COUNTIF(Matriz!$D$58:$AQ$58,"Caducado"))</f>
        <v/>
      </c>
      <c r="J53" s="18" t="str">
        <f aca="false">IF(Matriz!$A$58="","",COUNTIF(Matriz!$D$58:$AQ$58,"Caduca pronto"))</f>
        <v/>
      </c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7"/>
      <c r="G54" s="16"/>
      <c r="H54" s="18" t="str">
        <f aca="false">IF(Matriz!$A$59="","",COUNTIF(Matriz!$D$59:$AQ$59,"Pendiente"))</f>
        <v/>
      </c>
      <c r="I54" s="18" t="str">
        <f aca="false">IF(Matriz!$A$59="","",COUNTIF(Matriz!$D$59:$AQ$59,"Caducado"))</f>
        <v/>
      </c>
      <c r="J54" s="18" t="str">
        <f aca="false">IF(Matriz!$A$59="","",COUNTIF(Matriz!$D$59:$AQ$59,"Caduca pronto"))</f>
        <v/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7"/>
      <c r="G55" s="16"/>
      <c r="H55" s="18" t="str">
        <f aca="false">IF(Matriz!$A$60="","",COUNTIF(Matriz!$D$60:$AQ$60,"Pendiente"))</f>
        <v/>
      </c>
      <c r="I55" s="18" t="str">
        <f aca="false">IF(Matriz!$A$60="","",COUNTIF(Matriz!$D$60:$AQ$60,"Caducado"))</f>
        <v/>
      </c>
      <c r="J55" s="18" t="str">
        <f aca="false">IF(Matriz!$A$60="","",COUNTIF(Matriz!$D$60:$AQ$60,"Caduca pronto"))</f>
        <v/>
      </c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7"/>
      <c r="G56" s="16"/>
      <c r="H56" s="18" t="str">
        <f aca="false">IF(Matriz!$A$61="","",COUNTIF(Matriz!$D$61:$AQ$61,"Pendiente"))</f>
        <v/>
      </c>
      <c r="I56" s="18" t="str">
        <f aca="false">IF(Matriz!$A$61="","",COUNTIF(Matriz!$D$61:$AQ$61,"Caducado"))</f>
        <v/>
      </c>
      <c r="J56" s="18" t="str">
        <f aca="false">IF(Matriz!$A$61="","",COUNTIF(Matriz!$D$61:$AQ$61,"Caduca pronto"))</f>
        <v/>
      </c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7"/>
      <c r="G57" s="16"/>
      <c r="H57" s="18" t="str">
        <f aca="false">IF(Matriz!$A$62="","",COUNTIF(Matriz!$D$62:$AQ$62,"Pendiente"))</f>
        <v/>
      </c>
      <c r="I57" s="18" t="str">
        <f aca="false">IF(Matriz!$A$62="","",COUNTIF(Matriz!$D$62:$AQ$62,"Caducado"))</f>
        <v/>
      </c>
      <c r="J57" s="18" t="str">
        <f aca="false">IF(Matriz!$A$62="","",COUNTIF(Matriz!$D$62:$AQ$62,"Caduca pronto"))</f>
        <v/>
      </c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7"/>
      <c r="G58" s="16"/>
      <c r="H58" s="18" t="str">
        <f aca="false">IF(Matriz!$A$63="","",COUNTIF(Matriz!$D$63:$AQ$63,"Pendiente"))</f>
        <v/>
      </c>
      <c r="I58" s="18" t="str">
        <f aca="false">IF(Matriz!$A$63="","",COUNTIF(Matriz!$D$63:$AQ$63,"Caducado"))</f>
        <v/>
      </c>
      <c r="J58" s="18" t="str">
        <f aca="false">IF(Matriz!$A$63="","",COUNTIF(Matriz!$D$63:$AQ$63,"Caduca pronto"))</f>
        <v/>
      </c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7"/>
      <c r="G59" s="16"/>
      <c r="H59" s="18" t="str">
        <f aca="false">IF(Matriz!$A$64="","",COUNTIF(Matriz!$D$64:$AQ$64,"Pendiente"))</f>
        <v/>
      </c>
      <c r="I59" s="18" t="str">
        <f aca="false">IF(Matriz!$A$64="","",COUNTIF(Matriz!$D$64:$AQ$64,"Caducado"))</f>
        <v/>
      </c>
      <c r="J59" s="18" t="str">
        <f aca="false">IF(Matriz!$A$64="","",COUNTIF(Matriz!$D$64:$AQ$64,"Caduca pronto"))</f>
        <v/>
      </c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7"/>
      <c r="G60" s="16"/>
      <c r="H60" s="18" t="str">
        <f aca="false">IF(Matriz!$A$65="","",COUNTIF(Matriz!$D$65:$AQ$65,"Pendiente"))</f>
        <v/>
      </c>
      <c r="I60" s="18" t="str">
        <f aca="false">IF(Matriz!$A$65="","",COUNTIF(Matriz!$D$65:$AQ$65,"Caducado"))</f>
        <v/>
      </c>
      <c r="J60" s="18" t="str">
        <f aca="false">IF(Matriz!$A$65="","",COUNTIF(Matriz!$D$65:$AQ$65,"Caduca pronto"))</f>
        <v/>
      </c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7"/>
      <c r="G61" s="16"/>
      <c r="H61" s="18" t="str">
        <f aca="false">IF(Matriz!$A$66="","",COUNTIF(Matriz!$D$66:$AQ$66,"Pendiente"))</f>
        <v/>
      </c>
      <c r="I61" s="18" t="str">
        <f aca="false">IF(Matriz!$A$66="","",COUNTIF(Matriz!$D$66:$AQ$66,"Caducado"))</f>
        <v/>
      </c>
      <c r="J61" s="18" t="str">
        <f aca="false">IF(Matriz!$A$66="","",COUNTIF(Matriz!$D$66:$AQ$66,"Caduca pronto"))</f>
        <v/>
      </c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7"/>
      <c r="G62" s="16"/>
      <c r="H62" s="18" t="str">
        <f aca="false">IF(Matriz!$A$67="","",COUNTIF(Matriz!$D$67:$AQ$67,"Pendiente"))</f>
        <v/>
      </c>
      <c r="I62" s="18" t="str">
        <f aca="false">IF(Matriz!$A$67="","",COUNTIF(Matriz!$D$67:$AQ$67,"Caducado"))</f>
        <v/>
      </c>
      <c r="J62" s="18" t="str">
        <f aca="false">IF(Matriz!$A$67="","",COUNTIF(Matriz!$D$67:$AQ$67,"Caduca pronto"))</f>
        <v/>
      </c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7"/>
      <c r="G63" s="16"/>
      <c r="H63" s="18" t="str">
        <f aca="false">IF(Matriz!$A$68="","",COUNTIF(Matriz!$D$68:$AQ$68,"Pendiente"))</f>
        <v/>
      </c>
      <c r="I63" s="18" t="str">
        <f aca="false">IF(Matriz!$A$68="","",COUNTIF(Matriz!$D$68:$AQ$68,"Caducado"))</f>
        <v/>
      </c>
      <c r="J63" s="18" t="str">
        <f aca="false">IF(Matriz!$A$68="","",COUNTIF(Matriz!$D$68:$AQ$68,"Caduca pronto"))</f>
        <v/>
      </c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7"/>
      <c r="G64" s="16"/>
      <c r="H64" s="18" t="str">
        <f aca="false">IF(Matriz!$A$69="","",COUNTIF(Matriz!$D$69:$AQ$69,"Pendiente"))</f>
        <v/>
      </c>
      <c r="I64" s="18" t="str">
        <f aca="false">IF(Matriz!$A$69="","",COUNTIF(Matriz!$D$69:$AQ$69,"Caducado"))</f>
        <v/>
      </c>
      <c r="J64" s="18" t="str">
        <f aca="false">IF(Matriz!$A$69="","",COUNTIF(Matriz!$D$69:$AQ$69,"Caduca pronto"))</f>
        <v/>
      </c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7"/>
      <c r="G65" s="16"/>
      <c r="H65" s="18" t="str">
        <f aca="false">IF(Matriz!$A$70="","",COUNTIF(Matriz!$D$70:$AQ$70,"Pendiente"))</f>
        <v/>
      </c>
      <c r="I65" s="18" t="str">
        <f aca="false">IF(Matriz!$A$70="","",COUNTIF(Matriz!$D$70:$AQ$70,"Caducado"))</f>
        <v/>
      </c>
      <c r="J65" s="18" t="str">
        <f aca="false">IF(Matriz!$A$70="","",COUNTIF(Matriz!$D$70:$AQ$70,"Caduca pronto"))</f>
        <v/>
      </c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7"/>
      <c r="G66" s="16"/>
      <c r="H66" s="18" t="str">
        <f aca="false">IF(Matriz!$A$71="","",COUNTIF(Matriz!$D$71:$AQ$71,"Pendiente"))</f>
        <v/>
      </c>
      <c r="I66" s="18" t="str">
        <f aca="false">IF(Matriz!$A$71="","",COUNTIF(Matriz!$D$71:$AQ$71,"Caducado"))</f>
        <v/>
      </c>
      <c r="J66" s="18" t="str">
        <f aca="false">IF(Matriz!$A$71="","",COUNTIF(Matriz!$D$71:$AQ$71,"Caduca pronto"))</f>
        <v/>
      </c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7"/>
      <c r="G67" s="16"/>
      <c r="H67" s="18" t="str">
        <f aca="false">IF(Matriz!$A$72="","",COUNTIF(Matriz!$D$72:$AQ$72,"Pendiente"))</f>
        <v/>
      </c>
      <c r="I67" s="18" t="str">
        <f aca="false">IF(Matriz!$A$72="","",COUNTIF(Matriz!$D$72:$AQ$72,"Caducado"))</f>
        <v/>
      </c>
      <c r="J67" s="18" t="str">
        <f aca="false">IF(Matriz!$A$72="","",COUNTIF(Matriz!$D$72:$AQ$72,"Caduca pronto"))</f>
        <v/>
      </c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7"/>
      <c r="G68" s="16"/>
      <c r="H68" s="18" t="str">
        <f aca="false">IF(Matriz!$A$73="","",COUNTIF(Matriz!$D$73:$AQ$73,"Pendiente"))</f>
        <v/>
      </c>
      <c r="I68" s="18" t="str">
        <f aca="false">IF(Matriz!$A$73="","",COUNTIF(Matriz!$D$73:$AQ$73,"Caducado"))</f>
        <v/>
      </c>
      <c r="J68" s="18" t="str">
        <f aca="false">IF(Matriz!$A$73="","",COUNTIF(Matriz!$D$73:$AQ$73,"Caduca pronto"))</f>
        <v/>
      </c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7"/>
      <c r="G69" s="16"/>
      <c r="H69" s="18" t="str">
        <f aca="false">IF(Matriz!$A$74="","",COUNTIF(Matriz!$D$74:$AQ$74,"Pendiente"))</f>
        <v/>
      </c>
      <c r="I69" s="18" t="str">
        <f aca="false">IF(Matriz!$A$74="","",COUNTIF(Matriz!$D$74:$AQ$74,"Caducado"))</f>
        <v/>
      </c>
      <c r="J69" s="18" t="str">
        <f aca="false">IF(Matriz!$A$74="","",COUNTIF(Matriz!$D$74:$AQ$74,"Caduca pronto"))</f>
        <v/>
      </c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7"/>
      <c r="G70" s="16"/>
      <c r="H70" s="18" t="str">
        <f aca="false">IF(Matriz!$A$75="","",COUNTIF(Matriz!$D$75:$AQ$75,"Pendiente"))</f>
        <v/>
      </c>
      <c r="I70" s="18" t="str">
        <f aca="false">IF(Matriz!$A$75="","",COUNTIF(Matriz!$D$75:$AQ$75,"Caducado"))</f>
        <v/>
      </c>
      <c r="J70" s="18" t="str">
        <f aca="false">IF(Matriz!$A$75="","",COUNTIF(Matriz!$D$75:$AQ$75,"Caduca pronto"))</f>
        <v/>
      </c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7"/>
      <c r="G71" s="16"/>
      <c r="H71" s="18" t="str">
        <f aca="false">IF(Matriz!$A$76="","",COUNTIF(Matriz!$D$76:$AQ$76,"Pendiente"))</f>
        <v/>
      </c>
      <c r="I71" s="18" t="str">
        <f aca="false">IF(Matriz!$A$76="","",COUNTIF(Matriz!$D$76:$AQ$76,"Caducado"))</f>
        <v/>
      </c>
      <c r="J71" s="18" t="str">
        <f aca="false">IF(Matriz!$A$76="","",COUNTIF(Matriz!$D$76:$AQ$76,"Caduca pronto"))</f>
        <v/>
      </c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7"/>
      <c r="G72" s="16"/>
      <c r="H72" s="18" t="str">
        <f aca="false">IF(Matriz!$A$77="","",COUNTIF(Matriz!$D$77:$AQ$77,"Pendiente"))</f>
        <v/>
      </c>
      <c r="I72" s="18" t="str">
        <f aca="false">IF(Matriz!$A$77="","",COUNTIF(Matriz!$D$77:$AQ$77,"Caducado"))</f>
        <v/>
      </c>
      <c r="J72" s="18" t="str">
        <f aca="false">IF(Matriz!$A$77="","",COUNTIF(Matriz!$D$77:$AQ$77,"Caduca pronto"))</f>
        <v/>
      </c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7"/>
      <c r="G73" s="16"/>
      <c r="H73" s="18" t="str">
        <f aca="false">IF(Matriz!$A$78="","",COUNTIF(Matriz!$D$78:$AQ$78,"Pendiente"))</f>
        <v/>
      </c>
      <c r="I73" s="18" t="str">
        <f aca="false">IF(Matriz!$A$78="","",COUNTIF(Matriz!$D$78:$AQ$78,"Caducado"))</f>
        <v/>
      </c>
      <c r="J73" s="18" t="str">
        <f aca="false">IF(Matriz!$A$78="","",COUNTIF(Matriz!$D$78:$AQ$78,"Caduca pronto"))</f>
        <v/>
      </c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7"/>
      <c r="G74" s="16"/>
      <c r="H74" s="18" t="str">
        <f aca="false">IF(Matriz!$A$79="","",COUNTIF(Matriz!$D$79:$AQ$79,"Pendiente"))</f>
        <v/>
      </c>
      <c r="I74" s="18" t="str">
        <f aca="false">IF(Matriz!$A$79="","",COUNTIF(Matriz!$D$79:$AQ$79,"Caducado"))</f>
        <v/>
      </c>
      <c r="J74" s="18" t="str">
        <f aca="false">IF(Matriz!$A$79="","",COUNTIF(Matriz!$D$79:$AQ$79,"Caduca pronto"))</f>
        <v/>
      </c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7"/>
      <c r="G75" s="16"/>
      <c r="H75" s="18" t="str">
        <f aca="false">IF(Matriz!$A$80="","",COUNTIF(Matriz!$D$80:$AQ$80,"Pendiente"))</f>
        <v/>
      </c>
      <c r="I75" s="18" t="str">
        <f aca="false">IF(Matriz!$A$80="","",COUNTIF(Matriz!$D$80:$AQ$80,"Caducado"))</f>
        <v/>
      </c>
      <c r="J75" s="18" t="str">
        <f aca="false">IF(Matriz!$A$80="","",COUNTIF(Matriz!$D$80:$AQ$80,"Caduca pronto"))</f>
        <v/>
      </c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7"/>
      <c r="G76" s="16"/>
      <c r="H76" s="18" t="str">
        <f aca="false">IF(Matriz!$A$81="","",COUNTIF(Matriz!$D$81:$AQ$81,"Pendiente"))</f>
        <v/>
      </c>
      <c r="I76" s="18" t="str">
        <f aca="false">IF(Matriz!$A$81="","",COUNTIF(Matriz!$D$81:$AQ$81,"Caducado"))</f>
        <v/>
      </c>
      <c r="J76" s="18" t="str">
        <f aca="false">IF(Matriz!$A$81="","",COUNTIF(Matriz!$D$81:$AQ$81,"Caduca pronto"))</f>
        <v/>
      </c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7"/>
      <c r="G77" s="16"/>
      <c r="H77" s="18" t="str">
        <f aca="false">IF(Matriz!$A$82="","",COUNTIF(Matriz!$D$82:$AQ$82,"Pendiente"))</f>
        <v/>
      </c>
      <c r="I77" s="18" t="str">
        <f aca="false">IF(Matriz!$A$82="","",COUNTIF(Matriz!$D$82:$AQ$82,"Caducado"))</f>
        <v/>
      </c>
      <c r="J77" s="18" t="str">
        <f aca="false">IF(Matriz!$A$82="","",COUNTIF(Matriz!$D$82:$AQ$82,"Caduca pronto"))</f>
        <v/>
      </c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7"/>
      <c r="G78" s="16"/>
      <c r="H78" s="18" t="str">
        <f aca="false">IF(Matriz!$A$83="","",COUNTIF(Matriz!$D$83:$AQ$83,"Pendiente"))</f>
        <v/>
      </c>
      <c r="I78" s="18" t="str">
        <f aca="false">IF(Matriz!$A$83="","",COUNTIF(Matriz!$D$83:$AQ$83,"Caducado"))</f>
        <v/>
      </c>
      <c r="J78" s="18" t="str">
        <f aca="false">IF(Matriz!$A$83="","",COUNTIF(Matriz!$D$83:$AQ$83,"Caduca pronto"))</f>
        <v/>
      </c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7"/>
      <c r="G79" s="16"/>
      <c r="H79" s="18" t="str">
        <f aca="false">IF(Matriz!$A$84="","",COUNTIF(Matriz!$D$84:$AQ$84,"Pendiente"))</f>
        <v/>
      </c>
      <c r="I79" s="18" t="str">
        <f aca="false">IF(Matriz!$A$84="","",COUNTIF(Matriz!$D$84:$AQ$84,"Caducado"))</f>
        <v/>
      </c>
      <c r="J79" s="18" t="str">
        <f aca="false">IF(Matriz!$A$84="","",COUNTIF(Matriz!$D$84:$AQ$84,"Caduca pronto"))</f>
        <v/>
      </c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7"/>
      <c r="G80" s="16"/>
      <c r="H80" s="18" t="str">
        <f aca="false">IF(Matriz!$A$85="","",COUNTIF(Matriz!$D$85:$AQ$85,"Pendiente"))</f>
        <v/>
      </c>
      <c r="I80" s="18" t="str">
        <f aca="false">IF(Matriz!$A$85="","",COUNTIF(Matriz!$D$85:$AQ$85,"Caducado"))</f>
        <v/>
      </c>
      <c r="J80" s="18" t="str">
        <f aca="false">IF(Matriz!$A$85="","",COUNTIF(Matriz!$D$85:$AQ$85,"Caduca pronto"))</f>
        <v/>
      </c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7"/>
      <c r="G81" s="16"/>
      <c r="H81" s="18" t="str">
        <f aca="false">IF(Matriz!$A$86="","",COUNTIF(Matriz!$D$86:$AQ$86,"Pendiente"))</f>
        <v/>
      </c>
      <c r="I81" s="18" t="str">
        <f aca="false">IF(Matriz!$A$86="","",COUNTIF(Matriz!$D$86:$AQ$86,"Caducado"))</f>
        <v/>
      </c>
      <c r="J81" s="18" t="str">
        <f aca="false">IF(Matriz!$A$86="","",COUNTIF(Matriz!$D$86:$AQ$86,"Caduca pronto"))</f>
        <v/>
      </c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7"/>
      <c r="G82" s="16"/>
      <c r="H82" s="18" t="str">
        <f aca="false">IF(Matriz!$A$87="","",COUNTIF(Matriz!$D$87:$AQ$87,"Pendiente"))</f>
        <v/>
      </c>
      <c r="I82" s="18" t="str">
        <f aca="false">IF(Matriz!$A$87="","",COUNTIF(Matriz!$D$87:$AQ$87,"Caducado"))</f>
        <v/>
      </c>
      <c r="J82" s="18" t="str">
        <f aca="false">IF(Matriz!$A$87="","",COUNTIF(Matriz!$D$87:$AQ$87,"Caduca pronto"))</f>
        <v/>
      </c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7"/>
      <c r="G83" s="16"/>
      <c r="H83" s="18" t="str">
        <f aca="false">IF(Matriz!$A$88="","",COUNTIF(Matriz!$D$88:$AQ$88,"Pendiente"))</f>
        <v/>
      </c>
      <c r="I83" s="18" t="str">
        <f aca="false">IF(Matriz!$A$88="","",COUNTIF(Matriz!$D$88:$AQ$88,"Caducado"))</f>
        <v/>
      </c>
      <c r="J83" s="18" t="str">
        <f aca="false">IF(Matriz!$A$88="","",COUNTIF(Matriz!$D$88:$AQ$88,"Caduca pronto"))</f>
        <v/>
      </c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7"/>
      <c r="G84" s="16"/>
      <c r="H84" s="18" t="str">
        <f aca="false">IF(Matriz!$A$89="","",COUNTIF(Matriz!$D$89:$AQ$89,"Pendiente"))</f>
        <v/>
      </c>
      <c r="I84" s="18" t="str">
        <f aca="false">IF(Matriz!$A$89="","",COUNTIF(Matriz!$D$89:$AQ$89,"Caducado"))</f>
        <v/>
      </c>
      <c r="J84" s="18" t="str">
        <f aca="false">IF(Matriz!$A$89="","",COUNTIF(Matriz!$D$89:$AQ$89,"Caduca pronto"))</f>
        <v/>
      </c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7"/>
      <c r="G85" s="16"/>
      <c r="H85" s="18" t="str">
        <f aca="false">IF(Matriz!$A$90="","",COUNTIF(Matriz!$D$90:$AQ$90,"Pendiente"))</f>
        <v/>
      </c>
      <c r="I85" s="18" t="str">
        <f aca="false">IF(Matriz!$A$90="","",COUNTIF(Matriz!$D$90:$AQ$90,"Caducado"))</f>
        <v/>
      </c>
      <c r="J85" s="18" t="str">
        <f aca="false">IF(Matriz!$A$90="","",COUNTIF(Matriz!$D$90:$AQ$90,"Caduca pronto"))</f>
        <v/>
      </c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7"/>
      <c r="G86" s="16"/>
      <c r="H86" s="18" t="str">
        <f aca="false">IF(Matriz!$A$91="","",COUNTIF(Matriz!$D$91:$AQ$91,"Pendiente"))</f>
        <v/>
      </c>
      <c r="I86" s="18" t="str">
        <f aca="false">IF(Matriz!$A$91="","",COUNTIF(Matriz!$D$91:$AQ$91,"Caducado"))</f>
        <v/>
      </c>
      <c r="J86" s="18" t="str">
        <f aca="false">IF(Matriz!$A$91="","",COUNTIF(Matriz!$D$91:$AQ$91,"Caduca pronto"))</f>
        <v/>
      </c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7"/>
      <c r="G87" s="16"/>
      <c r="H87" s="18" t="str">
        <f aca="false">IF(Matriz!$A$92="","",COUNTIF(Matriz!$D$92:$AQ$92,"Pendiente"))</f>
        <v/>
      </c>
      <c r="I87" s="18" t="str">
        <f aca="false">IF(Matriz!$A$92="","",COUNTIF(Matriz!$D$92:$AQ$92,"Caducado"))</f>
        <v/>
      </c>
      <c r="J87" s="18" t="str">
        <f aca="false">IF(Matriz!$A$92="","",COUNTIF(Matriz!$D$92:$AQ$92,"Caduca pronto"))</f>
        <v/>
      </c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7"/>
      <c r="G88" s="16"/>
      <c r="H88" s="18" t="str">
        <f aca="false">IF(Matriz!$A$93="","",COUNTIF(Matriz!$D$93:$AQ$93,"Pendiente"))</f>
        <v/>
      </c>
      <c r="I88" s="18" t="str">
        <f aca="false">IF(Matriz!$A$93="","",COUNTIF(Matriz!$D$93:$AQ$93,"Caducado"))</f>
        <v/>
      </c>
      <c r="J88" s="18" t="str">
        <f aca="false">IF(Matriz!$A$93="","",COUNTIF(Matriz!$D$93:$AQ$93,"Caduca pronto"))</f>
        <v/>
      </c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7"/>
      <c r="G89" s="16"/>
      <c r="H89" s="18" t="str">
        <f aca="false">IF(Matriz!$A$94="","",COUNTIF(Matriz!$D$94:$AQ$94,"Pendiente"))</f>
        <v/>
      </c>
      <c r="I89" s="18" t="str">
        <f aca="false">IF(Matriz!$A$94="","",COUNTIF(Matriz!$D$94:$AQ$94,"Caducado"))</f>
        <v/>
      </c>
      <c r="J89" s="18" t="str">
        <f aca="false">IF(Matriz!$A$94="","",COUNTIF(Matriz!$D$94:$AQ$94,"Caduca pronto"))</f>
        <v/>
      </c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7"/>
      <c r="G90" s="16"/>
      <c r="H90" s="18" t="str">
        <f aca="false">IF(Matriz!$A$95="","",COUNTIF(Matriz!$D$95:$AQ$95,"Pendiente"))</f>
        <v/>
      </c>
      <c r="I90" s="18" t="str">
        <f aca="false">IF(Matriz!$A$95="","",COUNTIF(Matriz!$D$95:$AQ$95,"Caducado"))</f>
        <v/>
      </c>
      <c r="J90" s="18" t="str">
        <f aca="false">IF(Matriz!$A$95="","",COUNTIF(Matriz!$D$95:$AQ$95,"Caduca pronto"))</f>
        <v/>
      </c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7"/>
      <c r="G91" s="16"/>
      <c r="H91" s="18" t="str">
        <f aca="false">IF(Matriz!$A$96="","",COUNTIF(Matriz!$D$96:$AQ$96,"Pendiente"))</f>
        <v/>
      </c>
      <c r="I91" s="18" t="str">
        <f aca="false">IF(Matriz!$A$96="","",COUNTIF(Matriz!$D$96:$AQ$96,"Caducado"))</f>
        <v/>
      </c>
      <c r="J91" s="18" t="str">
        <f aca="false">IF(Matriz!$A$96="","",COUNTIF(Matriz!$D$96:$AQ$96,"Caduca pronto"))</f>
        <v/>
      </c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7"/>
      <c r="G92" s="16"/>
      <c r="H92" s="18" t="str">
        <f aca="false">IF(Matriz!$A$97="","",COUNTIF(Matriz!$D$97:$AQ$97,"Pendiente"))</f>
        <v/>
      </c>
      <c r="I92" s="18" t="str">
        <f aca="false">IF(Matriz!$A$97="","",COUNTIF(Matriz!$D$97:$AQ$97,"Caducado"))</f>
        <v/>
      </c>
      <c r="J92" s="18" t="str">
        <f aca="false">IF(Matriz!$A$97="","",COUNTIF(Matriz!$D$97:$AQ$97,"Caduca pronto"))</f>
        <v/>
      </c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7"/>
      <c r="G93" s="16"/>
      <c r="H93" s="18" t="str">
        <f aca="false">IF(Matriz!$A$98="","",COUNTIF(Matriz!$D$98:$AQ$98,"Pendiente"))</f>
        <v/>
      </c>
      <c r="I93" s="18" t="str">
        <f aca="false">IF(Matriz!$A$98="","",COUNTIF(Matriz!$D$98:$AQ$98,"Caducado"))</f>
        <v/>
      </c>
      <c r="J93" s="18" t="str">
        <f aca="false">IF(Matriz!$A$98="","",COUNTIF(Matriz!$D$98:$AQ$98,"Caduca pronto"))</f>
        <v/>
      </c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7"/>
      <c r="G94" s="16"/>
      <c r="H94" s="18" t="str">
        <f aca="false">IF(Matriz!$A$99="","",COUNTIF(Matriz!$D$99:$AQ$99,"Pendiente"))</f>
        <v/>
      </c>
      <c r="I94" s="18" t="str">
        <f aca="false">IF(Matriz!$A$99="","",COUNTIF(Matriz!$D$99:$AQ$99,"Caducado"))</f>
        <v/>
      </c>
      <c r="J94" s="18" t="str">
        <f aca="false">IF(Matriz!$A$99="","",COUNTIF(Matriz!$D$99:$AQ$99,"Caduca pronto"))</f>
        <v/>
      </c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7"/>
      <c r="G95" s="16"/>
      <c r="H95" s="18" t="str">
        <f aca="false">IF(Matriz!$A$100="","",COUNTIF(Matriz!$D$100:$AQ$100,"Pendiente"))</f>
        <v/>
      </c>
      <c r="I95" s="18" t="str">
        <f aca="false">IF(Matriz!$A$100="","",COUNTIF(Matriz!$D$100:$AQ$100,"Caducado"))</f>
        <v/>
      </c>
      <c r="J95" s="18" t="str">
        <f aca="false">IF(Matriz!$A$100="","",COUNTIF(Matriz!$D$100:$AQ$100,"Caduca pronto"))</f>
        <v/>
      </c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7"/>
      <c r="G96" s="16"/>
      <c r="H96" s="18" t="str">
        <f aca="false">IF(Matriz!$A$101="","",COUNTIF(Matriz!$D$101:$AQ$101,"Pendiente"))</f>
        <v/>
      </c>
      <c r="I96" s="18" t="str">
        <f aca="false">IF(Matriz!$A$101="","",COUNTIF(Matriz!$D$101:$AQ$101,"Caducado"))</f>
        <v/>
      </c>
      <c r="J96" s="18" t="str">
        <f aca="false">IF(Matriz!$A$101="","",COUNTIF(Matriz!$D$101:$AQ$101,"Caduca pronto"))</f>
        <v/>
      </c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7"/>
      <c r="G97" s="16"/>
      <c r="H97" s="18" t="str">
        <f aca="false">IF(Matriz!$A$102="","",COUNTIF(Matriz!$D$102:$AQ$102,"Pendiente"))</f>
        <v/>
      </c>
      <c r="I97" s="18" t="str">
        <f aca="false">IF(Matriz!$A$102="","",COUNTIF(Matriz!$D$102:$AQ$102,"Caducado"))</f>
        <v/>
      </c>
      <c r="J97" s="18" t="str">
        <f aca="false">IF(Matriz!$A$102="","",COUNTIF(Matriz!$D$102:$AQ$102,"Caduca pronto"))</f>
        <v/>
      </c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7"/>
      <c r="G98" s="16"/>
      <c r="H98" s="18" t="str">
        <f aca="false">IF(Matriz!$A$103="","",COUNTIF(Matriz!$D$103:$AQ$103,"Pendiente"))</f>
        <v/>
      </c>
      <c r="I98" s="18" t="str">
        <f aca="false">IF(Matriz!$A$103="","",COUNTIF(Matriz!$D$103:$AQ$103,"Caducado"))</f>
        <v/>
      </c>
      <c r="J98" s="18" t="str">
        <f aca="false">IF(Matriz!$A$103="","",COUNTIF(Matriz!$D$103:$AQ$103,"Caduca pronto"))</f>
        <v/>
      </c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7"/>
      <c r="G99" s="16"/>
      <c r="H99" s="18" t="str">
        <f aca="false">IF(Matriz!$A$104="","",COUNTIF(Matriz!$D$104:$AQ$104,"Pendiente"))</f>
        <v/>
      </c>
      <c r="I99" s="18" t="str">
        <f aca="false">IF(Matriz!$A$104="","",COUNTIF(Matriz!$D$104:$AQ$104,"Caducado"))</f>
        <v/>
      </c>
      <c r="J99" s="18" t="str">
        <f aca="false">IF(Matriz!$A$104="","",COUNTIF(Matriz!$D$104:$AQ$104,"Caduca pronto"))</f>
        <v/>
      </c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7"/>
      <c r="G100" s="16"/>
      <c r="H100" s="18" t="str">
        <f aca="false">IF(Matriz!$A$105="","",COUNTIF(Matriz!$D$105:$AQ$105,"Pendiente"))</f>
        <v/>
      </c>
      <c r="I100" s="18" t="str">
        <f aca="false">IF(Matriz!$A$105="","",COUNTIF(Matriz!$D$105:$AQ$105,"Caducado"))</f>
        <v/>
      </c>
      <c r="J100" s="18" t="str">
        <f aca="false">IF(Matriz!$A$105="","",COUNTIF(Matriz!$D$105:$AQ$105,"Caduca pronto"))</f>
        <v/>
      </c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7"/>
      <c r="G101" s="16"/>
      <c r="H101" s="18" t="str">
        <f aca="false">IF(Matriz!$A$106="","",COUNTIF(Matriz!$D$106:$AQ$106,"Pendiente"))</f>
        <v/>
      </c>
      <c r="I101" s="18" t="str">
        <f aca="false">IF(Matriz!$A$106="","",COUNTIF(Matriz!$D$106:$AQ$106,"Caducado"))</f>
        <v/>
      </c>
      <c r="J101" s="18" t="str">
        <f aca="false">IF(Matriz!$A$106="","",COUNTIF(Matriz!$D$106:$AQ$106,"Caduca pronto"))</f>
        <v/>
      </c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7"/>
      <c r="G102" s="16"/>
      <c r="H102" s="18" t="str">
        <f aca="false">IF(Matriz!$A$107="","",COUNTIF(Matriz!$D$107:$AQ$107,"Pendiente"))</f>
        <v/>
      </c>
      <c r="I102" s="18" t="str">
        <f aca="false">IF(Matriz!$A$107="","",COUNTIF(Matriz!$D$107:$AQ$107,"Caducado"))</f>
        <v/>
      </c>
      <c r="J102" s="18" t="str">
        <f aca="false">IF(Matriz!$A$107="","",COUNTIF(Matriz!$D$107:$AQ$107,"Caduca pronto"))</f>
        <v/>
      </c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7"/>
      <c r="G103" s="16"/>
      <c r="H103" s="18" t="str">
        <f aca="false">IF(Matriz!$A$108="","",COUNTIF(Matriz!$D$108:$AQ$108,"Pendiente"))</f>
        <v/>
      </c>
      <c r="I103" s="18" t="str">
        <f aca="false">IF(Matriz!$A$108="","",COUNTIF(Matriz!$D$108:$AQ$108,"Caducado"))</f>
        <v/>
      </c>
      <c r="J103" s="18" t="str">
        <f aca="false">IF(Matriz!$A$108="","",COUNTIF(Matriz!$D$108:$AQ$108,"Caduca pronto"))</f>
        <v/>
      </c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7"/>
      <c r="G104" s="16"/>
      <c r="H104" s="18" t="str">
        <f aca="false">IF(Matriz!$A$109="","",COUNTIF(Matriz!$D$109:$AQ$109,"Pendiente"))</f>
        <v/>
      </c>
      <c r="I104" s="18" t="str">
        <f aca="false">IF(Matriz!$A$109="","",COUNTIF(Matriz!$D$109:$AQ$109,"Caducado"))</f>
        <v/>
      </c>
      <c r="J104" s="18" t="str">
        <f aca="false">IF(Matriz!$A$109="","",COUNTIF(Matriz!$D$109:$AQ$109,"Caduca pronto"))</f>
        <v/>
      </c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7"/>
      <c r="G105" s="16"/>
      <c r="H105" s="18" t="str">
        <f aca="false">IF(Matriz!$A$110="","",COUNTIF(Matriz!$D$110:$AQ$110,"Pendiente"))</f>
        <v/>
      </c>
      <c r="I105" s="18" t="str">
        <f aca="false">IF(Matriz!$A$110="","",COUNTIF(Matriz!$D$110:$AQ$110,"Caducado"))</f>
        <v/>
      </c>
      <c r="J105" s="18" t="str">
        <f aca="false">IF(Matriz!$A$110="","",COUNTIF(Matriz!$D$110:$AQ$110,"Caduca pronto"))</f>
        <v/>
      </c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7"/>
      <c r="G106" s="16"/>
      <c r="H106" s="18" t="str">
        <f aca="false">IF(Matriz!$A$111="","",COUNTIF(Matriz!$D$111:$AQ$111,"Pendiente"))</f>
        <v/>
      </c>
      <c r="I106" s="18" t="str">
        <f aca="false">IF(Matriz!$A$111="","",COUNTIF(Matriz!$D$111:$AQ$111,"Caducado"))</f>
        <v/>
      </c>
      <c r="J106" s="18" t="str">
        <f aca="false">IF(Matriz!$A$111="","",COUNTIF(Matriz!$D$111:$AQ$111,"Caduca pronto"))</f>
        <v/>
      </c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7"/>
      <c r="G107" s="16"/>
      <c r="H107" s="18" t="str">
        <f aca="false">IF(Matriz!$A$112="","",COUNTIF(Matriz!$D$112:$AQ$112,"Pendiente"))</f>
        <v/>
      </c>
      <c r="I107" s="18" t="str">
        <f aca="false">IF(Matriz!$A$112="","",COUNTIF(Matriz!$D$112:$AQ$112,"Caducado"))</f>
        <v/>
      </c>
      <c r="J107" s="18" t="str">
        <f aca="false">IF(Matriz!$A$112="","",COUNTIF(Matriz!$D$112:$AQ$112,"Caduca pronto"))</f>
        <v/>
      </c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7"/>
      <c r="G108" s="16"/>
      <c r="H108" s="18" t="str">
        <f aca="false">IF(Matriz!$A$113="","",COUNTIF(Matriz!$D$113:$AQ$113,"Pendiente"))</f>
        <v/>
      </c>
      <c r="I108" s="18" t="str">
        <f aca="false">IF(Matriz!$A$113="","",COUNTIF(Matriz!$D$113:$AQ$113,"Caducado"))</f>
        <v/>
      </c>
      <c r="J108" s="18" t="str">
        <f aca="false">IF(Matriz!$A$113="","",COUNTIF(Matriz!$D$113:$AQ$113,"Caduca pronto"))</f>
        <v/>
      </c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7"/>
      <c r="G109" s="16"/>
      <c r="H109" s="18" t="str">
        <f aca="false">IF(Matriz!$A$114="","",COUNTIF(Matriz!$D$114:$AQ$114,"Pendiente"))</f>
        <v/>
      </c>
      <c r="I109" s="18" t="str">
        <f aca="false">IF(Matriz!$A$114="","",COUNTIF(Matriz!$D$114:$AQ$114,"Caducado"))</f>
        <v/>
      </c>
      <c r="J109" s="18" t="str">
        <f aca="false">IF(Matriz!$A$114="","",COUNTIF(Matriz!$D$114:$AQ$114,"Caduca pronto"))</f>
        <v/>
      </c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7"/>
      <c r="G110" s="16"/>
      <c r="H110" s="18" t="str">
        <f aca="false">IF(Matriz!$A$115="","",COUNTIF(Matriz!$D$115:$AQ$115,"Pendiente"))</f>
        <v/>
      </c>
      <c r="I110" s="18" t="str">
        <f aca="false">IF(Matriz!$A$115="","",COUNTIF(Matriz!$D$115:$AQ$115,"Caducado"))</f>
        <v/>
      </c>
      <c r="J110" s="18" t="str">
        <f aca="false">IF(Matriz!$A$115="","",COUNTIF(Matriz!$D$115:$AQ$115,"Caduca pronto"))</f>
        <v/>
      </c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7"/>
      <c r="G111" s="16"/>
      <c r="H111" s="18" t="str">
        <f aca="false">IF(Matriz!$A$116="","",COUNTIF(Matriz!$D$116:$AQ$116,"Pendiente"))</f>
        <v/>
      </c>
      <c r="I111" s="18" t="str">
        <f aca="false">IF(Matriz!$A$116="","",COUNTIF(Matriz!$D$116:$AQ$116,"Caducado"))</f>
        <v/>
      </c>
      <c r="J111" s="18" t="str">
        <f aca="false">IF(Matriz!$A$116="","",COUNTIF(Matriz!$D$116:$AQ$116,"Caduca pronto"))</f>
        <v/>
      </c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7"/>
      <c r="G112" s="16"/>
      <c r="H112" s="18" t="str">
        <f aca="false">IF(Matriz!$A$117="","",COUNTIF(Matriz!$D$117:$AQ$117,"Pendiente"))</f>
        <v/>
      </c>
      <c r="I112" s="18" t="str">
        <f aca="false">IF(Matriz!$A$117="","",COUNTIF(Matriz!$D$117:$AQ$117,"Caducado"))</f>
        <v/>
      </c>
      <c r="J112" s="18" t="str">
        <f aca="false">IF(Matriz!$A$117="","",COUNTIF(Matriz!$D$117:$AQ$117,"Caduca pronto"))</f>
        <v/>
      </c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7"/>
      <c r="G113" s="16"/>
      <c r="H113" s="18" t="str">
        <f aca="false">IF(Matriz!$A$118="","",COUNTIF(Matriz!$D$118:$AQ$118,"Pendiente"))</f>
        <v/>
      </c>
      <c r="I113" s="18" t="str">
        <f aca="false">IF(Matriz!$A$118="","",COUNTIF(Matriz!$D$118:$AQ$118,"Caducado"))</f>
        <v/>
      </c>
      <c r="J113" s="18" t="str">
        <f aca="false">IF(Matriz!$A$118="","",COUNTIF(Matriz!$D$118:$AQ$118,"Caduca pronto"))</f>
        <v/>
      </c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7"/>
      <c r="G114" s="16"/>
      <c r="H114" s="18" t="str">
        <f aca="false">IF(Matriz!$A$119="","",COUNTIF(Matriz!$D$119:$AQ$119,"Pendiente"))</f>
        <v/>
      </c>
      <c r="I114" s="18" t="str">
        <f aca="false">IF(Matriz!$A$119="","",COUNTIF(Matriz!$D$119:$AQ$119,"Caducado"))</f>
        <v/>
      </c>
      <c r="J114" s="18" t="str">
        <f aca="false">IF(Matriz!$A$119="","",COUNTIF(Matriz!$D$119:$AQ$119,"Caduca pronto"))</f>
        <v/>
      </c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7"/>
      <c r="G115" s="16"/>
      <c r="H115" s="18" t="str">
        <f aca="false">IF(Matriz!$A$120="","",COUNTIF(Matriz!$D$120:$AQ$120,"Pendiente"))</f>
        <v/>
      </c>
      <c r="I115" s="18" t="str">
        <f aca="false">IF(Matriz!$A$120="","",COUNTIF(Matriz!$D$120:$AQ$120,"Caducado"))</f>
        <v/>
      </c>
      <c r="J115" s="18" t="str">
        <f aca="false">IF(Matriz!$A$120="","",COUNTIF(Matriz!$D$120:$AQ$120,"Caduca pronto"))</f>
        <v/>
      </c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7"/>
      <c r="G116" s="16"/>
      <c r="H116" s="18" t="str">
        <f aca="false">IF(Matriz!$A$121="","",COUNTIF(Matriz!$D$121:$AQ$121,"Pendiente"))</f>
        <v/>
      </c>
      <c r="I116" s="18" t="str">
        <f aca="false">IF(Matriz!$A$121="","",COUNTIF(Matriz!$D$121:$AQ$121,"Caducado"))</f>
        <v/>
      </c>
      <c r="J116" s="18" t="str">
        <f aca="false">IF(Matriz!$A$121="","",COUNTIF(Matriz!$D$121:$AQ$121,"Caduca pronto"))</f>
        <v/>
      </c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7"/>
      <c r="G117" s="16"/>
      <c r="H117" s="18" t="str">
        <f aca="false">IF(Matriz!$A$122="","",COUNTIF(Matriz!$D$122:$AQ$122,"Pendiente"))</f>
        <v/>
      </c>
      <c r="I117" s="18" t="str">
        <f aca="false">IF(Matriz!$A$122="","",COUNTIF(Matriz!$D$122:$AQ$122,"Caducado"))</f>
        <v/>
      </c>
      <c r="J117" s="18" t="str">
        <f aca="false">IF(Matriz!$A$122="","",COUNTIF(Matriz!$D$122:$AQ$122,"Caduca pronto"))</f>
        <v/>
      </c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7"/>
      <c r="G118" s="16"/>
      <c r="H118" s="18" t="str">
        <f aca="false">IF(Matriz!$A$123="","",COUNTIF(Matriz!$D$123:$AQ$123,"Pendiente"))</f>
        <v/>
      </c>
      <c r="I118" s="18" t="str">
        <f aca="false">IF(Matriz!$A$123="","",COUNTIF(Matriz!$D$123:$AQ$123,"Caducado"))</f>
        <v/>
      </c>
      <c r="J118" s="18" t="str">
        <f aca="false">IF(Matriz!$A$123="","",COUNTIF(Matriz!$D$123:$AQ$123,"Caduca pronto"))</f>
        <v/>
      </c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7"/>
      <c r="G119" s="16"/>
      <c r="H119" s="18" t="str">
        <f aca="false">IF(Matriz!$A$124="","",COUNTIF(Matriz!$D$124:$AQ$124,"Pendiente"))</f>
        <v/>
      </c>
      <c r="I119" s="18" t="str">
        <f aca="false">IF(Matriz!$A$124="","",COUNTIF(Matriz!$D$124:$AQ$124,"Caducado"))</f>
        <v/>
      </c>
      <c r="J119" s="18" t="str">
        <f aca="false">IF(Matriz!$A$124="","",COUNTIF(Matriz!$D$124:$AQ$124,"Caduca pronto"))</f>
        <v/>
      </c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7"/>
      <c r="G120" s="16"/>
      <c r="H120" s="18" t="str">
        <f aca="false">IF(Matriz!$A$125="","",COUNTIF(Matriz!$D$125:$AQ$125,"Pendiente"))</f>
        <v/>
      </c>
      <c r="I120" s="18" t="str">
        <f aca="false">IF(Matriz!$A$125="","",COUNTIF(Matriz!$D$125:$AQ$125,"Caducado"))</f>
        <v/>
      </c>
      <c r="J120" s="18" t="str">
        <f aca="false">IF(Matriz!$A$125="","",COUNTIF(Matriz!$D$125:$AQ$125,"Caduca pronto"))</f>
        <v/>
      </c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7"/>
      <c r="G121" s="16"/>
      <c r="H121" s="18" t="str">
        <f aca="false">IF(Matriz!$A$126="","",COUNTIF(Matriz!$D$126:$AQ$126,"Pendiente"))</f>
        <v/>
      </c>
      <c r="I121" s="18" t="str">
        <f aca="false">IF(Matriz!$A$126="","",COUNTIF(Matriz!$D$126:$AQ$126,"Caducado"))</f>
        <v/>
      </c>
      <c r="J121" s="18" t="str">
        <f aca="false">IF(Matriz!$A$126="","",COUNTIF(Matriz!$D$126:$AQ$126,"Caduca pronto"))</f>
        <v/>
      </c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7"/>
      <c r="G122" s="16"/>
      <c r="H122" s="18" t="str">
        <f aca="false">IF(Matriz!$A$127="","",COUNTIF(Matriz!$D$127:$AQ$127,"Pendiente"))</f>
        <v/>
      </c>
      <c r="I122" s="18" t="str">
        <f aca="false">IF(Matriz!$A$127="","",COUNTIF(Matriz!$D$127:$AQ$127,"Caducado"))</f>
        <v/>
      </c>
      <c r="J122" s="18" t="str">
        <f aca="false">IF(Matriz!$A$127="","",COUNTIF(Matriz!$D$127:$AQ$127,"Caduca pronto"))</f>
        <v/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7"/>
      <c r="G123" s="16"/>
      <c r="H123" s="18" t="str">
        <f aca="false">IF(Matriz!$A$128="","",COUNTIF(Matriz!$D$128:$AQ$128,"Pendiente"))</f>
        <v/>
      </c>
      <c r="I123" s="18" t="str">
        <f aca="false">IF(Matriz!$A$128="","",COUNTIF(Matriz!$D$128:$AQ$128,"Caducado"))</f>
        <v/>
      </c>
      <c r="J123" s="18" t="str">
        <f aca="false">IF(Matriz!$A$128="","",COUNTIF(Matriz!$D$128:$AQ$128,"Caduca pronto"))</f>
        <v/>
      </c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7"/>
      <c r="G124" s="16"/>
      <c r="H124" s="18" t="str">
        <f aca="false">IF(Matriz!$A$129="","",COUNTIF(Matriz!$D$129:$AQ$129,"Pendiente"))</f>
        <v/>
      </c>
      <c r="I124" s="18" t="str">
        <f aca="false">IF(Matriz!$A$129="","",COUNTIF(Matriz!$D$129:$AQ$129,"Caducado"))</f>
        <v/>
      </c>
      <c r="J124" s="18" t="str">
        <f aca="false">IF(Matriz!$A$129="","",COUNTIF(Matriz!$D$129:$AQ$129,"Caduca pronto"))</f>
        <v/>
      </c>
    </row>
  </sheetData>
  <conditionalFormatting sqref="H5:H124">
    <cfRule type="cellIs" priority="2" operator="greaterThan" aboveAverage="0" equalAverage="0" bottom="0" percent="0" rank="0" text="" dxfId="0">
      <formula>0</formula>
    </cfRule>
  </conditionalFormatting>
  <conditionalFormatting sqref="I5:I124">
    <cfRule type="cellIs" priority="3" operator="greaterThan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E5:E124 G5:G12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15" t="s">
        <v>124</v>
      </c>
      <c r="B4" s="15" t="s">
        <v>125</v>
      </c>
      <c r="C4" s="15" t="s">
        <v>126</v>
      </c>
      <c r="D4" s="15" t="s">
        <v>127</v>
      </c>
      <c r="E4" s="15" t="s">
        <v>128</v>
      </c>
      <c r="F4" s="15" t="s">
        <v>129</v>
      </c>
      <c r="G4" s="15" t="s">
        <v>130</v>
      </c>
    </row>
    <row r="5" customFormat="false" ht="15" hidden="false" customHeight="false" outlineLevel="0" collapsed="false">
      <c r="A5" s="16" t="s">
        <v>94</v>
      </c>
      <c r="B5" s="16" t="s">
        <v>55</v>
      </c>
      <c r="C5" s="16" t="n">
        <v>3</v>
      </c>
      <c r="D5" s="17" t="n">
        <v>46268</v>
      </c>
      <c r="E5" s="16" t="s">
        <v>98</v>
      </c>
      <c r="F5" s="16" t="s">
        <v>131</v>
      </c>
      <c r="G5" s="16"/>
    </row>
    <row r="6" customFormat="false" ht="15" hidden="false" customHeight="false" outlineLevel="0" collapsed="false">
      <c r="A6" s="16" t="s">
        <v>99</v>
      </c>
      <c r="B6" s="16" t="s">
        <v>55</v>
      </c>
      <c r="C6" s="16" t="n">
        <v>2</v>
      </c>
      <c r="D6" s="17" t="n">
        <v>45910</v>
      </c>
      <c r="E6" s="16" t="s">
        <v>98</v>
      </c>
      <c r="F6" s="16" t="s">
        <v>131</v>
      </c>
      <c r="G6" s="16"/>
    </row>
    <row r="7" customFormat="false" ht="15" hidden="false" customHeight="false" outlineLevel="0" collapsed="false">
      <c r="A7" s="16" t="s">
        <v>102</v>
      </c>
      <c r="B7" s="16" t="s">
        <v>55</v>
      </c>
      <c r="C7" s="16" t="n">
        <v>3</v>
      </c>
      <c r="D7" s="17" t="n">
        <v>46277</v>
      </c>
      <c r="E7" s="16" t="s">
        <v>98</v>
      </c>
      <c r="F7" s="16" t="s">
        <v>131</v>
      </c>
      <c r="G7" s="16"/>
    </row>
    <row r="8" customFormat="false" ht="15" hidden="false" customHeight="false" outlineLevel="0" collapsed="false">
      <c r="A8" s="16" t="s">
        <v>105</v>
      </c>
      <c r="B8" s="16" t="s">
        <v>55</v>
      </c>
      <c r="C8" s="16" t="n">
        <v>3</v>
      </c>
      <c r="D8" s="17" t="n">
        <v>46269</v>
      </c>
      <c r="E8" s="16" t="s">
        <v>98</v>
      </c>
      <c r="F8" s="16" t="s">
        <v>131</v>
      </c>
      <c r="G8" s="16"/>
    </row>
    <row r="9" customFormat="false" ht="15" hidden="false" customHeight="false" outlineLevel="0" collapsed="false">
      <c r="A9" s="16" t="s">
        <v>108</v>
      </c>
      <c r="B9" s="16" t="s">
        <v>55</v>
      </c>
      <c r="C9" s="16" t="n">
        <v>3</v>
      </c>
      <c r="D9" s="17" t="n">
        <v>46267</v>
      </c>
      <c r="E9" s="16" t="s">
        <v>98</v>
      </c>
      <c r="F9" s="16" t="s">
        <v>131</v>
      </c>
      <c r="G9" s="16"/>
    </row>
    <row r="10" customFormat="false" ht="15" hidden="false" customHeight="false" outlineLevel="0" collapsed="false">
      <c r="A10" s="16" t="s">
        <v>110</v>
      </c>
      <c r="B10" s="16" t="s">
        <v>55</v>
      </c>
      <c r="C10" s="16" t="n">
        <v>2</v>
      </c>
      <c r="D10" s="17" t="n">
        <v>45931</v>
      </c>
      <c r="E10" s="16" t="s">
        <v>98</v>
      </c>
      <c r="F10" s="16" t="s">
        <v>131</v>
      </c>
      <c r="G10" s="16"/>
    </row>
    <row r="11" customFormat="false" ht="15" hidden="false" customHeight="false" outlineLevel="0" collapsed="false">
      <c r="A11" s="16" t="s">
        <v>113</v>
      </c>
      <c r="B11" s="16" t="s">
        <v>55</v>
      </c>
      <c r="C11" s="16" t="n">
        <v>3</v>
      </c>
      <c r="D11" s="17" t="n">
        <v>46273</v>
      </c>
      <c r="E11" s="16" t="s">
        <v>98</v>
      </c>
      <c r="F11" s="16" t="s">
        <v>131</v>
      </c>
      <c r="G11" s="16"/>
    </row>
    <row r="12" customFormat="false" ht="15" hidden="false" customHeight="false" outlineLevel="0" collapsed="false">
      <c r="A12" s="16" t="s">
        <v>116</v>
      </c>
      <c r="B12" s="16" t="s">
        <v>55</v>
      </c>
      <c r="C12" s="16" t="n">
        <v>3</v>
      </c>
      <c r="D12" s="17" t="n">
        <v>46294</v>
      </c>
      <c r="E12" s="16" t="s">
        <v>98</v>
      </c>
      <c r="F12" s="16" t="s">
        <v>131</v>
      </c>
      <c r="G12" s="16"/>
    </row>
    <row r="13" customFormat="false" ht="15" hidden="false" customHeight="false" outlineLevel="0" collapsed="false">
      <c r="A13" s="16" t="s">
        <v>99</v>
      </c>
      <c r="B13" s="16" t="s">
        <v>55</v>
      </c>
      <c r="C13" s="16" t="n">
        <v>1</v>
      </c>
      <c r="D13" s="17" t="n">
        <v>45537</v>
      </c>
      <c r="E13" s="16" t="s">
        <v>98</v>
      </c>
      <c r="F13" s="16" t="s">
        <v>131</v>
      </c>
      <c r="G13" s="16"/>
    </row>
    <row r="14" customFormat="false" ht="15" hidden="false" customHeight="false" outlineLevel="0" collapsed="false">
      <c r="A14" s="16" t="s">
        <v>110</v>
      </c>
      <c r="B14" s="16" t="s">
        <v>60</v>
      </c>
      <c r="C14" s="16" t="n">
        <v>2</v>
      </c>
      <c r="D14" s="17" t="n">
        <v>45545</v>
      </c>
      <c r="E14" s="16" t="s">
        <v>98</v>
      </c>
      <c r="F14" s="16" t="s">
        <v>131</v>
      </c>
      <c r="G14" s="16"/>
    </row>
    <row r="15" customFormat="false" ht="15" hidden="false" customHeight="false" outlineLevel="0" collapsed="false">
      <c r="A15" s="16" t="s">
        <v>113</v>
      </c>
      <c r="B15" s="16" t="s">
        <v>60</v>
      </c>
      <c r="C15" s="16" t="n">
        <v>2</v>
      </c>
      <c r="D15" s="17" t="n">
        <v>46193</v>
      </c>
      <c r="E15" s="16" t="s">
        <v>98</v>
      </c>
      <c r="F15" s="16" t="s">
        <v>131</v>
      </c>
      <c r="G15" s="16"/>
    </row>
    <row r="16" customFormat="false" ht="15" hidden="false" customHeight="false" outlineLevel="0" collapsed="false">
      <c r="A16" s="16" t="s">
        <v>105</v>
      </c>
      <c r="B16" s="16" t="s">
        <v>64</v>
      </c>
      <c r="C16" s="16" t="n">
        <v>1</v>
      </c>
      <c r="D16" s="17" t="n">
        <v>45960</v>
      </c>
      <c r="E16" s="16" t="s">
        <v>98</v>
      </c>
      <c r="F16" s="16" t="s">
        <v>131</v>
      </c>
      <c r="G16" s="16"/>
    </row>
    <row r="17" customFormat="false" ht="15" hidden="false" customHeight="false" outlineLevel="0" collapsed="false">
      <c r="A17" s="16" t="s">
        <v>94</v>
      </c>
      <c r="B17" s="16" t="s">
        <v>64</v>
      </c>
      <c r="C17" s="16" t="n">
        <v>1</v>
      </c>
      <c r="D17" s="17" t="n">
        <v>46093</v>
      </c>
      <c r="E17" s="16" t="s">
        <v>98</v>
      </c>
      <c r="F17" s="16" t="s">
        <v>131</v>
      </c>
      <c r="G17" s="16"/>
    </row>
    <row r="18" customFormat="false" ht="15" hidden="false" customHeight="false" outlineLevel="0" collapsed="false">
      <c r="A18" s="16" t="s">
        <v>99</v>
      </c>
      <c r="B18" s="16" t="s">
        <v>64</v>
      </c>
      <c r="C18" s="16" t="n">
        <v>1</v>
      </c>
      <c r="D18" s="17" t="n">
        <v>46093</v>
      </c>
      <c r="E18" s="16" t="s">
        <v>98</v>
      </c>
      <c r="F18" s="16" t="s">
        <v>131</v>
      </c>
      <c r="G18" s="16"/>
    </row>
    <row r="19" customFormat="false" ht="15" hidden="false" customHeight="false" outlineLevel="0" collapsed="false">
      <c r="A19" s="16" t="s">
        <v>94</v>
      </c>
      <c r="B19" s="16" t="s">
        <v>67</v>
      </c>
      <c r="C19" s="16" t="n">
        <v>2</v>
      </c>
      <c r="D19" s="17" t="n">
        <v>46256</v>
      </c>
      <c r="E19" s="16" t="s">
        <v>98</v>
      </c>
      <c r="F19" s="16" t="s">
        <v>131</v>
      </c>
      <c r="G19" s="16"/>
    </row>
    <row r="20" customFormat="false" ht="15" hidden="false" customHeight="false" outlineLevel="0" collapsed="false">
      <c r="A20" s="16" t="s">
        <v>99</v>
      </c>
      <c r="B20" s="16" t="s">
        <v>67</v>
      </c>
      <c r="C20" s="16" t="n">
        <v>1</v>
      </c>
      <c r="D20" s="17" t="n">
        <v>45689</v>
      </c>
      <c r="E20" s="16" t="s">
        <v>98</v>
      </c>
      <c r="F20" s="16" t="s">
        <v>131</v>
      </c>
      <c r="G20" s="16"/>
    </row>
    <row r="21" customFormat="false" ht="15" hidden="false" customHeight="false" outlineLevel="0" collapsed="false">
      <c r="A21" s="16" t="s">
        <v>102</v>
      </c>
      <c r="B21" s="16" t="s">
        <v>67</v>
      </c>
      <c r="C21" s="16" t="n">
        <v>2</v>
      </c>
      <c r="D21" s="17" t="n">
        <v>46259</v>
      </c>
      <c r="E21" s="16" t="s">
        <v>98</v>
      </c>
      <c r="F21" s="16" t="s">
        <v>131</v>
      </c>
      <c r="G21" s="16"/>
    </row>
    <row r="22" customFormat="false" ht="15" hidden="false" customHeight="false" outlineLevel="0" collapsed="false">
      <c r="A22" s="16" t="s">
        <v>94</v>
      </c>
      <c r="B22" s="16" t="s">
        <v>70</v>
      </c>
      <c r="C22" s="16" t="n">
        <v>4</v>
      </c>
      <c r="D22" s="17" t="n">
        <v>46297</v>
      </c>
      <c r="E22" s="16" t="s">
        <v>132</v>
      </c>
      <c r="F22" s="16" t="s">
        <v>131</v>
      </c>
      <c r="G22" s="16"/>
    </row>
    <row r="23" customFormat="false" ht="15" hidden="false" customHeight="false" outlineLevel="0" collapsed="false">
      <c r="A23" s="16" t="s">
        <v>99</v>
      </c>
      <c r="B23" s="16" t="s">
        <v>70</v>
      </c>
      <c r="C23" s="16" t="n">
        <v>3</v>
      </c>
      <c r="D23" s="17" t="n">
        <v>46126</v>
      </c>
      <c r="E23" s="16" t="s">
        <v>132</v>
      </c>
      <c r="F23" s="16" t="s">
        <v>131</v>
      </c>
      <c r="G23" s="16"/>
    </row>
    <row r="24" customFormat="false" ht="15" hidden="false" customHeight="false" outlineLevel="0" collapsed="false">
      <c r="A24" s="16" t="s">
        <v>102</v>
      </c>
      <c r="B24" s="16" t="s">
        <v>70</v>
      </c>
      <c r="C24" s="16" t="n">
        <v>3</v>
      </c>
      <c r="D24" s="17" t="n">
        <v>46127</v>
      </c>
      <c r="E24" s="16" t="s">
        <v>132</v>
      </c>
      <c r="F24" s="16" t="s">
        <v>131</v>
      </c>
      <c r="G24" s="16"/>
    </row>
    <row r="25" customFormat="false" ht="15" hidden="false" customHeight="false" outlineLevel="0" collapsed="false">
      <c r="A25" s="16" t="s">
        <v>94</v>
      </c>
      <c r="B25" s="16" t="s">
        <v>74</v>
      </c>
      <c r="C25" s="16" t="n">
        <v>2</v>
      </c>
      <c r="D25" s="17" t="n">
        <v>46209</v>
      </c>
      <c r="E25" s="16" t="s">
        <v>132</v>
      </c>
      <c r="F25" s="16" t="s">
        <v>131</v>
      </c>
      <c r="G25" s="16"/>
    </row>
    <row r="26" customFormat="false" ht="15" hidden="false" customHeight="false" outlineLevel="0" collapsed="false">
      <c r="A26" s="16" t="s">
        <v>99</v>
      </c>
      <c r="B26" s="16" t="s">
        <v>74</v>
      </c>
      <c r="C26" s="16" t="n">
        <v>2</v>
      </c>
      <c r="D26" s="17" t="n">
        <v>46210</v>
      </c>
      <c r="E26" s="16" t="s">
        <v>132</v>
      </c>
      <c r="F26" s="16" t="s">
        <v>131</v>
      </c>
      <c r="G26" s="16"/>
    </row>
    <row r="27" customFormat="false" ht="15" hidden="false" customHeight="false" outlineLevel="0" collapsed="false">
      <c r="A27" s="16" t="s">
        <v>102</v>
      </c>
      <c r="B27" s="16" t="s">
        <v>74</v>
      </c>
      <c r="C27" s="16" t="n">
        <v>2</v>
      </c>
      <c r="D27" s="17" t="n">
        <v>46212</v>
      </c>
      <c r="E27" s="16" t="s">
        <v>132</v>
      </c>
      <c r="F27" s="16" t="s">
        <v>131</v>
      </c>
      <c r="G27" s="16"/>
    </row>
    <row r="28" customFormat="false" ht="15" hidden="false" customHeight="false" outlineLevel="0" collapsed="false">
      <c r="A28" s="16" t="s">
        <v>116</v>
      </c>
      <c r="B28" s="16" t="s">
        <v>74</v>
      </c>
      <c r="C28" s="16" t="n">
        <v>2</v>
      </c>
      <c r="D28" s="17" t="n">
        <v>46296</v>
      </c>
      <c r="E28" s="16" t="s">
        <v>132</v>
      </c>
      <c r="F28" s="16" t="s">
        <v>131</v>
      </c>
      <c r="G28" s="16"/>
    </row>
    <row r="29" customFormat="false" ht="15" hidden="false" customHeight="false" outlineLevel="0" collapsed="false">
      <c r="A29" s="16" t="s">
        <v>108</v>
      </c>
      <c r="B29" s="16" t="s">
        <v>76</v>
      </c>
      <c r="C29" s="16" t="n">
        <v>1</v>
      </c>
      <c r="D29" s="17" t="n">
        <v>46145</v>
      </c>
      <c r="E29" s="16" t="s">
        <v>132</v>
      </c>
      <c r="F29" s="16" t="s">
        <v>131</v>
      </c>
      <c r="G29" s="16"/>
    </row>
    <row r="30" customFormat="false" ht="15" hidden="false" customHeight="false" outlineLevel="0" collapsed="false">
      <c r="A30" s="16" t="s">
        <v>94</v>
      </c>
      <c r="B30" s="16" t="s">
        <v>76</v>
      </c>
      <c r="C30" s="16" t="n">
        <v>1</v>
      </c>
      <c r="D30" s="17" t="n">
        <v>46146</v>
      </c>
      <c r="E30" s="16" t="s">
        <v>132</v>
      </c>
      <c r="F30" s="16" t="s">
        <v>131</v>
      </c>
      <c r="G30" s="16"/>
    </row>
    <row r="31" customFormat="false" ht="15" hidden="false" customHeight="false" outlineLevel="0" collapsed="false">
      <c r="A31" s="16" t="s">
        <v>94</v>
      </c>
      <c r="B31" s="16" t="s">
        <v>80</v>
      </c>
      <c r="C31" s="16" t="n">
        <v>1</v>
      </c>
      <c r="D31" s="17" t="n">
        <v>46042</v>
      </c>
      <c r="E31" s="16" t="s">
        <v>132</v>
      </c>
      <c r="F31" s="16" t="s">
        <v>131</v>
      </c>
      <c r="G31" s="16"/>
    </row>
    <row r="32" customFormat="false" ht="15" hidden="false" customHeight="false" outlineLevel="0" collapsed="false">
      <c r="A32" s="16" t="s">
        <v>99</v>
      </c>
      <c r="B32" s="16" t="s">
        <v>80</v>
      </c>
      <c r="C32" s="16" t="n">
        <v>1</v>
      </c>
      <c r="D32" s="17" t="n">
        <v>46042</v>
      </c>
      <c r="E32" s="16" t="s">
        <v>132</v>
      </c>
      <c r="F32" s="16" t="s">
        <v>131</v>
      </c>
      <c r="G32" s="16"/>
    </row>
    <row r="33" customFormat="false" ht="15" hidden="false" customHeight="false" outlineLevel="0" collapsed="false">
      <c r="A33" s="16" t="s">
        <v>105</v>
      </c>
      <c r="B33" s="16" t="s">
        <v>80</v>
      </c>
      <c r="C33" s="16" t="n">
        <v>1</v>
      </c>
      <c r="D33" s="17" t="n">
        <v>46043</v>
      </c>
      <c r="E33" s="16" t="s">
        <v>132</v>
      </c>
      <c r="F33" s="16" t="s">
        <v>131</v>
      </c>
      <c r="G33" s="16"/>
    </row>
    <row r="34" customFormat="false" ht="15" hidden="false" customHeight="false" outlineLevel="0" collapsed="false">
      <c r="A34" s="16" t="s">
        <v>108</v>
      </c>
      <c r="B34" s="16" t="s">
        <v>80</v>
      </c>
      <c r="C34" s="16" t="n">
        <v>1</v>
      </c>
      <c r="D34" s="17" t="n">
        <v>46043</v>
      </c>
      <c r="E34" s="16" t="s">
        <v>132</v>
      </c>
      <c r="F34" s="16" t="s">
        <v>131</v>
      </c>
      <c r="G34" s="16"/>
    </row>
    <row r="35" customFormat="false" ht="15" hidden="false" customHeight="false" outlineLevel="0" collapsed="false">
      <c r="A35" s="16" t="s">
        <v>110</v>
      </c>
      <c r="B35" s="16" t="s">
        <v>80</v>
      </c>
      <c r="C35" s="16" t="n">
        <v>1</v>
      </c>
      <c r="D35" s="17" t="n">
        <v>46044</v>
      </c>
      <c r="E35" s="16" t="s">
        <v>132</v>
      </c>
      <c r="F35" s="16" t="s">
        <v>131</v>
      </c>
      <c r="G35" s="16"/>
    </row>
    <row r="36" customFormat="false" ht="15" hidden="false" customHeight="false" outlineLevel="0" collapsed="false">
      <c r="A36" s="16"/>
      <c r="B36" s="16"/>
      <c r="C36" s="16"/>
      <c r="D36" s="17"/>
      <c r="E36" s="16"/>
      <c r="F36" s="16"/>
      <c r="G36" s="16"/>
    </row>
    <row r="37" customFormat="false" ht="15" hidden="false" customHeight="false" outlineLevel="0" collapsed="false">
      <c r="A37" s="16"/>
      <c r="B37" s="16"/>
      <c r="C37" s="16"/>
      <c r="D37" s="17"/>
      <c r="E37" s="16"/>
      <c r="F37" s="16"/>
      <c r="G37" s="16"/>
    </row>
    <row r="38" customFormat="false" ht="15" hidden="false" customHeight="false" outlineLevel="0" collapsed="false">
      <c r="A38" s="16"/>
      <c r="B38" s="16"/>
      <c r="C38" s="16"/>
      <c r="D38" s="17"/>
      <c r="E38" s="16"/>
      <c r="F38" s="16"/>
      <c r="G38" s="16"/>
    </row>
    <row r="39" customFormat="false" ht="15" hidden="false" customHeight="false" outlineLevel="0" collapsed="false">
      <c r="A39" s="16"/>
      <c r="B39" s="16"/>
      <c r="C39" s="16"/>
      <c r="D39" s="17"/>
      <c r="E39" s="16"/>
      <c r="F39" s="16"/>
      <c r="G39" s="16"/>
    </row>
    <row r="40" customFormat="false" ht="15" hidden="false" customHeight="false" outlineLevel="0" collapsed="false">
      <c r="A40" s="16"/>
      <c r="B40" s="16"/>
      <c r="C40" s="16"/>
      <c r="D40" s="17"/>
      <c r="E40" s="16"/>
      <c r="F40" s="16"/>
      <c r="G40" s="16"/>
    </row>
    <row r="41" customFormat="false" ht="15" hidden="false" customHeight="false" outlineLevel="0" collapsed="false">
      <c r="A41" s="16"/>
      <c r="B41" s="16"/>
      <c r="C41" s="16"/>
      <c r="D41" s="17"/>
      <c r="E41" s="16"/>
      <c r="F41" s="16"/>
      <c r="G41" s="16"/>
    </row>
    <row r="42" customFormat="false" ht="15" hidden="false" customHeight="false" outlineLevel="0" collapsed="false">
      <c r="A42" s="16"/>
      <c r="B42" s="16"/>
      <c r="C42" s="16"/>
      <c r="D42" s="17"/>
      <c r="E42" s="16"/>
      <c r="F42" s="16"/>
      <c r="G42" s="16"/>
    </row>
    <row r="43" customFormat="false" ht="15" hidden="false" customHeight="false" outlineLevel="0" collapsed="false">
      <c r="A43" s="16"/>
      <c r="B43" s="16"/>
      <c r="C43" s="16"/>
      <c r="D43" s="17"/>
      <c r="E43" s="16"/>
      <c r="F43" s="16"/>
      <c r="G43" s="16"/>
    </row>
    <row r="44" customFormat="false" ht="15" hidden="false" customHeight="false" outlineLevel="0" collapsed="false">
      <c r="A44" s="16"/>
      <c r="B44" s="16"/>
      <c r="C44" s="16"/>
      <c r="D44" s="17"/>
      <c r="E44" s="16"/>
      <c r="F44" s="16"/>
      <c r="G44" s="16"/>
    </row>
    <row r="45" customFormat="false" ht="15" hidden="false" customHeight="false" outlineLevel="0" collapsed="false">
      <c r="A45" s="16"/>
      <c r="B45" s="16"/>
      <c r="C45" s="16"/>
      <c r="D45" s="17"/>
      <c r="E45" s="16"/>
      <c r="F45" s="16"/>
      <c r="G45" s="16"/>
    </row>
    <row r="46" customFormat="false" ht="15" hidden="false" customHeight="false" outlineLevel="0" collapsed="false">
      <c r="A46" s="16"/>
      <c r="B46" s="16"/>
      <c r="C46" s="16"/>
      <c r="D46" s="17"/>
      <c r="E46" s="16"/>
      <c r="F46" s="16"/>
      <c r="G46" s="16"/>
    </row>
    <row r="47" customFormat="false" ht="15" hidden="false" customHeight="false" outlineLevel="0" collapsed="false">
      <c r="A47" s="16"/>
      <c r="B47" s="16"/>
      <c r="C47" s="16"/>
      <c r="D47" s="17"/>
      <c r="E47" s="16"/>
      <c r="F47" s="16"/>
      <c r="G47" s="16"/>
    </row>
    <row r="48" customFormat="false" ht="15" hidden="false" customHeight="false" outlineLevel="0" collapsed="false">
      <c r="A48" s="16"/>
      <c r="B48" s="16"/>
      <c r="C48" s="16"/>
      <c r="D48" s="17"/>
      <c r="E48" s="16"/>
      <c r="F48" s="16"/>
      <c r="G48" s="16"/>
    </row>
    <row r="49" customFormat="false" ht="15" hidden="false" customHeight="false" outlineLevel="0" collapsed="false">
      <c r="A49" s="16"/>
      <c r="B49" s="16"/>
      <c r="C49" s="16"/>
      <c r="D49" s="17"/>
      <c r="E49" s="16"/>
      <c r="F49" s="16"/>
      <c r="G49" s="16"/>
    </row>
    <row r="50" customFormat="false" ht="15" hidden="false" customHeight="false" outlineLevel="0" collapsed="false">
      <c r="A50" s="16"/>
      <c r="B50" s="16"/>
      <c r="C50" s="16"/>
      <c r="D50" s="17"/>
      <c r="E50" s="16"/>
      <c r="F50" s="16"/>
      <c r="G50" s="16"/>
    </row>
    <row r="51" customFormat="false" ht="15" hidden="false" customHeight="false" outlineLevel="0" collapsed="false">
      <c r="A51" s="16"/>
      <c r="B51" s="16"/>
      <c r="C51" s="16"/>
      <c r="D51" s="17"/>
      <c r="E51" s="16"/>
      <c r="F51" s="16"/>
      <c r="G51" s="16"/>
    </row>
    <row r="52" customFormat="false" ht="15" hidden="false" customHeight="false" outlineLevel="0" collapsed="false">
      <c r="A52" s="16"/>
      <c r="B52" s="16"/>
      <c r="C52" s="16"/>
      <c r="D52" s="17"/>
      <c r="E52" s="16"/>
      <c r="F52" s="16"/>
      <c r="G52" s="16"/>
    </row>
    <row r="53" customFormat="false" ht="15" hidden="false" customHeight="false" outlineLevel="0" collapsed="false">
      <c r="A53" s="16"/>
      <c r="B53" s="16"/>
      <c r="C53" s="16"/>
      <c r="D53" s="17"/>
      <c r="E53" s="16"/>
      <c r="F53" s="16"/>
      <c r="G53" s="16"/>
    </row>
    <row r="54" customFormat="false" ht="15" hidden="false" customHeight="false" outlineLevel="0" collapsed="false">
      <c r="A54" s="16"/>
      <c r="B54" s="16"/>
      <c r="C54" s="16"/>
      <c r="D54" s="17"/>
      <c r="E54" s="16"/>
      <c r="F54" s="16"/>
      <c r="G54" s="16"/>
    </row>
    <row r="55" customFormat="false" ht="15" hidden="false" customHeight="false" outlineLevel="0" collapsed="false">
      <c r="A55" s="16"/>
      <c r="B55" s="16"/>
      <c r="C55" s="16"/>
      <c r="D55" s="17"/>
      <c r="E55" s="16"/>
      <c r="F55" s="16"/>
      <c r="G55" s="16"/>
    </row>
    <row r="56" customFormat="false" ht="15" hidden="false" customHeight="false" outlineLevel="0" collapsed="false">
      <c r="A56" s="16"/>
      <c r="B56" s="16"/>
      <c r="C56" s="16"/>
      <c r="D56" s="17"/>
      <c r="E56" s="16"/>
      <c r="F56" s="16"/>
      <c r="G56" s="16"/>
    </row>
    <row r="57" customFormat="false" ht="15" hidden="false" customHeight="false" outlineLevel="0" collapsed="false">
      <c r="A57" s="16"/>
      <c r="B57" s="16"/>
      <c r="C57" s="16"/>
      <c r="D57" s="17"/>
      <c r="E57" s="16"/>
      <c r="F57" s="16"/>
      <c r="G57" s="16"/>
    </row>
    <row r="58" customFormat="false" ht="15" hidden="false" customHeight="false" outlineLevel="0" collapsed="false">
      <c r="A58" s="16"/>
      <c r="B58" s="16"/>
      <c r="C58" s="16"/>
      <c r="D58" s="17"/>
      <c r="E58" s="16"/>
      <c r="F58" s="16"/>
      <c r="G58" s="16"/>
    </row>
    <row r="59" customFormat="false" ht="15" hidden="false" customHeight="false" outlineLevel="0" collapsed="false">
      <c r="A59" s="16"/>
      <c r="B59" s="16"/>
      <c r="C59" s="16"/>
      <c r="D59" s="17"/>
      <c r="E59" s="16"/>
      <c r="F59" s="16"/>
      <c r="G59" s="16"/>
    </row>
    <row r="60" customFormat="false" ht="15" hidden="false" customHeight="false" outlineLevel="0" collapsed="false">
      <c r="A60" s="16"/>
      <c r="B60" s="16"/>
      <c r="C60" s="16"/>
      <c r="D60" s="17"/>
      <c r="E60" s="16"/>
      <c r="F60" s="16"/>
      <c r="G60" s="16"/>
    </row>
    <row r="61" customFormat="false" ht="15" hidden="false" customHeight="false" outlineLevel="0" collapsed="false">
      <c r="A61" s="16"/>
      <c r="B61" s="16"/>
      <c r="C61" s="16"/>
      <c r="D61" s="17"/>
      <c r="E61" s="16"/>
      <c r="F61" s="16"/>
      <c r="G61" s="16"/>
    </row>
    <row r="62" customFormat="false" ht="15" hidden="false" customHeight="false" outlineLevel="0" collapsed="false">
      <c r="A62" s="16"/>
      <c r="B62" s="16"/>
      <c r="C62" s="16"/>
      <c r="D62" s="17"/>
      <c r="E62" s="16"/>
      <c r="F62" s="16"/>
      <c r="G62" s="16"/>
    </row>
    <row r="63" customFormat="false" ht="15" hidden="false" customHeight="false" outlineLevel="0" collapsed="false">
      <c r="A63" s="16"/>
      <c r="B63" s="16"/>
      <c r="C63" s="16"/>
      <c r="D63" s="17"/>
      <c r="E63" s="16"/>
      <c r="F63" s="16"/>
      <c r="G63" s="16"/>
    </row>
    <row r="64" customFormat="false" ht="15" hidden="false" customHeight="false" outlineLevel="0" collapsed="false">
      <c r="A64" s="16"/>
      <c r="B64" s="16"/>
      <c r="C64" s="16"/>
      <c r="D64" s="17"/>
      <c r="E64" s="16"/>
      <c r="F64" s="16"/>
      <c r="G64" s="16"/>
    </row>
    <row r="65" customFormat="false" ht="15" hidden="false" customHeight="false" outlineLevel="0" collapsed="false">
      <c r="A65" s="16"/>
      <c r="B65" s="16"/>
      <c r="C65" s="16"/>
      <c r="D65" s="17"/>
      <c r="E65" s="16"/>
      <c r="F65" s="16"/>
      <c r="G65" s="16"/>
    </row>
    <row r="66" customFormat="false" ht="15" hidden="false" customHeight="false" outlineLevel="0" collapsed="false">
      <c r="A66" s="16"/>
      <c r="B66" s="16"/>
      <c r="C66" s="16"/>
      <c r="D66" s="17"/>
      <c r="E66" s="16"/>
      <c r="F66" s="16"/>
      <c r="G66" s="16"/>
    </row>
    <row r="67" customFormat="false" ht="15" hidden="false" customHeight="false" outlineLevel="0" collapsed="false">
      <c r="A67" s="16"/>
      <c r="B67" s="16"/>
      <c r="C67" s="16"/>
      <c r="D67" s="17"/>
      <c r="E67" s="16"/>
      <c r="F67" s="16"/>
      <c r="G67" s="16"/>
    </row>
    <row r="68" customFormat="false" ht="15" hidden="false" customHeight="false" outlineLevel="0" collapsed="false">
      <c r="A68" s="16"/>
      <c r="B68" s="16"/>
      <c r="C68" s="16"/>
      <c r="D68" s="17"/>
      <c r="E68" s="16"/>
      <c r="F68" s="16"/>
      <c r="G68" s="16"/>
    </row>
    <row r="69" customFormat="false" ht="15" hidden="false" customHeight="false" outlineLevel="0" collapsed="false">
      <c r="A69" s="16"/>
      <c r="B69" s="16"/>
      <c r="C69" s="16"/>
      <c r="D69" s="17"/>
      <c r="E69" s="16"/>
      <c r="F69" s="16"/>
      <c r="G69" s="16"/>
    </row>
    <row r="70" customFormat="false" ht="15" hidden="false" customHeight="false" outlineLevel="0" collapsed="false">
      <c r="A70" s="16"/>
      <c r="B70" s="16"/>
      <c r="C70" s="16"/>
      <c r="D70" s="17"/>
      <c r="E70" s="16"/>
      <c r="F70" s="16"/>
      <c r="G70" s="16"/>
    </row>
    <row r="71" customFormat="false" ht="15" hidden="false" customHeight="false" outlineLevel="0" collapsed="false">
      <c r="A71" s="16"/>
      <c r="B71" s="16"/>
      <c r="C71" s="16"/>
      <c r="D71" s="17"/>
      <c r="E71" s="16"/>
      <c r="F71" s="16"/>
      <c r="G71" s="16"/>
    </row>
    <row r="72" customFormat="false" ht="15" hidden="false" customHeight="false" outlineLevel="0" collapsed="false">
      <c r="A72" s="16"/>
      <c r="B72" s="16"/>
      <c r="C72" s="16"/>
      <c r="D72" s="17"/>
      <c r="E72" s="16"/>
      <c r="F72" s="16"/>
      <c r="G72" s="16"/>
    </row>
    <row r="73" customFormat="false" ht="15" hidden="false" customHeight="false" outlineLevel="0" collapsed="false">
      <c r="A73" s="16"/>
      <c r="B73" s="16"/>
      <c r="C73" s="16"/>
      <c r="D73" s="17"/>
      <c r="E73" s="16"/>
      <c r="F73" s="16"/>
      <c r="G73" s="16"/>
    </row>
    <row r="74" customFormat="false" ht="15" hidden="false" customHeight="false" outlineLevel="0" collapsed="false">
      <c r="A74" s="16"/>
      <c r="B74" s="16"/>
      <c r="C74" s="16"/>
      <c r="D74" s="17"/>
      <c r="E74" s="16"/>
      <c r="F74" s="16"/>
      <c r="G74" s="16"/>
    </row>
    <row r="75" customFormat="false" ht="15" hidden="false" customHeight="false" outlineLevel="0" collapsed="false">
      <c r="A75" s="16"/>
      <c r="B75" s="16"/>
      <c r="C75" s="16"/>
      <c r="D75" s="17"/>
      <c r="E75" s="16"/>
      <c r="F75" s="16"/>
      <c r="G75" s="16"/>
    </row>
    <row r="76" customFormat="false" ht="15" hidden="false" customHeight="false" outlineLevel="0" collapsed="false">
      <c r="A76" s="16"/>
      <c r="B76" s="16"/>
      <c r="C76" s="16"/>
      <c r="D76" s="17"/>
      <c r="E76" s="16"/>
      <c r="F76" s="16"/>
      <c r="G76" s="16"/>
    </row>
    <row r="77" customFormat="false" ht="15" hidden="false" customHeight="false" outlineLevel="0" collapsed="false">
      <c r="A77" s="16"/>
      <c r="B77" s="16"/>
      <c r="C77" s="16"/>
      <c r="D77" s="17"/>
      <c r="E77" s="16"/>
      <c r="F77" s="16"/>
      <c r="G77" s="16"/>
    </row>
    <row r="78" customFormat="false" ht="15" hidden="false" customHeight="false" outlineLevel="0" collapsed="false">
      <c r="A78" s="16"/>
      <c r="B78" s="16"/>
      <c r="C78" s="16"/>
      <c r="D78" s="17"/>
      <c r="E78" s="16"/>
      <c r="F78" s="16"/>
      <c r="G78" s="16"/>
    </row>
    <row r="79" customFormat="false" ht="15" hidden="false" customHeight="false" outlineLevel="0" collapsed="false">
      <c r="A79" s="16"/>
      <c r="B79" s="16"/>
      <c r="C79" s="16"/>
      <c r="D79" s="17"/>
      <c r="E79" s="16"/>
      <c r="F79" s="16"/>
      <c r="G79" s="16"/>
    </row>
    <row r="80" customFormat="false" ht="15" hidden="false" customHeight="false" outlineLevel="0" collapsed="false">
      <c r="A80" s="16"/>
      <c r="B80" s="16"/>
      <c r="C80" s="16"/>
      <c r="D80" s="17"/>
      <c r="E80" s="16"/>
      <c r="F80" s="16"/>
      <c r="G80" s="16"/>
    </row>
    <row r="81" customFormat="false" ht="15" hidden="false" customHeight="false" outlineLevel="0" collapsed="false">
      <c r="A81" s="16"/>
      <c r="B81" s="16"/>
      <c r="C81" s="16"/>
      <c r="D81" s="17"/>
      <c r="E81" s="16"/>
      <c r="F81" s="16"/>
      <c r="G81" s="16"/>
    </row>
    <row r="82" customFormat="false" ht="15" hidden="false" customHeight="false" outlineLevel="0" collapsed="false">
      <c r="A82" s="16"/>
      <c r="B82" s="16"/>
      <c r="C82" s="16"/>
      <c r="D82" s="17"/>
      <c r="E82" s="16"/>
      <c r="F82" s="16"/>
      <c r="G82" s="16"/>
    </row>
    <row r="83" customFormat="false" ht="15" hidden="false" customHeight="false" outlineLevel="0" collapsed="false">
      <c r="A83" s="16"/>
      <c r="B83" s="16"/>
      <c r="C83" s="16"/>
      <c r="D83" s="17"/>
      <c r="E83" s="16"/>
      <c r="F83" s="16"/>
      <c r="G83" s="16"/>
    </row>
    <row r="84" customFormat="false" ht="15" hidden="false" customHeight="false" outlineLevel="0" collapsed="false">
      <c r="A84" s="16"/>
      <c r="B84" s="16"/>
      <c r="C84" s="16"/>
      <c r="D84" s="17"/>
      <c r="E84" s="16"/>
      <c r="F84" s="16"/>
      <c r="G84" s="16"/>
    </row>
    <row r="85" customFormat="false" ht="15" hidden="false" customHeight="false" outlineLevel="0" collapsed="false">
      <c r="A85" s="16"/>
      <c r="B85" s="16"/>
      <c r="C85" s="16"/>
      <c r="D85" s="17"/>
      <c r="E85" s="16"/>
      <c r="F85" s="16"/>
      <c r="G85" s="16"/>
    </row>
    <row r="86" customFormat="false" ht="15" hidden="false" customHeight="false" outlineLevel="0" collapsed="false">
      <c r="A86" s="16"/>
      <c r="B86" s="16"/>
      <c r="C86" s="16"/>
      <c r="D86" s="17"/>
      <c r="E86" s="16"/>
      <c r="F86" s="16"/>
      <c r="G86" s="16"/>
    </row>
    <row r="87" customFormat="false" ht="15" hidden="false" customHeight="false" outlineLevel="0" collapsed="false">
      <c r="A87" s="16"/>
      <c r="B87" s="16"/>
      <c r="C87" s="16"/>
      <c r="D87" s="17"/>
      <c r="E87" s="16"/>
      <c r="F87" s="16"/>
      <c r="G87" s="16"/>
    </row>
    <row r="88" customFormat="false" ht="15" hidden="false" customHeight="false" outlineLevel="0" collapsed="false">
      <c r="A88" s="16"/>
      <c r="B88" s="16"/>
      <c r="C88" s="16"/>
      <c r="D88" s="17"/>
      <c r="E88" s="16"/>
      <c r="F88" s="16"/>
      <c r="G88" s="16"/>
    </row>
    <row r="89" customFormat="false" ht="15" hidden="false" customHeight="false" outlineLevel="0" collapsed="false">
      <c r="A89" s="16"/>
      <c r="B89" s="16"/>
      <c r="C89" s="16"/>
      <c r="D89" s="17"/>
      <c r="E89" s="16"/>
      <c r="F89" s="16"/>
      <c r="G89" s="16"/>
    </row>
    <row r="90" customFormat="false" ht="15" hidden="false" customHeight="false" outlineLevel="0" collapsed="false">
      <c r="A90" s="16"/>
      <c r="B90" s="16"/>
      <c r="C90" s="16"/>
      <c r="D90" s="17"/>
      <c r="E90" s="16"/>
      <c r="F90" s="16"/>
      <c r="G90" s="16"/>
    </row>
    <row r="91" customFormat="false" ht="15" hidden="false" customHeight="false" outlineLevel="0" collapsed="false">
      <c r="A91" s="16"/>
      <c r="B91" s="16"/>
      <c r="C91" s="16"/>
      <c r="D91" s="17"/>
      <c r="E91" s="16"/>
      <c r="F91" s="16"/>
      <c r="G91" s="16"/>
    </row>
    <row r="92" customFormat="false" ht="15" hidden="false" customHeight="false" outlineLevel="0" collapsed="false">
      <c r="A92" s="16"/>
      <c r="B92" s="16"/>
      <c r="C92" s="16"/>
      <c r="D92" s="17"/>
      <c r="E92" s="16"/>
      <c r="F92" s="16"/>
      <c r="G92" s="16"/>
    </row>
    <row r="93" customFormat="false" ht="15" hidden="false" customHeight="false" outlineLevel="0" collapsed="false">
      <c r="A93" s="16"/>
      <c r="B93" s="16"/>
      <c r="C93" s="16"/>
      <c r="D93" s="17"/>
      <c r="E93" s="16"/>
      <c r="F93" s="16"/>
      <c r="G93" s="16"/>
    </row>
    <row r="94" customFormat="false" ht="15" hidden="false" customHeight="false" outlineLevel="0" collapsed="false">
      <c r="A94" s="16"/>
      <c r="B94" s="16"/>
      <c r="C94" s="16"/>
      <c r="D94" s="17"/>
      <c r="E94" s="16"/>
      <c r="F94" s="16"/>
      <c r="G94" s="16"/>
    </row>
    <row r="95" customFormat="false" ht="15" hidden="false" customHeight="false" outlineLevel="0" collapsed="false">
      <c r="A95" s="16"/>
      <c r="B95" s="16"/>
      <c r="C95" s="16"/>
      <c r="D95" s="17"/>
      <c r="E95" s="16"/>
      <c r="F95" s="16"/>
      <c r="G95" s="16"/>
    </row>
    <row r="96" customFormat="false" ht="15" hidden="false" customHeight="false" outlineLevel="0" collapsed="false">
      <c r="A96" s="16"/>
      <c r="B96" s="16"/>
      <c r="C96" s="16"/>
      <c r="D96" s="17"/>
      <c r="E96" s="16"/>
      <c r="F96" s="16"/>
      <c r="G96" s="16"/>
    </row>
    <row r="97" customFormat="false" ht="15" hidden="false" customHeight="false" outlineLevel="0" collapsed="false">
      <c r="A97" s="16"/>
      <c r="B97" s="16"/>
      <c r="C97" s="16"/>
      <c r="D97" s="17"/>
      <c r="E97" s="16"/>
      <c r="F97" s="16"/>
      <c r="G97" s="16"/>
    </row>
    <row r="98" customFormat="false" ht="15" hidden="false" customHeight="false" outlineLevel="0" collapsed="false">
      <c r="A98" s="16"/>
      <c r="B98" s="16"/>
      <c r="C98" s="16"/>
      <c r="D98" s="17"/>
      <c r="E98" s="16"/>
      <c r="F98" s="16"/>
      <c r="G98" s="16"/>
    </row>
    <row r="99" customFormat="false" ht="15" hidden="false" customHeight="false" outlineLevel="0" collapsed="false">
      <c r="A99" s="16"/>
      <c r="B99" s="16"/>
      <c r="C99" s="16"/>
      <c r="D99" s="17"/>
      <c r="E99" s="16"/>
      <c r="F99" s="16"/>
      <c r="G99" s="16"/>
    </row>
    <row r="100" customFormat="false" ht="15" hidden="false" customHeight="false" outlineLevel="0" collapsed="false">
      <c r="A100" s="16"/>
      <c r="B100" s="16"/>
      <c r="C100" s="16"/>
      <c r="D100" s="17"/>
      <c r="E100" s="16"/>
      <c r="F100" s="16"/>
      <c r="G100" s="16"/>
    </row>
    <row r="101" customFormat="false" ht="15" hidden="false" customHeight="false" outlineLevel="0" collapsed="false">
      <c r="A101" s="16"/>
      <c r="B101" s="16"/>
      <c r="C101" s="16"/>
      <c r="D101" s="17"/>
      <c r="E101" s="16"/>
      <c r="F101" s="16"/>
      <c r="G101" s="16"/>
    </row>
    <row r="102" customFormat="false" ht="15" hidden="false" customHeight="false" outlineLevel="0" collapsed="false">
      <c r="A102" s="16"/>
      <c r="B102" s="16"/>
      <c r="C102" s="16"/>
      <c r="D102" s="17"/>
      <c r="E102" s="16"/>
      <c r="F102" s="16"/>
      <c r="G102" s="16"/>
    </row>
    <row r="103" customFormat="false" ht="15" hidden="false" customHeight="false" outlineLevel="0" collapsed="false">
      <c r="A103" s="16"/>
      <c r="B103" s="16"/>
      <c r="C103" s="16"/>
      <c r="D103" s="17"/>
      <c r="E103" s="16"/>
      <c r="F103" s="16"/>
      <c r="G103" s="16"/>
    </row>
    <row r="104" customFormat="false" ht="15" hidden="false" customHeight="false" outlineLevel="0" collapsed="false">
      <c r="A104" s="16"/>
      <c r="B104" s="16"/>
      <c r="C104" s="16"/>
      <c r="D104" s="17"/>
      <c r="E104" s="16"/>
      <c r="F104" s="16"/>
      <c r="G104" s="16"/>
    </row>
    <row r="105" customFormat="false" ht="15" hidden="false" customHeight="false" outlineLevel="0" collapsed="false">
      <c r="A105" s="16"/>
      <c r="B105" s="16"/>
      <c r="C105" s="16"/>
      <c r="D105" s="17"/>
      <c r="E105" s="16"/>
      <c r="F105" s="16"/>
      <c r="G105" s="16"/>
    </row>
    <row r="106" customFormat="false" ht="15" hidden="false" customHeight="false" outlineLevel="0" collapsed="false">
      <c r="A106" s="16"/>
      <c r="B106" s="16"/>
      <c r="C106" s="16"/>
      <c r="D106" s="17"/>
      <c r="E106" s="16"/>
      <c r="F106" s="16"/>
      <c r="G106" s="16"/>
    </row>
    <row r="107" customFormat="false" ht="15" hidden="false" customHeight="false" outlineLevel="0" collapsed="false">
      <c r="A107" s="16"/>
      <c r="B107" s="16"/>
      <c r="C107" s="16"/>
      <c r="D107" s="17"/>
      <c r="E107" s="16"/>
      <c r="F107" s="16"/>
      <c r="G107" s="16"/>
    </row>
    <row r="108" customFormat="false" ht="15" hidden="false" customHeight="false" outlineLevel="0" collapsed="false">
      <c r="A108" s="16"/>
      <c r="B108" s="16"/>
      <c r="C108" s="16"/>
      <c r="D108" s="17"/>
      <c r="E108" s="16"/>
      <c r="F108" s="16"/>
      <c r="G108" s="16"/>
    </row>
    <row r="109" customFormat="false" ht="15" hidden="false" customHeight="false" outlineLevel="0" collapsed="false">
      <c r="A109" s="16"/>
      <c r="B109" s="16"/>
      <c r="C109" s="16"/>
      <c r="D109" s="17"/>
      <c r="E109" s="16"/>
      <c r="F109" s="16"/>
      <c r="G109" s="16"/>
    </row>
    <row r="110" customFormat="false" ht="15" hidden="false" customHeight="false" outlineLevel="0" collapsed="false">
      <c r="A110" s="16"/>
      <c r="B110" s="16"/>
      <c r="C110" s="16"/>
      <c r="D110" s="17"/>
      <c r="E110" s="16"/>
      <c r="F110" s="16"/>
      <c r="G110" s="16"/>
    </row>
    <row r="111" customFormat="false" ht="15" hidden="false" customHeight="false" outlineLevel="0" collapsed="false">
      <c r="A111" s="16"/>
      <c r="B111" s="16"/>
      <c r="C111" s="16"/>
      <c r="D111" s="17"/>
      <c r="E111" s="16"/>
      <c r="F111" s="16"/>
      <c r="G111" s="16"/>
    </row>
    <row r="112" customFormat="false" ht="15" hidden="false" customHeight="false" outlineLevel="0" collapsed="false">
      <c r="A112" s="16"/>
      <c r="B112" s="16"/>
      <c r="C112" s="16"/>
      <c r="D112" s="17"/>
      <c r="E112" s="16"/>
      <c r="F112" s="16"/>
      <c r="G112" s="16"/>
    </row>
    <row r="113" customFormat="false" ht="15" hidden="false" customHeight="false" outlineLevel="0" collapsed="false">
      <c r="A113" s="16"/>
      <c r="B113" s="16"/>
      <c r="C113" s="16"/>
      <c r="D113" s="17"/>
      <c r="E113" s="16"/>
      <c r="F113" s="16"/>
      <c r="G113" s="16"/>
    </row>
    <row r="114" customFormat="false" ht="15" hidden="false" customHeight="false" outlineLevel="0" collapsed="false">
      <c r="A114" s="16"/>
      <c r="B114" s="16"/>
      <c r="C114" s="16"/>
      <c r="D114" s="17"/>
      <c r="E114" s="16"/>
      <c r="F114" s="16"/>
      <c r="G114" s="16"/>
    </row>
    <row r="115" customFormat="false" ht="15" hidden="false" customHeight="false" outlineLevel="0" collapsed="false">
      <c r="A115" s="16"/>
      <c r="B115" s="16"/>
      <c r="C115" s="16"/>
      <c r="D115" s="17"/>
      <c r="E115" s="16"/>
      <c r="F115" s="16"/>
      <c r="G115" s="16"/>
    </row>
    <row r="116" customFormat="false" ht="15" hidden="false" customHeight="false" outlineLevel="0" collapsed="false">
      <c r="A116" s="16"/>
      <c r="B116" s="16"/>
      <c r="C116" s="16"/>
      <c r="D116" s="17"/>
      <c r="E116" s="16"/>
      <c r="F116" s="16"/>
      <c r="G116" s="16"/>
    </row>
    <row r="117" customFormat="false" ht="15" hidden="false" customHeight="false" outlineLevel="0" collapsed="false">
      <c r="A117" s="16"/>
      <c r="B117" s="16"/>
      <c r="C117" s="16"/>
      <c r="D117" s="17"/>
      <c r="E117" s="16"/>
      <c r="F117" s="16"/>
      <c r="G117" s="16"/>
    </row>
    <row r="118" customFormat="false" ht="15" hidden="false" customHeight="false" outlineLevel="0" collapsed="false">
      <c r="A118" s="16"/>
      <c r="B118" s="16"/>
      <c r="C118" s="16"/>
      <c r="D118" s="17"/>
      <c r="E118" s="16"/>
      <c r="F118" s="16"/>
      <c r="G118" s="16"/>
    </row>
    <row r="119" customFormat="false" ht="15" hidden="false" customHeight="false" outlineLevel="0" collapsed="false">
      <c r="A119" s="16"/>
      <c r="B119" s="16"/>
      <c r="C119" s="16"/>
      <c r="D119" s="17"/>
      <c r="E119" s="16"/>
      <c r="F119" s="16"/>
      <c r="G119" s="16"/>
    </row>
    <row r="120" customFormat="false" ht="15" hidden="false" customHeight="false" outlineLevel="0" collapsed="false">
      <c r="A120" s="16"/>
      <c r="B120" s="16"/>
      <c r="C120" s="16"/>
      <c r="D120" s="17"/>
      <c r="E120" s="16"/>
      <c r="F120" s="16"/>
      <c r="G120" s="16"/>
    </row>
    <row r="121" customFormat="false" ht="15" hidden="false" customHeight="false" outlineLevel="0" collapsed="false">
      <c r="A121" s="16"/>
      <c r="B121" s="16"/>
      <c r="C121" s="16"/>
      <c r="D121" s="17"/>
      <c r="E121" s="16"/>
      <c r="F121" s="16"/>
      <c r="G121" s="16"/>
    </row>
    <row r="122" customFormat="false" ht="15" hidden="false" customHeight="false" outlineLevel="0" collapsed="false">
      <c r="A122" s="16"/>
      <c r="B122" s="16"/>
      <c r="C122" s="16"/>
      <c r="D122" s="17"/>
      <c r="E122" s="16"/>
      <c r="F122" s="16"/>
      <c r="G122" s="16"/>
    </row>
    <row r="123" customFormat="false" ht="15" hidden="false" customHeight="false" outlineLevel="0" collapsed="false">
      <c r="A123" s="16"/>
      <c r="B123" s="16"/>
      <c r="C123" s="16"/>
      <c r="D123" s="17"/>
      <c r="E123" s="16"/>
      <c r="F123" s="16"/>
      <c r="G123" s="16"/>
    </row>
    <row r="124" customFormat="false" ht="15" hidden="false" customHeight="false" outlineLevel="0" collapsed="false">
      <c r="A124" s="16"/>
      <c r="B124" s="16"/>
      <c r="C124" s="16"/>
      <c r="D124" s="17"/>
      <c r="E124" s="16"/>
      <c r="F124" s="16"/>
      <c r="G124" s="16"/>
    </row>
    <row r="125" customFormat="false" ht="15" hidden="false" customHeight="false" outlineLevel="0" collapsed="false">
      <c r="A125" s="16"/>
      <c r="B125" s="16"/>
      <c r="C125" s="16"/>
      <c r="D125" s="17"/>
      <c r="E125" s="16"/>
      <c r="F125" s="16"/>
      <c r="G125" s="16"/>
    </row>
    <row r="126" customFormat="false" ht="15" hidden="false" customHeight="false" outlineLevel="0" collapsed="false">
      <c r="A126" s="16"/>
      <c r="B126" s="16"/>
      <c r="C126" s="16"/>
      <c r="D126" s="17"/>
      <c r="E126" s="16"/>
      <c r="F126" s="16"/>
      <c r="G126" s="16"/>
    </row>
    <row r="127" customFormat="false" ht="15" hidden="false" customHeight="false" outlineLevel="0" collapsed="false">
      <c r="A127" s="16"/>
      <c r="B127" s="16"/>
      <c r="C127" s="16"/>
      <c r="D127" s="17"/>
      <c r="E127" s="16"/>
      <c r="F127" s="16"/>
      <c r="G127" s="16"/>
    </row>
    <row r="128" customFormat="false" ht="15" hidden="false" customHeight="false" outlineLevel="0" collapsed="false">
      <c r="A128" s="16"/>
      <c r="B128" s="16"/>
      <c r="C128" s="16"/>
      <c r="D128" s="17"/>
      <c r="E128" s="16"/>
      <c r="F128" s="16"/>
      <c r="G128" s="16"/>
    </row>
    <row r="129" customFormat="false" ht="15" hidden="false" customHeight="false" outlineLevel="0" collapsed="false">
      <c r="A129" s="16"/>
      <c r="B129" s="16"/>
      <c r="C129" s="16"/>
      <c r="D129" s="17"/>
      <c r="E129" s="16"/>
      <c r="F129" s="16"/>
      <c r="G129" s="16"/>
    </row>
    <row r="130" customFormat="false" ht="15" hidden="false" customHeight="false" outlineLevel="0" collapsed="false">
      <c r="A130" s="16"/>
      <c r="B130" s="16"/>
      <c r="C130" s="16"/>
      <c r="D130" s="17"/>
      <c r="E130" s="16"/>
      <c r="F130" s="16"/>
      <c r="G130" s="16"/>
    </row>
    <row r="131" customFormat="false" ht="15" hidden="false" customHeight="false" outlineLevel="0" collapsed="false">
      <c r="A131" s="16"/>
      <c r="B131" s="16"/>
      <c r="C131" s="16"/>
      <c r="D131" s="17"/>
      <c r="E131" s="16"/>
      <c r="F131" s="16"/>
      <c r="G131" s="16"/>
    </row>
    <row r="132" customFormat="false" ht="15" hidden="false" customHeight="false" outlineLevel="0" collapsed="false">
      <c r="A132" s="16"/>
      <c r="B132" s="16"/>
      <c r="C132" s="16"/>
      <c r="D132" s="17"/>
      <c r="E132" s="16"/>
      <c r="F132" s="16"/>
      <c r="G132" s="16"/>
    </row>
    <row r="133" customFormat="false" ht="15" hidden="false" customHeight="false" outlineLevel="0" collapsed="false">
      <c r="A133" s="16"/>
      <c r="B133" s="16"/>
      <c r="C133" s="16"/>
      <c r="D133" s="17"/>
      <c r="E133" s="16"/>
      <c r="F133" s="16"/>
      <c r="G133" s="16"/>
    </row>
    <row r="134" customFormat="false" ht="15" hidden="false" customHeight="false" outlineLevel="0" collapsed="false">
      <c r="A134" s="16"/>
      <c r="B134" s="16"/>
      <c r="C134" s="16"/>
      <c r="D134" s="17"/>
      <c r="E134" s="16"/>
      <c r="F134" s="16"/>
      <c r="G134" s="16"/>
    </row>
    <row r="135" customFormat="false" ht="15" hidden="false" customHeight="false" outlineLevel="0" collapsed="false">
      <c r="A135" s="16"/>
      <c r="B135" s="16"/>
      <c r="C135" s="16"/>
      <c r="D135" s="17"/>
      <c r="E135" s="16"/>
      <c r="F135" s="16"/>
      <c r="G135" s="16"/>
    </row>
    <row r="136" customFormat="false" ht="15" hidden="false" customHeight="false" outlineLevel="0" collapsed="false">
      <c r="A136" s="16"/>
      <c r="B136" s="16"/>
      <c r="C136" s="16"/>
      <c r="D136" s="17"/>
      <c r="E136" s="16"/>
      <c r="F136" s="16"/>
      <c r="G136" s="16"/>
    </row>
    <row r="137" customFormat="false" ht="15" hidden="false" customHeight="false" outlineLevel="0" collapsed="false">
      <c r="A137" s="16"/>
      <c r="B137" s="16"/>
      <c r="C137" s="16"/>
      <c r="D137" s="17"/>
      <c r="E137" s="16"/>
      <c r="F137" s="16"/>
      <c r="G137" s="16"/>
    </row>
    <row r="138" customFormat="false" ht="15" hidden="false" customHeight="false" outlineLevel="0" collapsed="false">
      <c r="A138" s="16"/>
      <c r="B138" s="16"/>
      <c r="C138" s="16"/>
      <c r="D138" s="17"/>
      <c r="E138" s="16"/>
      <c r="F138" s="16"/>
      <c r="G138" s="16"/>
    </row>
    <row r="139" customFormat="false" ht="15" hidden="false" customHeight="false" outlineLevel="0" collapsed="false">
      <c r="A139" s="16"/>
      <c r="B139" s="16"/>
      <c r="C139" s="16"/>
      <c r="D139" s="17"/>
      <c r="E139" s="16"/>
      <c r="F139" s="16"/>
      <c r="G139" s="16"/>
    </row>
    <row r="140" customFormat="false" ht="15" hidden="false" customHeight="false" outlineLevel="0" collapsed="false">
      <c r="A140" s="16"/>
      <c r="B140" s="16"/>
      <c r="C140" s="16"/>
      <c r="D140" s="17"/>
      <c r="E140" s="16"/>
      <c r="F140" s="16"/>
      <c r="G140" s="16"/>
    </row>
    <row r="141" customFormat="false" ht="15" hidden="false" customHeight="false" outlineLevel="0" collapsed="false">
      <c r="A141" s="16"/>
      <c r="B141" s="16"/>
      <c r="C141" s="16"/>
      <c r="D141" s="17"/>
      <c r="E141" s="16"/>
      <c r="F141" s="16"/>
      <c r="G141" s="16"/>
    </row>
    <row r="142" customFormat="false" ht="15" hidden="false" customHeight="false" outlineLevel="0" collapsed="false">
      <c r="A142" s="16"/>
      <c r="B142" s="16"/>
      <c r="C142" s="16"/>
      <c r="D142" s="17"/>
      <c r="E142" s="16"/>
      <c r="F142" s="16"/>
      <c r="G142" s="16"/>
    </row>
    <row r="143" customFormat="false" ht="15" hidden="false" customHeight="false" outlineLevel="0" collapsed="false">
      <c r="A143" s="16"/>
      <c r="B143" s="16"/>
      <c r="C143" s="16"/>
      <c r="D143" s="17"/>
      <c r="E143" s="16"/>
      <c r="F143" s="16"/>
      <c r="G143" s="16"/>
    </row>
    <row r="144" customFormat="false" ht="15" hidden="false" customHeight="false" outlineLevel="0" collapsed="false">
      <c r="A144" s="16"/>
      <c r="B144" s="16"/>
      <c r="C144" s="16"/>
      <c r="D144" s="17"/>
      <c r="E144" s="16"/>
      <c r="F144" s="16"/>
      <c r="G144" s="16"/>
    </row>
    <row r="145" customFormat="false" ht="15" hidden="false" customHeight="false" outlineLevel="0" collapsed="false">
      <c r="A145" s="16"/>
      <c r="B145" s="16"/>
      <c r="C145" s="16"/>
      <c r="D145" s="17"/>
      <c r="E145" s="16"/>
      <c r="F145" s="16"/>
      <c r="G145" s="16"/>
    </row>
    <row r="146" customFormat="false" ht="15" hidden="false" customHeight="false" outlineLevel="0" collapsed="false">
      <c r="A146" s="16"/>
      <c r="B146" s="16"/>
      <c r="C146" s="16"/>
      <c r="D146" s="17"/>
      <c r="E146" s="16"/>
      <c r="F146" s="16"/>
      <c r="G146" s="16"/>
    </row>
    <row r="147" customFormat="false" ht="15" hidden="false" customHeight="false" outlineLevel="0" collapsed="false">
      <c r="A147" s="16"/>
      <c r="B147" s="16"/>
      <c r="C147" s="16"/>
      <c r="D147" s="17"/>
      <c r="E147" s="16"/>
      <c r="F147" s="16"/>
      <c r="G147" s="16"/>
    </row>
    <row r="148" customFormat="false" ht="15" hidden="false" customHeight="false" outlineLevel="0" collapsed="false">
      <c r="A148" s="16"/>
      <c r="B148" s="16"/>
      <c r="C148" s="16"/>
      <c r="D148" s="17"/>
      <c r="E148" s="16"/>
      <c r="F148" s="16"/>
      <c r="G148" s="16"/>
    </row>
    <row r="149" customFormat="false" ht="15" hidden="false" customHeight="false" outlineLevel="0" collapsed="false">
      <c r="A149" s="16"/>
      <c r="B149" s="16"/>
      <c r="C149" s="16"/>
      <c r="D149" s="17"/>
      <c r="E149" s="16"/>
      <c r="F149" s="16"/>
      <c r="G149" s="16"/>
    </row>
    <row r="150" customFormat="false" ht="15" hidden="false" customHeight="false" outlineLevel="0" collapsed="false">
      <c r="A150" s="16"/>
      <c r="B150" s="16"/>
      <c r="C150" s="16"/>
      <c r="D150" s="17"/>
      <c r="E150" s="16"/>
      <c r="F150" s="16"/>
      <c r="G150" s="16"/>
    </row>
    <row r="151" customFormat="false" ht="15" hidden="false" customHeight="false" outlineLevel="0" collapsed="false">
      <c r="A151" s="16"/>
      <c r="B151" s="16"/>
      <c r="C151" s="16"/>
      <c r="D151" s="17"/>
      <c r="E151" s="16"/>
      <c r="F151" s="16"/>
      <c r="G151" s="16"/>
    </row>
    <row r="152" customFormat="false" ht="15" hidden="false" customHeight="false" outlineLevel="0" collapsed="false">
      <c r="A152" s="16"/>
      <c r="B152" s="16"/>
      <c r="C152" s="16"/>
      <c r="D152" s="17"/>
      <c r="E152" s="16"/>
      <c r="F152" s="16"/>
      <c r="G152" s="16"/>
    </row>
    <row r="153" customFormat="false" ht="15" hidden="false" customHeight="false" outlineLevel="0" collapsed="false">
      <c r="A153" s="16"/>
      <c r="B153" s="16"/>
      <c r="C153" s="16"/>
      <c r="D153" s="17"/>
      <c r="E153" s="16"/>
      <c r="F153" s="16"/>
      <c r="G153" s="16"/>
    </row>
    <row r="154" customFormat="false" ht="15" hidden="false" customHeight="false" outlineLevel="0" collapsed="false">
      <c r="A154" s="16"/>
      <c r="B154" s="16"/>
      <c r="C154" s="16"/>
      <c r="D154" s="17"/>
      <c r="E154" s="16"/>
      <c r="F154" s="16"/>
      <c r="G154" s="16"/>
    </row>
    <row r="155" customFormat="false" ht="15" hidden="false" customHeight="false" outlineLevel="0" collapsed="false">
      <c r="A155" s="16"/>
      <c r="B155" s="16"/>
      <c r="C155" s="16"/>
      <c r="D155" s="17"/>
      <c r="E155" s="16"/>
      <c r="F155" s="16"/>
      <c r="G155" s="16"/>
    </row>
    <row r="156" customFormat="false" ht="15" hidden="false" customHeight="false" outlineLevel="0" collapsed="false">
      <c r="A156" s="16"/>
      <c r="B156" s="16"/>
      <c r="C156" s="16"/>
      <c r="D156" s="17"/>
      <c r="E156" s="16"/>
      <c r="F156" s="16"/>
      <c r="G156" s="16"/>
    </row>
    <row r="157" customFormat="false" ht="15" hidden="false" customHeight="false" outlineLevel="0" collapsed="false">
      <c r="A157" s="16"/>
      <c r="B157" s="16"/>
      <c r="C157" s="16"/>
      <c r="D157" s="17"/>
      <c r="E157" s="16"/>
      <c r="F157" s="16"/>
      <c r="G157" s="16"/>
    </row>
    <row r="158" customFormat="false" ht="15" hidden="false" customHeight="false" outlineLevel="0" collapsed="false">
      <c r="A158" s="16"/>
      <c r="B158" s="16"/>
      <c r="C158" s="16"/>
      <c r="D158" s="17"/>
      <c r="E158" s="16"/>
      <c r="F158" s="16"/>
      <c r="G158" s="16"/>
    </row>
    <row r="159" customFormat="false" ht="15" hidden="false" customHeight="false" outlineLevel="0" collapsed="false">
      <c r="A159" s="16"/>
      <c r="B159" s="16"/>
      <c r="C159" s="16"/>
      <c r="D159" s="17"/>
      <c r="E159" s="16"/>
      <c r="F159" s="16"/>
      <c r="G159" s="16"/>
    </row>
    <row r="160" customFormat="false" ht="15" hidden="false" customHeight="false" outlineLevel="0" collapsed="false">
      <c r="A160" s="16"/>
      <c r="B160" s="16"/>
      <c r="C160" s="16"/>
      <c r="D160" s="17"/>
      <c r="E160" s="16"/>
      <c r="F160" s="16"/>
      <c r="G160" s="16"/>
    </row>
    <row r="161" customFormat="false" ht="15" hidden="false" customHeight="false" outlineLevel="0" collapsed="false">
      <c r="A161" s="16"/>
      <c r="B161" s="16"/>
      <c r="C161" s="16"/>
      <c r="D161" s="17"/>
      <c r="E161" s="16"/>
      <c r="F161" s="16"/>
      <c r="G161" s="16"/>
    </row>
    <row r="162" customFormat="false" ht="15" hidden="false" customHeight="false" outlineLevel="0" collapsed="false">
      <c r="A162" s="16"/>
      <c r="B162" s="16"/>
      <c r="C162" s="16"/>
      <c r="D162" s="17"/>
      <c r="E162" s="16"/>
      <c r="F162" s="16"/>
      <c r="G162" s="16"/>
    </row>
    <row r="163" customFormat="false" ht="15" hidden="false" customHeight="false" outlineLevel="0" collapsed="false">
      <c r="A163" s="16"/>
      <c r="B163" s="16"/>
      <c r="C163" s="16"/>
      <c r="D163" s="17"/>
      <c r="E163" s="16"/>
      <c r="F163" s="16"/>
      <c r="G163" s="16"/>
    </row>
    <row r="164" customFormat="false" ht="15" hidden="false" customHeight="false" outlineLevel="0" collapsed="false">
      <c r="A164" s="16"/>
      <c r="B164" s="16"/>
      <c r="C164" s="16"/>
      <c r="D164" s="17"/>
      <c r="E164" s="16"/>
      <c r="F164" s="16"/>
      <c r="G164" s="16"/>
    </row>
    <row r="165" customFormat="false" ht="15" hidden="false" customHeight="false" outlineLevel="0" collapsed="false">
      <c r="A165" s="16"/>
      <c r="B165" s="16"/>
      <c r="C165" s="16"/>
      <c r="D165" s="17"/>
      <c r="E165" s="16"/>
      <c r="F165" s="16"/>
      <c r="G165" s="16"/>
    </row>
    <row r="166" customFormat="false" ht="15" hidden="false" customHeight="false" outlineLevel="0" collapsed="false">
      <c r="A166" s="16"/>
      <c r="B166" s="16"/>
      <c r="C166" s="16"/>
      <c r="D166" s="17"/>
      <c r="E166" s="16"/>
      <c r="F166" s="16"/>
      <c r="G166" s="16"/>
    </row>
    <row r="167" customFormat="false" ht="15" hidden="false" customHeight="false" outlineLevel="0" collapsed="false">
      <c r="A167" s="16"/>
      <c r="B167" s="16"/>
      <c r="C167" s="16"/>
      <c r="D167" s="17"/>
      <c r="E167" s="16"/>
      <c r="F167" s="16"/>
      <c r="G167" s="16"/>
    </row>
    <row r="168" customFormat="false" ht="15" hidden="false" customHeight="false" outlineLevel="0" collapsed="false">
      <c r="A168" s="16"/>
      <c r="B168" s="16"/>
      <c r="C168" s="16"/>
      <c r="D168" s="17"/>
      <c r="E168" s="16"/>
      <c r="F168" s="16"/>
      <c r="G168" s="16"/>
    </row>
    <row r="169" customFormat="false" ht="15" hidden="false" customHeight="false" outlineLevel="0" collapsed="false">
      <c r="A169" s="16"/>
      <c r="B169" s="16"/>
      <c r="C169" s="16"/>
      <c r="D169" s="17"/>
      <c r="E169" s="16"/>
      <c r="F169" s="16"/>
      <c r="G169" s="16"/>
    </row>
    <row r="170" customFormat="false" ht="15" hidden="false" customHeight="false" outlineLevel="0" collapsed="false">
      <c r="A170" s="16"/>
      <c r="B170" s="16"/>
      <c r="C170" s="16"/>
      <c r="D170" s="17"/>
      <c r="E170" s="16"/>
      <c r="F170" s="16"/>
      <c r="G170" s="16"/>
    </row>
    <row r="171" customFormat="false" ht="15" hidden="false" customHeight="false" outlineLevel="0" collapsed="false">
      <c r="A171" s="16"/>
      <c r="B171" s="16"/>
      <c r="C171" s="16"/>
      <c r="D171" s="17"/>
      <c r="E171" s="16"/>
      <c r="F171" s="16"/>
      <c r="G171" s="16"/>
    </row>
    <row r="172" customFormat="false" ht="15" hidden="false" customHeight="false" outlineLevel="0" collapsed="false">
      <c r="A172" s="16"/>
      <c r="B172" s="16"/>
      <c r="C172" s="16"/>
      <c r="D172" s="17"/>
      <c r="E172" s="16"/>
      <c r="F172" s="16"/>
      <c r="G172" s="16"/>
    </row>
    <row r="173" customFormat="false" ht="15" hidden="false" customHeight="false" outlineLevel="0" collapsed="false">
      <c r="A173" s="16"/>
      <c r="B173" s="16"/>
      <c r="C173" s="16"/>
      <c r="D173" s="17"/>
      <c r="E173" s="16"/>
      <c r="F173" s="16"/>
      <c r="G173" s="16"/>
    </row>
    <row r="174" customFormat="false" ht="15" hidden="false" customHeight="false" outlineLevel="0" collapsed="false">
      <c r="A174" s="16"/>
      <c r="B174" s="16"/>
      <c r="C174" s="16"/>
      <c r="D174" s="17"/>
      <c r="E174" s="16"/>
      <c r="F174" s="16"/>
      <c r="G174" s="16"/>
    </row>
    <row r="175" customFormat="false" ht="15" hidden="false" customHeight="false" outlineLevel="0" collapsed="false">
      <c r="A175" s="16"/>
      <c r="B175" s="16"/>
      <c r="C175" s="16"/>
      <c r="D175" s="17"/>
      <c r="E175" s="16"/>
      <c r="F175" s="16"/>
      <c r="G175" s="16"/>
    </row>
    <row r="176" customFormat="false" ht="15" hidden="false" customHeight="false" outlineLevel="0" collapsed="false">
      <c r="A176" s="16"/>
      <c r="B176" s="16"/>
      <c r="C176" s="16"/>
      <c r="D176" s="17"/>
      <c r="E176" s="16"/>
      <c r="F176" s="16"/>
      <c r="G176" s="16"/>
    </row>
    <row r="177" customFormat="false" ht="15" hidden="false" customHeight="false" outlineLevel="0" collapsed="false">
      <c r="A177" s="16"/>
      <c r="B177" s="16"/>
      <c r="C177" s="16"/>
      <c r="D177" s="17"/>
      <c r="E177" s="16"/>
      <c r="F177" s="16"/>
      <c r="G177" s="16"/>
    </row>
    <row r="178" customFormat="false" ht="15" hidden="false" customHeight="false" outlineLevel="0" collapsed="false">
      <c r="A178" s="16"/>
      <c r="B178" s="16"/>
      <c r="C178" s="16"/>
      <c r="D178" s="17"/>
      <c r="E178" s="16"/>
      <c r="F178" s="16"/>
      <c r="G178" s="16"/>
    </row>
    <row r="179" customFormat="false" ht="15" hidden="false" customHeight="false" outlineLevel="0" collapsed="false">
      <c r="A179" s="16"/>
      <c r="B179" s="16"/>
      <c r="C179" s="16"/>
      <c r="D179" s="17"/>
      <c r="E179" s="16"/>
      <c r="F179" s="16"/>
      <c r="G179" s="16"/>
    </row>
    <row r="180" customFormat="false" ht="15" hidden="false" customHeight="false" outlineLevel="0" collapsed="false">
      <c r="A180" s="16"/>
      <c r="B180" s="16"/>
      <c r="C180" s="16"/>
      <c r="D180" s="17"/>
      <c r="E180" s="16"/>
      <c r="F180" s="16"/>
      <c r="G180" s="16"/>
    </row>
    <row r="181" customFormat="false" ht="15" hidden="false" customHeight="false" outlineLevel="0" collapsed="false">
      <c r="A181" s="16"/>
      <c r="B181" s="16"/>
      <c r="C181" s="16"/>
      <c r="D181" s="17"/>
      <c r="E181" s="16"/>
      <c r="F181" s="16"/>
      <c r="G181" s="16"/>
    </row>
    <row r="182" customFormat="false" ht="15" hidden="false" customHeight="false" outlineLevel="0" collapsed="false">
      <c r="A182" s="16"/>
      <c r="B182" s="16"/>
      <c r="C182" s="16"/>
      <c r="D182" s="17"/>
      <c r="E182" s="16"/>
      <c r="F182" s="16"/>
      <c r="G182" s="16"/>
    </row>
    <row r="183" customFormat="false" ht="15" hidden="false" customHeight="false" outlineLevel="0" collapsed="false">
      <c r="A183" s="16"/>
      <c r="B183" s="16"/>
      <c r="C183" s="16"/>
      <c r="D183" s="17"/>
      <c r="E183" s="16"/>
      <c r="F183" s="16"/>
      <c r="G183" s="16"/>
    </row>
    <row r="184" customFormat="false" ht="15" hidden="false" customHeight="false" outlineLevel="0" collapsed="false">
      <c r="A184" s="16"/>
      <c r="B184" s="16"/>
      <c r="C184" s="16"/>
      <c r="D184" s="17"/>
      <c r="E184" s="16"/>
      <c r="F184" s="16"/>
      <c r="G184" s="16"/>
    </row>
    <row r="185" customFormat="false" ht="15" hidden="false" customHeight="false" outlineLevel="0" collapsed="false">
      <c r="A185" s="16"/>
      <c r="B185" s="16"/>
      <c r="C185" s="16"/>
      <c r="D185" s="17"/>
      <c r="E185" s="16"/>
      <c r="F185" s="16"/>
      <c r="G185" s="16"/>
    </row>
    <row r="186" customFormat="false" ht="15" hidden="false" customHeight="false" outlineLevel="0" collapsed="false">
      <c r="A186" s="16"/>
      <c r="B186" s="16"/>
      <c r="C186" s="16"/>
      <c r="D186" s="17"/>
      <c r="E186" s="16"/>
      <c r="F186" s="16"/>
      <c r="G186" s="16"/>
    </row>
    <row r="187" customFormat="false" ht="15" hidden="false" customHeight="false" outlineLevel="0" collapsed="false">
      <c r="A187" s="16"/>
      <c r="B187" s="16"/>
      <c r="C187" s="16"/>
      <c r="D187" s="17"/>
      <c r="E187" s="16"/>
      <c r="F187" s="16"/>
      <c r="G187" s="16"/>
    </row>
    <row r="188" customFormat="false" ht="15" hidden="false" customHeight="false" outlineLevel="0" collapsed="false">
      <c r="A188" s="16"/>
      <c r="B188" s="16"/>
      <c r="C188" s="16"/>
      <c r="D188" s="17"/>
      <c r="E188" s="16"/>
      <c r="F188" s="16"/>
      <c r="G188" s="16"/>
    </row>
    <row r="189" customFormat="false" ht="15" hidden="false" customHeight="false" outlineLevel="0" collapsed="false">
      <c r="A189" s="16"/>
      <c r="B189" s="16"/>
      <c r="C189" s="16"/>
      <c r="D189" s="17"/>
      <c r="E189" s="16"/>
      <c r="F189" s="16"/>
      <c r="G189" s="16"/>
    </row>
    <row r="190" customFormat="false" ht="15" hidden="false" customHeight="false" outlineLevel="0" collapsed="false">
      <c r="A190" s="16"/>
      <c r="B190" s="16"/>
      <c r="C190" s="16"/>
      <c r="D190" s="17"/>
      <c r="E190" s="16"/>
      <c r="F190" s="16"/>
      <c r="G190" s="16"/>
    </row>
    <row r="191" customFormat="false" ht="15" hidden="false" customHeight="false" outlineLevel="0" collapsed="false">
      <c r="A191" s="16"/>
      <c r="B191" s="16"/>
      <c r="C191" s="16"/>
      <c r="D191" s="17"/>
      <c r="E191" s="16"/>
      <c r="F191" s="16"/>
      <c r="G191" s="16"/>
    </row>
    <row r="192" customFormat="false" ht="15" hidden="false" customHeight="false" outlineLevel="0" collapsed="false">
      <c r="A192" s="16"/>
      <c r="B192" s="16"/>
      <c r="C192" s="16"/>
      <c r="D192" s="17"/>
      <c r="E192" s="16"/>
      <c r="F192" s="16"/>
      <c r="G192" s="16"/>
    </row>
    <row r="193" customFormat="false" ht="15" hidden="false" customHeight="false" outlineLevel="0" collapsed="false">
      <c r="A193" s="16"/>
      <c r="B193" s="16"/>
      <c r="C193" s="16"/>
      <c r="D193" s="17"/>
      <c r="E193" s="16"/>
      <c r="F193" s="16"/>
      <c r="G193" s="16"/>
    </row>
    <row r="194" customFormat="false" ht="15" hidden="false" customHeight="false" outlineLevel="0" collapsed="false">
      <c r="A194" s="16"/>
      <c r="B194" s="16"/>
      <c r="C194" s="16"/>
      <c r="D194" s="17"/>
      <c r="E194" s="16"/>
      <c r="F194" s="16"/>
      <c r="G194" s="16"/>
    </row>
    <row r="195" customFormat="false" ht="15" hidden="false" customHeight="false" outlineLevel="0" collapsed="false">
      <c r="A195" s="16"/>
      <c r="B195" s="16"/>
      <c r="C195" s="16"/>
      <c r="D195" s="17"/>
      <c r="E195" s="16"/>
      <c r="F195" s="16"/>
      <c r="G195" s="16"/>
    </row>
    <row r="196" customFormat="false" ht="15" hidden="false" customHeight="false" outlineLevel="0" collapsed="false">
      <c r="A196" s="16"/>
      <c r="B196" s="16"/>
      <c r="C196" s="16"/>
      <c r="D196" s="17"/>
      <c r="E196" s="16"/>
      <c r="F196" s="16"/>
      <c r="G196" s="16"/>
    </row>
    <row r="197" customFormat="false" ht="15" hidden="false" customHeight="false" outlineLevel="0" collapsed="false">
      <c r="A197" s="16"/>
      <c r="B197" s="16"/>
      <c r="C197" s="16"/>
      <c r="D197" s="17"/>
      <c r="E197" s="16"/>
      <c r="F197" s="16"/>
      <c r="G197" s="16"/>
    </row>
    <row r="198" customFormat="false" ht="15" hidden="false" customHeight="false" outlineLevel="0" collapsed="false">
      <c r="A198" s="16"/>
      <c r="B198" s="16"/>
      <c r="C198" s="16"/>
      <c r="D198" s="17"/>
      <c r="E198" s="16"/>
      <c r="F198" s="16"/>
      <c r="G198" s="16"/>
    </row>
    <row r="199" customFormat="false" ht="15" hidden="false" customHeight="false" outlineLevel="0" collapsed="false">
      <c r="A199" s="16"/>
      <c r="B199" s="16"/>
      <c r="C199" s="16"/>
      <c r="D199" s="17"/>
      <c r="E199" s="16"/>
      <c r="F199" s="16"/>
      <c r="G199" s="16"/>
    </row>
    <row r="200" customFormat="false" ht="15" hidden="false" customHeight="false" outlineLevel="0" collapsed="false">
      <c r="A200" s="16"/>
      <c r="B200" s="16"/>
      <c r="C200" s="16"/>
      <c r="D200" s="17"/>
      <c r="E200" s="16"/>
      <c r="F200" s="16"/>
      <c r="G200" s="16"/>
    </row>
    <row r="201" customFormat="false" ht="15" hidden="false" customHeight="false" outlineLevel="0" collapsed="false">
      <c r="A201" s="16"/>
      <c r="B201" s="16"/>
      <c r="C201" s="16"/>
      <c r="D201" s="17"/>
      <c r="E201" s="16"/>
      <c r="F201" s="16"/>
      <c r="G201" s="16"/>
    </row>
    <row r="202" customFormat="false" ht="15" hidden="false" customHeight="false" outlineLevel="0" collapsed="false">
      <c r="A202" s="16"/>
      <c r="B202" s="16"/>
      <c r="C202" s="16"/>
      <c r="D202" s="17"/>
      <c r="E202" s="16"/>
      <c r="F202" s="16"/>
      <c r="G202" s="16"/>
    </row>
    <row r="203" customFormat="false" ht="15" hidden="false" customHeight="false" outlineLevel="0" collapsed="false">
      <c r="A203" s="16"/>
      <c r="B203" s="16"/>
      <c r="C203" s="16"/>
      <c r="D203" s="17"/>
      <c r="E203" s="16"/>
      <c r="F203" s="16"/>
      <c r="G203" s="16"/>
    </row>
    <row r="204" customFormat="false" ht="15" hidden="false" customHeight="false" outlineLevel="0" collapsed="false">
      <c r="A204" s="16"/>
      <c r="B204" s="16"/>
      <c r="C204" s="16"/>
      <c r="D204" s="17"/>
      <c r="E204" s="16"/>
      <c r="F204" s="16"/>
      <c r="G204" s="16"/>
    </row>
    <row r="205" customFormat="false" ht="15" hidden="false" customHeight="false" outlineLevel="0" collapsed="false">
      <c r="A205" s="16"/>
      <c r="B205" s="16"/>
      <c r="C205" s="16"/>
      <c r="D205" s="17"/>
      <c r="E205" s="16"/>
      <c r="F205" s="16"/>
      <c r="G205" s="16"/>
    </row>
    <row r="206" customFormat="false" ht="15" hidden="false" customHeight="false" outlineLevel="0" collapsed="false">
      <c r="A206" s="16"/>
      <c r="B206" s="16"/>
      <c r="C206" s="16"/>
      <c r="D206" s="17"/>
      <c r="E206" s="16"/>
      <c r="F206" s="16"/>
      <c r="G206" s="16"/>
    </row>
    <row r="207" customFormat="false" ht="15" hidden="false" customHeight="false" outlineLevel="0" collapsed="false">
      <c r="A207" s="16"/>
      <c r="B207" s="16"/>
      <c r="C207" s="16"/>
      <c r="D207" s="17"/>
      <c r="E207" s="16"/>
      <c r="F207" s="16"/>
      <c r="G207" s="16"/>
    </row>
    <row r="208" customFormat="false" ht="15" hidden="false" customHeight="false" outlineLevel="0" collapsed="false">
      <c r="A208" s="16"/>
      <c r="B208" s="16"/>
      <c r="C208" s="16"/>
      <c r="D208" s="17"/>
      <c r="E208" s="16"/>
      <c r="F208" s="16"/>
      <c r="G208" s="16"/>
    </row>
    <row r="209" customFormat="false" ht="15" hidden="false" customHeight="false" outlineLevel="0" collapsed="false">
      <c r="A209" s="16"/>
      <c r="B209" s="16"/>
      <c r="C209" s="16"/>
      <c r="D209" s="17"/>
      <c r="E209" s="16"/>
      <c r="F209" s="16"/>
      <c r="G209" s="16"/>
    </row>
    <row r="210" customFormat="false" ht="15" hidden="false" customHeight="false" outlineLevel="0" collapsed="false">
      <c r="A210" s="16"/>
      <c r="B210" s="16"/>
      <c r="C210" s="16"/>
      <c r="D210" s="17"/>
      <c r="E210" s="16"/>
      <c r="F210" s="16"/>
      <c r="G210" s="16"/>
    </row>
    <row r="211" customFormat="false" ht="15" hidden="false" customHeight="false" outlineLevel="0" collapsed="false">
      <c r="A211" s="16"/>
      <c r="B211" s="16"/>
      <c r="C211" s="16"/>
      <c r="D211" s="17"/>
      <c r="E211" s="16"/>
      <c r="F211" s="16"/>
      <c r="G211" s="16"/>
    </row>
    <row r="212" customFormat="false" ht="15" hidden="false" customHeight="false" outlineLevel="0" collapsed="false">
      <c r="A212" s="16"/>
      <c r="B212" s="16"/>
      <c r="C212" s="16"/>
      <c r="D212" s="17"/>
      <c r="E212" s="16"/>
      <c r="F212" s="16"/>
      <c r="G212" s="16"/>
    </row>
    <row r="213" customFormat="false" ht="15" hidden="false" customHeight="false" outlineLevel="0" collapsed="false">
      <c r="A213" s="16"/>
      <c r="B213" s="16"/>
      <c r="C213" s="16"/>
      <c r="D213" s="17"/>
      <c r="E213" s="16"/>
      <c r="F213" s="16"/>
      <c r="G213" s="16"/>
    </row>
    <row r="214" customFormat="false" ht="15" hidden="false" customHeight="false" outlineLevel="0" collapsed="false">
      <c r="A214" s="16"/>
      <c r="B214" s="16"/>
      <c r="C214" s="16"/>
      <c r="D214" s="17"/>
      <c r="E214" s="16"/>
      <c r="F214" s="16"/>
      <c r="G214" s="16"/>
    </row>
    <row r="215" customFormat="false" ht="15" hidden="false" customHeight="false" outlineLevel="0" collapsed="false">
      <c r="A215" s="16"/>
      <c r="B215" s="16"/>
      <c r="C215" s="16"/>
      <c r="D215" s="17"/>
      <c r="E215" s="16"/>
      <c r="F215" s="16"/>
      <c r="G215" s="16"/>
    </row>
    <row r="216" customFormat="false" ht="15" hidden="false" customHeight="false" outlineLevel="0" collapsed="false">
      <c r="A216" s="16"/>
      <c r="B216" s="16"/>
      <c r="C216" s="16"/>
      <c r="D216" s="17"/>
      <c r="E216" s="16"/>
      <c r="F216" s="16"/>
      <c r="G216" s="16"/>
    </row>
    <row r="217" customFormat="false" ht="15" hidden="false" customHeight="false" outlineLevel="0" collapsed="false">
      <c r="A217" s="16"/>
      <c r="B217" s="16"/>
      <c r="C217" s="16"/>
      <c r="D217" s="17"/>
      <c r="E217" s="16"/>
      <c r="F217" s="16"/>
      <c r="G217" s="16"/>
    </row>
    <row r="218" customFormat="false" ht="15" hidden="false" customHeight="false" outlineLevel="0" collapsed="false">
      <c r="A218" s="16"/>
      <c r="B218" s="16"/>
      <c r="C218" s="16"/>
      <c r="D218" s="17"/>
      <c r="E218" s="16"/>
      <c r="F218" s="16"/>
      <c r="G218" s="16"/>
    </row>
    <row r="219" customFormat="false" ht="15" hidden="false" customHeight="false" outlineLevel="0" collapsed="false">
      <c r="A219" s="16"/>
      <c r="B219" s="16"/>
      <c r="C219" s="16"/>
      <c r="D219" s="17"/>
      <c r="E219" s="16"/>
      <c r="F219" s="16"/>
      <c r="G219" s="16"/>
    </row>
    <row r="220" customFormat="false" ht="15" hidden="false" customHeight="false" outlineLevel="0" collapsed="false">
      <c r="A220" s="16"/>
      <c r="B220" s="16"/>
      <c r="C220" s="16"/>
      <c r="D220" s="17"/>
      <c r="E220" s="16"/>
      <c r="F220" s="16"/>
      <c r="G220" s="16"/>
    </row>
    <row r="221" customFormat="false" ht="15" hidden="false" customHeight="false" outlineLevel="0" collapsed="false">
      <c r="A221" s="16"/>
      <c r="B221" s="16"/>
      <c r="C221" s="16"/>
      <c r="D221" s="17"/>
      <c r="E221" s="16"/>
      <c r="F221" s="16"/>
      <c r="G221" s="16"/>
    </row>
    <row r="222" customFormat="false" ht="15" hidden="false" customHeight="false" outlineLevel="0" collapsed="false">
      <c r="A222" s="16"/>
      <c r="B222" s="16"/>
      <c r="C222" s="16"/>
      <c r="D222" s="17"/>
      <c r="E222" s="16"/>
      <c r="F222" s="16"/>
      <c r="G222" s="16"/>
    </row>
    <row r="223" customFormat="false" ht="15" hidden="false" customHeight="false" outlineLevel="0" collapsed="false">
      <c r="A223" s="16"/>
      <c r="B223" s="16"/>
      <c r="C223" s="16"/>
      <c r="D223" s="17"/>
      <c r="E223" s="16"/>
      <c r="F223" s="16"/>
      <c r="G223" s="16"/>
    </row>
    <row r="224" customFormat="false" ht="15" hidden="false" customHeight="false" outlineLevel="0" collapsed="false">
      <c r="A224" s="16"/>
      <c r="B224" s="16"/>
      <c r="C224" s="16"/>
      <c r="D224" s="17"/>
      <c r="E224" s="16"/>
      <c r="F224" s="16"/>
      <c r="G224" s="16"/>
    </row>
    <row r="225" customFormat="false" ht="15" hidden="false" customHeight="false" outlineLevel="0" collapsed="false">
      <c r="A225" s="16"/>
      <c r="B225" s="16"/>
      <c r="C225" s="16"/>
      <c r="D225" s="17"/>
      <c r="E225" s="16"/>
      <c r="F225" s="16"/>
      <c r="G225" s="16"/>
    </row>
    <row r="226" customFormat="false" ht="15" hidden="false" customHeight="false" outlineLevel="0" collapsed="false">
      <c r="A226" s="16"/>
      <c r="B226" s="16"/>
      <c r="C226" s="16"/>
      <c r="D226" s="17"/>
      <c r="E226" s="16"/>
      <c r="F226" s="16"/>
      <c r="G226" s="16"/>
    </row>
    <row r="227" customFormat="false" ht="15" hidden="false" customHeight="false" outlineLevel="0" collapsed="false">
      <c r="A227" s="16"/>
      <c r="B227" s="16"/>
      <c r="C227" s="16"/>
      <c r="D227" s="17"/>
      <c r="E227" s="16"/>
      <c r="F227" s="16"/>
      <c r="G227" s="16"/>
    </row>
    <row r="228" customFormat="false" ht="15" hidden="false" customHeight="false" outlineLevel="0" collapsed="false">
      <c r="A228" s="16"/>
      <c r="B228" s="16"/>
      <c r="C228" s="16"/>
      <c r="D228" s="17"/>
      <c r="E228" s="16"/>
      <c r="F228" s="16"/>
      <c r="G228" s="16"/>
    </row>
    <row r="229" customFormat="false" ht="15" hidden="false" customHeight="false" outlineLevel="0" collapsed="false">
      <c r="A229" s="16"/>
      <c r="B229" s="16"/>
      <c r="C229" s="16"/>
      <c r="D229" s="17"/>
      <c r="E229" s="16"/>
      <c r="F229" s="16"/>
      <c r="G229" s="16"/>
    </row>
    <row r="230" customFormat="false" ht="15" hidden="false" customHeight="false" outlineLevel="0" collapsed="false">
      <c r="A230" s="16"/>
      <c r="B230" s="16"/>
      <c r="C230" s="16"/>
      <c r="D230" s="17"/>
      <c r="E230" s="16"/>
      <c r="F230" s="16"/>
      <c r="G230" s="16"/>
    </row>
    <row r="231" customFormat="false" ht="15" hidden="false" customHeight="false" outlineLevel="0" collapsed="false">
      <c r="A231" s="16"/>
      <c r="B231" s="16"/>
      <c r="C231" s="16"/>
      <c r="D231" s="17"/>
      <c r="E231" s="16"/>
      <c r="F231" s="16"/>
      <c r="G231" s="16"/>
    </row>
    <row r="232" customFormat="false" ht="15" hidden="false" customHeight="false" outlineLevel="0" collapsed="false">
      <c r="A232" s="16"/>
      <c r="B232" s="16"/>
      <c r="C232" s="16"/>
      <c r="D232" s="17"/>
      <c r="E232" s="16"/>
      <c r="F232" s="16"/>
      <c r="G232" s="16"/>
    </row>
    <row r="233" customFormat="false" ht="15" hidden="false" customHeight="false" outlineLevel="0" collapsed="false">
      <c r="A233" s="16"/>
      <c r="B233" s="16"/>
      <c r="C233" s="16"/>
      <c r="D233" s="17"/>
      <c r="E233" s="16"/>
      <c r="F233" s="16"/>
      <c r="G233" s="16"/>
    </row>
    <row r="234" customFormat="false" ht="15" hidden="false" customHeight="false" outlineLevel="0" collapsed="false">
      <c r="A234" s="16"/>
      <c r="B234" s="16"/>
      <c r="C234" s="16"/>
      <c r="D234" s="17"/>
      <c r="E234" s="16"/>
      <c r="F234" s="16"/>
      <c r="G234" s="16"/>
    </row>
    <row r="235" customFormat="false" ht="15" hidden="false" customHeight="false" outlineLevel="0" collapsed="false">
      <c r="A235" s="16"/>
      <c r="B235" s="16"/>
      <c r="C235" s="16"/>
      <c r="D235" s="17"/>
      <c r="E235" s="16"/>
      <c r="F235" s="16"/>
      <c r="G235" s="16"/>
    </row>
    <row r="236" customFormat="false" ht="15" hidden="false" customHeight="false" outlineLevel="0" collapsed="false">
      <c r="A236" s="16"/>
      <c r="B236" s="16"/>
      <c r="C236" s="16"/>
      <c r="D236" s="17"/>
      <c r="E236" s="16"/>
      <c r="F236" s="16"/>
      <c r="G236" s="16"/>
    </row>
    <row r="237" customFormat="false" ht="15" hidden="false" customHeight="false" outlineLevel="0" collapsed="false">
      <c r="A237" s="16"/>
      <c r="B237" s="16"/>
      <c r="C237" s="16"/>
      <c r="D237" s="17"/>
      <c r="E237" s="16"/>
      <c r="F237" s="16"/>
      <c r="G237" s="16"/>
    </row>
    <row r="238" customFormat="false" ht="15" hidden="false" customHeight="false" outlineLevel="0" collapsed="false">
      <c r="A238" s="16"/>
      <c r="B238" s="16"/>
      <c r="C238" s="16"/>
      <c r="D238" s="17"/>
      <c r="E238" s="16"/>
      <c r="F238" s="16"/>
      <c r="G238" s="16"/>
    </row>
    <row r="239" customFormat="false" ht="15" hidden="false" customHeight="false" outlineLevel="0" collapsed="false">
      <c r="A239" s="16"/>
      <c r="B239" s="16"/>
      <c r="C239" s="16"/>
      <c r="D239" s="17"/>
      <c r="E239" s="16"/>
      <c r="F239" s="16"/>
      <c r="G239" s="16"/>
    </row>
    <row r="240" customFormat="false" ht="15" hidden="false" customHeight="false" outlineLevel="0" collapsed="false">
      <c r="A240" s="16"/>
      <c r="B240" s="16"/>
      <c r="C240" s="16"/>
      <c r="D240" s="17"/>
      <c r="E240" s="16"/>
      <c r="F240" s="16"/>
      <c r="G240" s="16"/>
    </row>
    <row r="241" customFormat="false" ht="15" hidden="false" customHeight="false" outlineLevel="0" collapsed="false">
      <c r="A241" s="16"/>
      <c r="B241" s="16"/>
      <c r="C241" s="16"/>
      <c r="D241" s="17"/>
      <c r="E241" s="16"/>
      <c r="F241" s="16"/>
      <c r="G241" s="16"/>
    </row>
    <row r="242" customFormat="false" ht="15" hidden="false" customHeight="false" outlineLevel="0" collapsed="false">
      <c r="A242" s="16"/>
      <c r="B242" s="16"/>
      <c r="C242" s="16"/>
      <c r="D242" s="17"/>
      <c r="E242" s="16"/>
      <c r="F242" s="16"/>
      <c r="G242" s="16"/>
    </row>
    <row r="243" customFormat="false" ht="15" hidden="false" customHeight="false" outlineLevel="0" collapsed="false">
      <c r="A243" s="16"/>
      <c r="B243" s="16"/>
      <c r="C243" s="16"/>
      <c r="D243" s="17"/>
      <c r="E243" s="16"/>
      <c r="F243" s="16"/>
      <c r="G243" s="16"/>
    </row>
    <row r="244" customFormat="false" ht="15" hidden="false" customHeight="false" outlineLevel="0" collapsed="false">
      <c r="A244" s="16"/>
      <c r="B244" s="16"/>
      <c r="C244" s="16"/>
      <c r="D244" s="17"/>
      <c r="E244" s="16"/>
      <c r="F244" s="16"/>
      <c r="G244" s="16"/>
    </row>
    <row r="245" customFormat="false" ht="15" hidden="false" customHeight="false" outlineLevel="0" collapsed="false">
      <c r="A245" s="16"/>
      <c r="B245" s="16"/>
      <c r="C245" s="16"/>
      <c r="D245" s="17"/>
      <c r="E245" s="16"/>
      <c r="F245" s="16"/>
      <c r="G245" s="16"/>
    </row>
    <row r="246" customFormat="false" ht="15" hidden="false" customHeight="false" outlineLevel="0" collapsed="false">
      <c r="A246" s="16"/>
      <c r="B246" s="16"/>
      <c r="C246" s="16"/>
      <c r="D246" s="17"/>
      <c r="E246" s="16"/>
      <c r="F246" s="16"/>
      <c r="G246" s="16"/>
    </row>
    <row r="247" customFormat="false" ht="15" hidden="false" customHeight="false" outlineLevel="0" collapsed="false">
      <c r="A247" s="16"/>
      <c r="B247" s="16"/>
      <c r="C247" s="16"/>
      <c r="D247" s="17"/>
      <c r="E247" s="16"/>
      <c r="F247" s="16"/>
      <c r="G247" s="16"/>
    </row>
    <row r="248" customFormat="false" ht="15" hidden="false" customHeight="false" outlineLevel="0" collapsed="false">
      <c r="A248" s="16"/>
      <c r="B248" s="16"/>
      <c r="C248" s="16"/>
      <c r="D248" s="17"/>
      <c r="E248" s="16"/>
      <c r="F248" s="16"/>
      <c r="G248" s="16"/>
    </row>
    <row r="249" customFormat="false" ht="15" hidden="false" customHeight="false" outlineLevel="0" collapsed="false">
      <c r="A249" s="16"/>
      <c r="B249" s="16"/>
      <c r="C249" s="16"/>
      <c r="D249" s="17"/>
      <c r="E249" s="16"/>
      <c r="F249" s="16"/>
      <c r="G249" s="16"/>
    </row>
    <row r="250" customFormat="false" ht="15" hidden="false" customHeight="false" outlineLevel="0" collapsed="false">
      <c r="A250" s="16"/>
      <c r="B250" s="16"/>
      <c r="C250" s="16"/>
      <c r="D250" s="17"/>
      <c r="E250" s="16"/>
      <c r="F250" s="16"/>
      <c r="G250" s="16"/>
    </row>
    <row r="251" customFormat="false" ht="15" hidden="false" customHeight="false" outlineLevel="0" collapsed="false">
      <c r="A251" s="16"/>
      <c r="B251" s="16"/>
      <c r="C251" s="16"/>
      <c r="D251" s="17"/>
      <c r="E251" s="16"/>
      <c r="F251" s="16"/>
      <c r="G251" s="16"/>
    </row>
    <row r="252" customFormat="false" ht="15" hidden="false" customHeight="false" outlineLevel="0" collapsed="false">
      <c r="A252" s="16"/>
      <c r="B252" s="16"/>
      <c r="C252" s="16"/>
      <c r="D252" s="17"/>
      <c r="E252" s="16"/>
      <c r="F252" s="16"/>
      <c r="G252" s="16"/>
    </row>
    <row r="253" customFormat="false" ht="15" hidden="false" customHeight="false" outlineLevel="0" collapsed="false">
      <c r="A253" s="16"/>
      <c r="B253" s="16"/>
      <c r="C253" s="16"/>
      <c r="D253" s="17"/>
      <c r="E253" s="16"/>
      <c r="F253" s="16"/>
      <c r="G253" s="16"/>
    </row>
    <row r="254" customFormat="false" ht="15" hidden="false" customHeight="false" outlineLevel="0" collapsed="false">
      <c r="A254" s="16"/>
      <c r="B254" s="16"/>
      <c r="C254" s="16"/>
      <c r="D254" s="17"/>
      <c r="E254" s="16"/>
      <c r="F254" s="16"/>
      <c r="G254" s="16"/>
    </row>
    <row r="255" customFormat="false" ht="15" hidden="false" customHeight="false" outlineLevel="0" collapsed="false">
      <c r="A255" s="16"/>
      <c r="B255" s="16"/>
      <c r="C255" s="16"/>
      <c r="D255" s="17"/>
      <c r="E255" s="16"/>
      <c r="F255" s="16"/>
      <c r="G255" s="16"/>
    </row>
    <row r="256" customFormat="false" ht="15" hidden="false" customHeight="false" outlineLevel="0" collapsed="false">
      <c r="A256" s="16"/>
      <c r="B256" s="16"/>
      <c r="C256" s="16"/>
      <c r="D256" s="17"/>
      <c r="E256" s="16"/>
      <c r="F256" s="16"/>
      <c r="G256" s="16"/>
    </row>
    <row r="257" customFormat="false" ht="15" hidden="false" customHeight="false" outlineLevel="0" collapsed="false">
      <c r="A257" s="16"/>
      <c r="B257" s="16"/>
      <c r="C257" s="16"/>
      <c r="D257" s="17"/>
      <c r="E257" s="16"/>
      <c r="F257" s="16"/>
      <c r="G257" s="16"/>
    </row>
    <row r="258" customFormat="false" ht="15" hidden="false" customHeight="false" outlineLevel="0" collapsed="false">
      <c r="A258" s="16"/>
      <c r="B258" s="16"/>
      <c r="C258" s="16"/>
      <c r="D258" s="17"/>
      <c r="E258" s="16"/>
      <c r="F258" s="16"/>
      <c r="G258" s="16"/>
    </row>
    <row r="259" customFormat="false" ht="15" hidden="false" customHeight="false" outlineLevel="0" collapsed="false">
      <c r="A259" s="16"/>
      <c r="B259" s="16"/>
      <c r="C259" s="16"/>
      <c r="D259" s="17"/>
      <c r="E259" s="16"/>
      <c r="F259" s="16"/>
      <c r="G259" s="16"/>
    </row>
    <row r="260" customFormat="false" ht="15" hidden="false" customHeight="false" outlineLevel="0" collapsed="false">
      <c r="A260" s="16"/>
      <c r="B260" s="16"/>
      <c r="C260" s="16"/>
      <c r="D260" s="17"/>
      <c r="E260" s="16"/>
      <c r="F260" s="16"/>
      <c r="G260" s="16"/>
    </row>
    <row r="261" customFormat="false" ht="15" hidden="false" customHeight="false" outlineLevel="0" collapsed="false">
      <c r="A261" s="16"/>
      <c r="B261" s="16"/>
      <c r="C261" s="16"/>
      <c r="D261" s="17"/>
      <c r="E261" s="16"/>
      <c r="F261" s="16"/>
      <c r="G261" s="16"/>
    </row>
    <row r="262" customFormat="false" ht="15" hidden="false" customHeight="false" outlineLevel="0" collapsed="false">
      <c r="A262" s="16"/>
      <c r="B262" s="16"/>
      <c r="C262" s="16"/>
      <c r="D262" s="17"/>
      <c r="E262" s="16"/>
      <c r="F262" s="16"/>
      <c r="G262" s="16"/>
    </row>
    <row r="263" customFormat="false" ht="15" hidden="false" customHeight="false" outlineLevel="0" collapsed="false">
      <c r="A263" s="16"/>
      <c r="B263" s="16"/>
      <c r="C263" s="16"/>
      <c r="D263" s="17"/>
      <c r="E263" s="16"/>
      <c r="F263" s="16"/>
      <c r="G263" s="16"/>
    </row>
    <row r="264" customFormat="false" ht="15" hidden="false" customHeight="false" outlineLevel="0" collapsed="false">
      <c r="A264" s="16"/>
      <c r="B264" s="16"/>
      <c r="C264" s="16"/>
      <c r="D264" s="17"/>
      <c r="E264" s="16"/>
      <c r="F264" s="16"/>
      <c r="G264" s="16"/>
    </row>
    <row r="265" customFormat="false" ht="15" hidden="false" customHeight="false" outlineLevel="0" collapsed="false">
      <c r="A265" s="16"/>
      <c r="B265" s="16"/>
      <c r="C265" s="16"/>
      <c r="D265" s="17"/>
      <c r="E265" s="16"/>
      <c r="F265" s="16"/>
      <c r="G265" s="16"/>
    </row>
    <row r="266" customFormat="false" ht="15" hidden="false" customHeight="false" outlineLevel="0" collapsed="false">
      <c r="A266" s="16"/>
      <c r="B266" s="16"/>
      <c r="C266" s="16"/>
      <c r="D266" s="17"/>
      <c r="E266" s="16"/>
      <c r="F266" s="16"/>
      <c r="G266" s="16"/>
    </row>
    <row r="267" customFormat="false" ht="15" hidden="false" customHeight="false" outlineLevel="0" collapsed="false">
      <c r="A267" s="16"/>
      <c r="B267" s="16"/>
      <c r="C267" s="16"/>
      <c r="D267" s="17"/>
      <c r="E267" s="16"/>
      <c r="F267" s="16"/>
      <c r="G267" s="16"/>
    </row>
    <row r="268" customFormat="false" ht="15" hidden="false" customHeight="false" outlineLevel="0" collapsed="false">
      <c r="A268" s="16"/>
      <c r="B268" s="16"/>
      <c r="C268" s="16"/>
      <c r="D268" s="17"/>
      <c r="E268" s="16"/>
      <c r="F268" s="16"/>
      <c r="G268" s="16"/>
    </row>
    <row r="269" customFormat="false" ht="15" hidden="false" customHeight="false" outlineLevel="0" collapsed="false">
      <c r="A269" s="16"/>
      <c r="B269" s="16"/>
      <c r="C269" s="16"/>
      <c r="D269" s="17"/>
      <c r="E269" s="16"/>
      <c r="F269" s="16"/>
      <c r="G269" s="16"/>
    </row>
    <row r="270" customFormat="false" ht="15" hidden="false" customHeight="false" outlineLevel="0" collapsed="false">
      <c r="A270" s="16"/>
      <c r="B270" s="16"/>
      <c r="C270" s="16"/>
      <c r="D270" s="17"/>
      <c r="E270" s="16"/>
      <c r="F270" s="16"/>
      <c r="G270" s="16"/>
    </row>
    <row r="271" customFormat="false" ht="15" hidden="false" customHeight="false" outlineLevel="0" collapsed="false">
      <c r="A271" s="16"/>
      <c r="B271" s="16"/>
      <c r="C271" s="16"/>
      <c r="D271" s="17"/>
      <c r="E271" s="16"/>
      <c r="F271" s="16"/>
      <c r="G271" s="16"/>
    </row>
    <row r="272" customFormat="false" ht="15" hidden="false" customHeight="false" outlineLevel="0" collapsed="false">
      <c r="A272" s="16"/>
      <c r="B272" s="16"/>
      <c r="C272" s="16"/>
      <c r="D272" s="17"/>
      <c r="E272" s="16"/>
      <c r="F272" s="16"/>
      <c r="G272" s="16"/>
    </row>
    <row r="273" customFormat="false" ht="15" hidden="false" customHeight="false" outlineLevel="0" collapsed="false">
      <c r="A273" s="16"/>
      <c r="B273" s="16"/>
      <c r="C273" s="16"/>
      <c r="D273" s="17"/>
      <c r="E273" s="16"/>
      <c r="F273" s="16"/>
      <c r="G273" s="16"/>
    </row>
    <row r="274" customFormat="false" ht="15" hidden="false" customHeight="false" outlineLevel="0" collapsed="false">
      <c r="A274" s="16"/>
      <c r="B274" s="16"/>
      <c r="C274" s="16"/>
      <c r="D274" s="17"/>
      <c r="E274" s="16"/>
      <c r="F274" s="16"/>
      <c r="G274" s="16"/>
    </row>
    <row r="275" customFormat="false" ht="15" hidden="false" customHeight="false" outlineLevel="0" collapsed="false">
      <c r="A275" s="16"/>
      <c r="B275" s="16"/>
      <c r="C275" s="16"/>
      <c r="D275" s="17"/>
      <c r="E275" s="16"/>
      <c r="F275" s="16"/>
      <c r="G275" s="16"/>
    </row>
    <row r="276" customFormat="false" ht="15" hidden="false" customHeight="false" outlineLevel="0" collapsed="false">
      <c r="A276" s="16"/>
      <c r="B276" s="16"/>
      <c r="C276" s="16"/>
      <c r="D276" s="17"/>
      <c r="E276" s="16"/>
      <c r="F276" s="16"/>
      <c r="G276" s="16"/>
    </row>
    <row r="277" customFormat="false" ht="15" hidden="false" customHeight="false" outlineLevel="0" collapsed="false">
      <c r="A277" s="16"/>
      <c r="B277" s="16"/>
      <c r="C277" s="16"/>
      <c r="D277" s="17"/>
      <c r="E277" s="16"/>
      <c r="F277" s="16"/>
      <c r="G277" s="16"/>
    </row>
    <row r="278" customFormat="false" ht="15" hidden="false" customHeight="false" outlineLevel="0" collapsed="false">
      <c r="A278" s="16"/>
      <c r="B278" s="16"/>
      <c r="C278" s="16"/>
      <c r="D278" s="17"/>
      <c r="E278" s="16"/>
      <c r="F278" s="16"/>
      <c r="G278" s="16"/>
    </row>
    <row r="279" customFormat="false" ht="15" hidden="false" customHeight="false" outlineLevel="0" collapsed="false">
      <c r="A279" s="16"/>
      <c r="B279" s="16"/>
      <c r="C279" s="16"/>
      <c r="D279" s="17"/>
      <c r="E279" s="16"/>
      <c r="F279" s="16"/>
      <c r="G279" s="16"/>
    </row>
    <row r="280" customFormat="false" ht="15" hidden="false" customHeight="false" outlineLevel="0" collapsed="false">
      <c r="A280" s="16"/>
      <c r="B280" s="16"/>
      <c r="C280" s="16"/>
      <c r="D280" s="17"/>
      <c r="E280" s="16"/>
      <c r="F280" s="16"/>
      <c r="G280" s="16"/>
    </row>
    <row r="281" customFormat="false" ht="15" hidden="false" customHeight="false" outlineLevel="0" collapsed="false">
      <c r="A281" s="16"/>
      <c r="B281" s="16"/>
      <c r="C281" s="16"/>
      <c r="D281" s="17"/>
      <c r="E281" s="16"/>
      <c r="F281" s="16"/>
      <c r="G281" s="16"/>
    </row>
    <row r="282" customFormat="false" ht="15" hidden="false" customHeight="false" outlineLevel="0" collapsed="false">
      <c r="A282" s="16"/>
      <c r="B282" s="16"/>
      <c r="C282" s="16"/>
      <c r="D282" s="17"/>
      <c r="E282" s="16"/>
      <c r="F282" s="16"/>
      <c r="G282" s="16"/>
    </row>
    <row r="283" customFormat="false" ht="15" hidden="false" customHeight="false" outlineLevel="0" collapsed="false">
      <c r="A283" s="16"/>
      <c r="B283" s="16"/>
      <c r="C283" s="16"/>
      <c r="D283" s="17"/>
      <c r="E283" s="16"/>
      <c r="F283" s="16"/>
      <c r="G283" s="16"/>
    </row>
    <row r="284" customFormat="false" ht="15" hidden="false" customHeight="false" outlineLevel="0" collapsed="false">
      <c r="A284" s="16"/>
      <c r="B284" s="16"/>
      <c r="C284" s="16"/>
      <c r="D284" s="17"/>
      <c r="E284" s="16"/>
      <c r="F284" s="16"/>
      <c r="G284" s="16"/>
    </row>
    <row r="285" customFormat="false" ht="15" hidden="false" customHeight="false" outlineLevel="0" collapsed="false">
      <c r="A285" s="16"/>
      <c r="B285" s="16"/>
      <c r="C285" s="16"/>
      <c r="D285" s="17"/>
      <c r="E285" s="16"/>
      <c r="F285" s="16"/>
      <c r="G285" s="16"/>
    </row>
    <row r="286" customFormat="false" ht="15" hidden="false" customHeight="false" outlineLevel="0" collapsed="false">
      <c r="A286" s="16"/>
      <c r="B286" s="16"/>
      <c r="C286" s="16"/>
      <c r="D286" s="17"/>
      <c r="E286" s="16"/>
      <c r="F286" s="16"/>
      <c r="G286" s="16"/>
    </row>
    <row r="287" customFormat="false" ht="15" hidden="false" customHeight="false" outlineLevel="0" collapsed="false">
      <c r="A287" s="16"/>
      <c r="B287" s="16"/>
      <c r="C287" s="16"/>
      <c r="D287" s="17"/>
      <c r="E287" s="16"/>
      <c r="F287" s="16"/>
      <c r="G287" s="16"/>
    </row>
    <row r="288" customFormat="false" ht="15" hidden="false" customHeight="false" outlineLevel="0" collapsed="false">
      <c r="A288" s="16"/>
      <c r="B288" s="16"/>
      <c r="C288" s="16"/>
      <c r="D288" s="17"/>
      <c r="E288" s="16"/>
      <c r="F288" s="16"/>
      <c r="G288" s="16"/>
    </row>
    <row r="289" customFormat="false" ht="15" hidden="false" customHeight="false" outlineLevel="0" collapsed="false">
      <c r="A289" s="16"/>
      <c r="B289" s="16"/>
      <c r="C289" s="16"/>
      <c r="D289" s="17"/>
      <c r="E289" s="16"/>
      <c r="F289" s="16"/>
      <c r="G289" s="16"/>
    </row>
    <row r="290" customFormat="false" ht="15" hidden="false" customHeight="false" outlineLevel="0" collapsed="false">
      <c r="A290" s="16"/>
      <c r="B290" s="16"/>
      <c r="C290" s="16"/>
      <c r="D290" s="17"/>
      <c r="E290" s="16"/>
      <c r="F290" s="16"/>
      <c r="G290" s="16"/>
    </row>
    <row r="291" customFormat="false" ht="15" hidden="false" customHeight="false" outlineLevel="0" collapsed="false">
      <c r="A291" s="16"/>
      <c r="B291" s="16"/>
      <c r="C291" s="16"/>
      <c r="D291" s="17"/>
      <c r="E291" s="16"/>
      <c r="F291" s="16"/>
      <c r="G291" s="16"/>
    </row>
    <row r="292" customFormat="false" ht="15" hidden="false" customHeight="false" outlineLevel="0" collapsed="false">
      <c r="A292" s="16"/>
      <c r="B292" s="16"/>
      <c r="C292" s="16"/>
      <c r="D292" s="17"/>
      <c r="E292" s="16"/>
      <c r="F292" s="16"/>
      <c r="G292" s="16"/>
    </row>
    <row r="293" customFormat="false" ht="15" hidden="false" customHeight="false" outlineLevel="0" collapsed="false">
      <c r="A293" s="16"/>
      <c r="B293" s="16"/>
      <c r="C293" s="16"/>
      <c r="D293" s="17"/>
      <c r="E293" s="16"/>
      <c r="F293" s="16"/>
      <c r="G293" s="16"/>
    </row>
    <row r="294" customFormat="false" ht="15" hidden="false" customHeight="false" outlineLevel="0" collapsed="false">
      <c r="A294" s="16"/>
      <c r="B294" s="16"/>
      <c r="C294" s="16"/>
      <c r="D294" s="17"/>
      <c r="E294" s="16"/>
      <c r="F294" s="16"/>
      <c r="G294" s="16"/>
    </row>
    <row r="295" customFormat="false" ht="15" hidden="false" customHeight="false" outlineLevel="0" collapsed="false">
      <c r="A295" s="16"/>
      <c r="B295" s="16"/>
      <c r="C295" s="16"/>
      <c r="D295" s="17"/>
      <c r="E295" s="16"/>
      <c r="F295" s="16"/>
      <c r="G295" s="16"/>
    </row>
    <row r="296" customFormat="false" ht="15" hidden="false" customHeight="false" outlineLevel="0" collapsed="false">
      <c r="A296" s="16"/>
      <c r="B296" s="16"/>
      <c r="C296" s="16"/>
      <c r="D296" s="17"/>
      <c r="E296" s="16"/>
      <c r="F296" s="16"/>
      <c r="G296" s="16"/>
    </row>
    <row r="297" customFormat="false" ht="15" hidden="false" customHeight="false" outlineLevel="0" collapsed="false">
      <c r="A297" s="16"/>
      <c r="B297" s="16"/>
      <c r="C297" s="16"/>
      <c r="D297" s="17"/>
      <c r="E297" s="16"/>
      <c r="F297" s="16"/>
      <c r="G297" s="16"/>
    </row>
    <row r="298" customFormat="false" ht="15" hidden="false" customHeight="false" outlineLevel="0" collapsed="false">
      <c r="A298" s="16"/>
      <c r="B298" s="16"/>
      <c r="C298" s="16"/>
      <c r="D298" s="17"/>
      <c r="E298" s="16"/>
      <c r="F298" s="16"/>
      <c r="G298" s="16"/>
    </row>
    <row r="299" customFormat="false" ht="15" hidden="false" customHeight="false" outlineLevel="0" collapsed="false">
      <c r="A299" s="16"/>
      <c r="B299" s="16"/>
      <c r="C299" s="16"/>
      <c r="D299" s="17"/>
      <c r="E299" s="16"/>
      <c r="F299" s="16"/>
      <c r="G299" s="16"/>
    </row>
    <row r="300" customFormat="false" ht="15" hidden="false" customHeight="false" outlineLevel="0" collapsed="false">
      <c r="A300" s="16"/>
      <c r="B300" s="16"/>
      <c r="C300" s="16"/>
      <c r="D300" s="17"/>
      <c r="E300" s="16"/>
      <c r="F300" s="16"/>
      <c r="G300" s="16"/>
    </row>
    <row r="301" customFormat="false" ht="15" hidden="false" customHeight="false" outlineLevel="0" collapsed="false">
      <c r="A301" s="16"/>
      <c r="B301" s="16"/>
      <c r="C301" s="16"/>
      <c r="D301" s="17"/>
      <c r="E301" s="16"/>
      <c r="F301" s="16"/>
      <c r="G301" s="16"/>
    </row>
    <row r="302" customFormat="false" ht="15" hidden="false" customHeight="false" outlineLevel="0" collapsed="false">
      <c r="A302" s="16"/>
      <c r="B302" s="16"/>
      <c r="C302" s="16"/>
      <c r="D302" s="17"/>
      <c r="E302" s="16"/>
      <c r="F302" s="16"/>
      <c r="G302" s="16"/>
    </row>
    <row r="303" customFormat="false" ht="15" hidden="false" customHeight="false" outlineLevel="0" collapsed="false">
      <c r="A303" s="16"/>
      <c r="B303" s="16"/>
      <c r="C303" s="16"/>
      <c r="D303" s="17"/>
      <c r="E303" s="16"/>
      <c r="F303" s="16"/>
      <c r="G303" s="16"/>
    </row>
    <row r="304" customFormat="false" ht="15" hidden="false" customHeight="false" outlineLevel="0" collapsed="false">
      <c r="A304" s="16"/>
      <c r="B304" s="16"/>
      <c r="C304" s="16"/>
      <c r="D304" s="17"/>
      <c r="E304" s="16"/>
      <c r="F304" s="16"/>
      <c r="G304" s="16"/>
    </row>
    <row r="305" customFormat="false" ht="15" hidden="false" customHeight="false" outlineLevel="0" collapsed="false">
      <c r="A305" s="16"/>
      <c r="B305" s="16"/>
      <c r="C305" s="16"/>
      <c r="D305" s="17"/>
      <c r="E305" s="16"/>
      <c r="F305" s="16"/>
      <c r="G305" s="16"/>
    </row>
    <row r="306" customFormat="false" ht="15" hidden="false" customHeight="false" outlineLevel="0" collapsed="false">
      <c r="A306" s="16"/>
      <c r="B306" s="16"/>
      <c r="C306" s="16"/>
      <c r="D306" s="17"/>
      <c r="E306" s="16"/>
      <c r="F306" s="16"/>
      <c r="G306" s="16"/>
    </row>
    <row r="307" customFormat="false" ht="15" hidden="false" customHeight="false" outlineLevel="0" collapsed="false">
      <c r="A307" s="16"/>
      <c r="B307" s="16"/>
      <c r="C307" s="16"/>
      <c r="D307" s="17"/>
      <c r="E307" s="16"/>
      <c r="F307" s="16"/>
      <c r="G307" s="16"/>
    </row>
    <row r="308" customFormat="false" ht="15" hidden="false" customHeight="false" outlineLevel="0" collapsed="false">
      <c r="A308" s="16"/>
      <c r="B308" s="16"/>
      <c r="C308" s="16"/>
      <c r="D308" s="17"/>
      <c r="E308" s="16"/>
      <c r="F308" s="16"/>
      <c r="G308" s="16"/>
    </row>
    <row r="309" customFormat="false" ht="15" hidden="false" customHeight="false" outlineLevel="0" collapsed="false">
      <c r="A309" s="16"/>
      <c r="B309" s="16"/>
      <c r="C309" s="16"/>
      <c r="D309" s="17"/>
      <c r="E309" s="16"/>
      <c r="F309" s="16"/>
      <c r="G309" s="16"/>
    </row>
    <row r="310" customFormat="false" ht="15" hidden="false" customHeight="false" outlineLevel="0" collapsed="false">
      <c r="A310" s="16"/>
      <c r="B310" s="16"/>
      <c r="C310" s="16"/>
      <c r="D310" s="17"/>
      <c r="E310" s="16"/>
      <c r="F310" s="16"/>
      <c r="G310" s="16"/>
    </row>
    <row r="311" customFormat="false" ht="15" hidden="false" customHeight="false" outlineLevel="0" collapsed="false">
      <c r="A311" s="16"/>
      <c r="B311" s="16"/>
      <c r="C311" s="16"/>
      <c r="D311" s="17"/>
      <c r="E311" s="16"/>
      <c r="F311" s="16"/>
      <c r="G311" s="16"/>
    </row>
    <row r="312" customFormat="false" ht="15" hidden="false" customHeight="false" outlineLevel="0" collapsed="false">
      <c r="A312" s="16"/>
      <c r="B312" s="16"/>
      <c r="C312" s="16"/>
      <c r="D312" s="17"/>
      <c r="E312" s="16"/>
      <c r="F312" s="16"/>
      <c r="G312" s="16"/>
    </row>
    <row r="313" customFormat="false" ht="15" hidden="false" customHeight="false" outlineLevel="0" collapsed="false">
      <c r="A313" s="16"/>
      <c r="B313" s="16"/>
      <c r="C313" s="16"/>
      <c r="D313" s="17"/>
      <c r="E313" s="16"/>
      <c r="F313" s="16"/>
      <c r="G313" s="16"/>
    </row>
    <row r="314" customFormat="false" ht="15" hidden="false" customHeight="false" outlineLevel="0" collapsed="false">
      <c r="A314" s="16"/>
      <c r="B314" s="16"/>
      <c r="C314" s="16"/>
      <c r="D314" s="17"/>
      <c r="E314" s="16"/>
      <c r="F314" s="16"/>
      <c r="G314" s="16"/>
    </row>
    <row r="315" customFormat="false" ht="15" hidden="false" customHeight="false" outlineLevel="0" collapsed="false">
      <c r="A315" s="16"/>
      <c r="B315" s="16"/>
      <c r="C315" s="16"/>
      <c r="D315" s="17"/>
      <c r="E315" s="16"/>
      <c r="F315" s="16"/>
      <c r="G315" s="16"/>
    </row>
    <row r="316" customFormat="false" ht="15" hidden="false" customHeight="false" outlineLevel="0" collapsed="false">
      <c r="A316" s="16"/>
      <c r="B316" s="16"/>
      <c r="C316" s="16"/>
      <c r="D316" s="17"/>
      <c r="E316" s="16"/>
      <c r="F316" s="16"/>
      <c r="G316" s="16"/>
    </row>
    <row r="317" customFormat="false" ht="15" hidden="false" customHeight="false" outlineLevel="0" collapsed="false">
      <c r="A317" s="16"/>
      <c r="B317" s="16"/>
      <c r="C317" s="16"/>
      <c r="D317" s="17"/>
      <c r="E317" s="16"/>
      <c r="F317" s="16"/>
      <c r="G317" s="16"/>
    </row>
    <row r="318" customFormat="false" ht="15" hidden="false" customHeight="false" outlineLevel="0" collapsed="false">
      <c r="A318" s="16"/>
      <c r="B318" s="16"/>
      <c r="C318" s="16"/>
      <c r="D318" s="17"/>
      <c r="E318" s="16"/>
      <c r="F318" s="16"/>
      <c r="G318" s="16"/>
    </row>
    <row r="319" customFormat="false" ht="15" hidden="false" customHeight="false" outlineLevel="0" collapsed="false">
      <c r="A319" s="16"/>
      <c r="B319" s="16"/>
      <c r="C319" s="16"/>
      <c r="D319" s="17"/>
      <c r="E319" s="16"/>
      <c r="F319" s="16"/>
      <c r="G319" s="16"/>
    </row>
    <row r="320" customFormat="false" ht="15" hidden="false" customHeight="false" outlineLevel="0" collapsed="false">
      <c r="A320" s="16"/>
      <c r="B320" s="16"/>
      <c r="C320" s="16"/>
      <c r="D320" s="17"/>
      <c r="E320" s="16"/>
      <c r="F320" s="16"/>
      <c r="G320" s="16"/>
    </row>
    <row r="321" customFormat="false" ht="15" hidden="false" customHeight="false" outlineLevel="0" collapsed="false">
      <c r="A321" s="16"/>
      <c r="B321" s="16"/>
      <c r="C321" s="16"/>
      <c r="D321" s="17"/>
      <c r="E321" s="16"/>
      <c r="F321" s="16"/>
      <c r="G321" s="16"/>
    </row>
    <row r="322" customFormat="false" ht="15" hidden="false" customHeight="false" outlineLevel="0" collapsed="false">
      <c r="A322" s="16"/>
      <c r="B322" s="16"/>
      <c r="C322" s="16"/>
      <c r="D322" s="17"/>
      <c r="E322" s="16"/>
      <c r="F322" s="16"/>
      <c r="G322" s="16"/>
    </row>
    <row r="323" customFormat="false" ht="15" hidden="false" customHeight="false" outlineLevel="0" collapsed="false">
      <c r="A323" s="16"/>
      <c r="B323" s="16"/>
      <c r="C323" s="16"/>
      <c r="D323" s="17"/>
      <c r="E323" s="16"/>
      <c r="F323" s="16"/>
      <c r="G323" s="16"/>
    </row>
    <row r="324" customFormat="false" ht="15" hidden="false" customHeight="false" outlineLevel="0" collapsed="false">
      <c r="A324" s="16"/>
      <c r="B324" s="16"/>
      <c r="C324" s="16"/>
      <c r="D324" s="17"/>
      <c r="E324" s="16"/>
      <c r="F324" s="16"/>
      <c r="G324" s="16"/>
    </row>
    <row r="325" customFormat="false" ht="15" hidden="false" customHeight="false" outlineLevel="0" collapsed="false">
      <c r="A325" s="16"/>
      <c r="B325" s="16"/>
      <c r="C325" s="16"/>
      <c r="D325" s="17"/>
      <c r="E325" s="16"/>
      <c r="F325" s="16"/>
      <c r="G325" s="16"/>
    </row>
    <row r="326" customFormat="false" ht="15" hidden="false" customHeight="false" outlineLevel="0" collapsed="false">
      <c r="A326" s="16"/>
      <c r="B326" s="16"/>
      <c r="C326" s="16"/>
      <c r="D326" s="17"/>
      <c r="E326" s="16"/>
      <c r="F326" s="16"/>
      <c r="G326" s="16"/>
    </row>
    <row r="327" customFormat="false" ht="15" hidden="false" customHeight="false" outlineLevel="0" collapsed="false">
      <c r="A327" s="16"/>
      <c r="B327" s="16"/>
      <c r="C327" s="16"/>
      <c r="D327" s="17"/>
      <c r="E327" s="16"/>
      <c r="F327" s="16"/>
      <c r="G327" s="16"/>
    </row>
    <row r="328" customFormat="false" ht="15" hidden="false" customHeight="false" outlineLevel="0" collapsed="false">
      <c r="A328" s="16"/>
      <c r="B328" s="16"/>
      <c r="C328" s="16"/>
      <c r="D328" s="17"/>
      <c r="E328" s="16"/>
      <c r="F328" s="16"/>
      <c r="G328" s="16"/>
    </row>
    <row r="329" customFormat="false" ht="15" hidden="false" customHeight="false" outlineLevel="0" collapsed="false">
      <c r="A329" s="16"/>
      <c r="B329" s="16"/>
      <c r="C329" s="16"/>
      <c r="D329" s="17"/>
      <c r="E329" s="16"/>
      <c r="F329" s="16"/>
      <c r="G329" s="16"/>
    </row>
    <row r="330" customFormat="false" ht="15" hidden="false" customHeight="false" outlineLevel="0" collapsed="false">
      <c r="A330" s="16"/>
      <c r="B330" s="16"/>
      <c r="C330" s="16"/>
      <c r="D330" s="17"/>
      <c r="E330" s="16"/>
      <c r="F330" s="16"/>
      <c r="G330" s="16"/>
    </row>
    <row r="331" customFormat="false" ht="15" hidden="false" customHeight="false" outlineLevel="0" collapsed="false">
      <c r="A331" s="16"/>
      <c r="B331" s="16"/>
      <c r="C331" s="16"/>
      <c r="D331" s="17"/>
      <c r="E331" s="16"/>
      <c r="F331" s="16"/>
      <c r="G331" s="16"/>
    </row>
    <row r="332" customFormat="false" ht="15" hidden="false" customHeight="false" outlineLevel="0" collapsed="false">
      <c r="A332" s="16"/>
      <c r="B332" s="16"/>
      <c r="C332" s="16"/>
      <c r="D332" s="17"/>
      <c r="E332" s="16"/>
      <c r="F332" s="16"/>
      <c r="G332" s="16"/>
    </row>
    <row r="333" customFormat="false" ht="15" hidden="false" customHeight="false" outlineLevel="0" collapsed="false">
      <c r="A333" s="16"/>
      <c r="B333" s="16"/>
      <c r="C333" s="16"/>
      <c r="D333" s="17"/>
      <c r="E333" s="16"/>
      <c r="F333" s="16"/>
      <c r="G333" s="16"/>
    </row>
    <row r="334" customFormat="false" ht="15" hidden="false" customHeight="false" outlineLevel="0" collapsed="false">
      <c r="A334" s="16"/>
      <c r="B334" s="16"/>
      <c r="C334" s="16"/>
      <c r="D334" s="17"/>
      <c r="E334" s="16"/>
      <c r="F334" s="16"/>
      <c r="G334" s="16"/>
    </row>
    <row r="335" customFormat="false" ht="15" hidden="false" customHeight="false" outlineLevel="0" collapsed="false">
      <c r="A335" s="16"/>
      <c r="B335" s="16"/>
      <c r="C335" s="16"/>
      <c r="D335" s="17"/>
      <c r="E335" s="16"/>
      <c r="F335" s="16"/>
      <c r="G335" s="16"/>
    </row>
    <row r="336" customFormat="false" ht="15" hidden="false" customHeight="false" outlineLevel="0" collapsed="false">
      <c r="A336" s="16"/>
      <c r="B336" s="16"/>
      <c r="C336" s="16"/>
      <c r="D336" s="17"/>
      <c r="E336" s="16"/>
      <c r="F336" s="16"/>
      <c r="G336" s="16"/>
    </row>
    <row r="337" customFormat="false" ht="15" hidden="false" customHeight="false" outlineLevel="0" collapsed="false">
      <c r="A337" s="16"/>
      <c r="B337" s="16"/>
      <c r="C337" s="16"/>
      <c r="D337" s="17"/>
      <c r="E337" s="16"/>
      <c r="F337" s="16"/>
      <c r="G337" s="16"/>
    </row>
    <row r="338" customFormat="false" ht="15" hidden="false" customHeight="false" outlineLevel="0" collapsed="false">
      <c r="A338" s="16"/>
      <c r="B338" s="16"/>
      <c r="C338" s="16"/>
      <c r="D338" s="17"/>
      <c r="E338" s="16"/>
      <c r="F338" s="16"/>
      <c r="G338" s="16"/>
    </row>
    <row r="339" customFormat="false" ht="15" hidden="false" customHeight="false" outlineLevel="0" collapsed="false">
      <c r="A339" s="16"/>
      <c r="B339" s="16"/>
      <c r="C339" s="16"/>
      <c r="D339" s="17"/>
      <c r="E339" s="16"/>
      <c r="F339" s="16"/>
      <c r="G339" s="16"/>
    </row>
    <row r="340" customFormat="false" ht="15" hidden="false" customHeight="false" outlineLevel="0" collapsed="false">
      <c r="A340" s="16"/>
      <c r="B340" s="16"/>
      <c r="C340" s="16"/>
      <c r="D340" s="17"/>
      <c r="E340" s="16"/>
      <c r="F340" s="16"/>
      <c r="G340" s="16"/>
    </row>
    <row r="341" customFormat="false" ht="15" hidden="false" customHeight="false" outlineLevel="0" collapsed="false">
      <c r="A341" s="16"/>
      <c r="B341" s="16"/>
      <c r="C341" s="16"/>
      <c r="D341" s="17"/>
      <c r="E341" s="16"/>
      <c r="F341" s="16"/>
      <c r="G341" s="16"/>
    </row>
    <row r="342" customFormat="false" ht="15" hidden="false" customHeight="false" outlineLevel="0" collapsed="false">
      <c r="A342" s="16"/>
      <c r="B342" s="16"/>
      <c r="C342" s="16"/>
      <c r="D342" s="17"/>
      <c r="E342" s="16"/>
      <c r="F342" s="16"/>
      <c r="G342" s="16"/>
    </row>
    <row r="343" customFormat="false" ht="15" hidden="false" customHeight="false" outlineLevel="0" collapsed="false">
      <c r="A343" s="16"/>
      <c r="B343" s="16"/>
      <c r="C343" s="16"/>
      <c r="D343" s="17"/>
      <c r="E343" s="16"/>
      <c r="F343" s="16"/>
      <c r="G343" s="16"/>
    </row>
    <row r="344" customFormat="false" ht="15" hidden="false" customHeight="false" outlineLevel="0" collapsed="false">
      <c r="A344" s="16"/>
      <c r="B344" s="16"/>
      <c r="C344" s="16"/>
      <c r="D344" s="17"/>
      <c r="E344" s="16"/>
      <c r="F344" s="16"/>
      <c r="G344" s="16"/>
    </row>
    <row r="345" customFormat="false" ht="15" hidden="false" customHeight="false" outlineLevel="0" collapsed="false">
      <c r="A345" s="16"/>
      <c r="B345" s="16"/>
      <c r="C345" s="16"/>
      <c r="D345" s="17"/>
      <c r="E345" s="16"/>
      <c r="F345" s="16"/>
      <c r="G345" s="16"/>
    </row>
    <row r="346" customFormat="false" ht="15" hidden="false" customHeight="false" outlineLevel="0" collapsed="false">
      <c r="A346" s="16"/>
      <c r="B346" s="16"/>
      <c r="C346" s="16"/>
      <c r="D346" s="17"/>
      <c r="E346" s="16"/>
      <c r="F346" s="16"/>
      <c r="G346" s="16"/>
    </row>
    <row r="347" customFormat="false" ht="15" hidden="false" customHeight="false" outlineLevel="0" collapsed="false">
      <c r="A347" s="16"/>
      <c r="B347" s="16"/>
      <c r="C347" s="16"/>
      <c r="D347" s="17"/>
      <c r="E347" s="16"/>
      <c r="F347" s="16"/>
      <c r="G347" s="16"/>
    </row>
    <row r="348" customFormat="false" ht="15" hidden="false" customHeight="false" outlineLevel="0" collapsed="false">
      <c r="A348" s="16"/>
      <c r="B348" s="16"/>
      <c r="C348" s="16"/>
      <c r="D348" s="17"/>
      <c r="E348" s="16"/>
      <c r="F348" s="16"/>
      <c r="G348" s="16"/>
    </row>
    <row r="349" customFormat="false" ht="15" hidden="false" customHeight="false" outlineLevel="0" collapsed="false">
      <c r="A349" s="16"/>
      <c r="B349" s="16"/>
      <c r="C349" s="16"/>
      <c r="D349" s="17"/>
      <c r="E349" s="16"/>
      <c r="F349" s="16"/>
      <c r="G349" s="16"/>
    </row>
    <row r="350" customFormat="false" ht="15" hidden="false" customHeight="false" outlineLevel="0" collapsed="false">
      <c r="A350" s="16"/>
      <c r="B350" s="16"/>
      <c r="C350" s="16"/>
      <c r="D350" s="17"/>
      <c r="E350" s="16"/>
      <c r="F350" s="16"/>
      <c r="G350" s="16"/>
    </row>
    <row r="351" customFormat="false" ht="15" hidden="false" customHeight="false" outlineLevel="0" collapsed="false">
      <c r="A351" s="16"/>
      <c r="B351" s="16"/>
      <c r="C351" s="16"/>
      <c r="D351" s="17"/>
      <c r="E351" s="16"/>
      <c r="F351" s="16"/>
      <c r="G351" s="16"/>
    </row>
    <row r="352" customFormat="false" ht="15" hidden="false" customHeight="false" outlineLevel="0" collapsed="false">
      <c r="A352" s="16"/>
      <c r="B352" s="16"/>
      <c r="C352" s="16"/>
      <c r="D352" s="17"/>
      <c r="E352" s="16"/>
      <c r="F352" s="16"/>
      <c r="G352" s="16"/>
    </row>
    <row r="353" customFormat="false" ht="15" hidden="false" customHeight="false" outlineLevel="0" collapsed="false">
      <c r="A353" s="16"/>
      <c r="B353" s="16"/>
      <c r="C353" s="16"/>
      <c r="D353" s="17"/>
      <c r="E353" s="16"/>
      <c r="F353" s="16"/>
      <c r="G353" s="16"/>
    </row>
    <row r="354" customFormat="false" ht="15" hidden="false" customHeight="false" outlineLevel="0" collapsed="false">
      <c r="A354" s="16"/>
      <c r="B354" s="16"/>
      <c r="C354" s="16"/>
      <c r="D354" s="17"/>
      <c r="E354" s="16"/>
      <c r="F354" s="16"/>
      <c r="G354" s="16"/>
    </row>
    <row r="355" customFormat="false" ht="15" hidden="false" customHeight="false" outlineLevel="0" collapsed="false">
      <c r="A355" s="16"/>
      <c r="B355" s="16"/>
      <c r="C355" s="16"/>
      <c r="D355" s="17"/>
      <c r="E355" s="16"/>
      <c r="F355" s="16"/>
      <c r="G355" s="16"/>
    </row>
    <row r="356" customFormat="false" ht="15" hidden="false" customHeight="false" outlineLevel="0" collapsed="false">
      <c r="A356" s="16"/>
      <c r="B356" s="16"/>
      <c r="C356" s="16"/>
      <c r="D356" s="17"/>
      <c r="E356" s="16"/>
      <c r="F356" s="16"/>
      <c r="G356" s="16"/>
    </row>
    <row r="357" customFormat="false" ht="15" hidden="false" customHeight="false" outlineLevel="0" collapsed="false">
      <c r="A357" s="16"/>
      <c r="B357" s="16"/>
      <c r="C357" s="16"/>
      <c r="D357" s="17"/>
      <c r="E357" s="16"/>
      <c r="F357" s="16"/>
      <c r="G357" s="16"/>
    </row>
    <row r="358" customFormat="false" ht="15" hidden="false" customHeight="false" outlineLevel="0" collapsed="false">
      <c r="A358" s="16"/>
      <c r="B358" s="16"/>
      <c r="C358" s="16"/>
      <c r="D358" s="17"/>
      <c r="E358" s="16"/>
      <c r="F358" s="16"/>
      <c r="G358" s="16"/>
    </row>
    <row r="359" customFormat="false" ht="15" hidden="false" customHeight="false" outlineLevel="0" collapsed="false">
      <c r="A359" s="16"/>
      <c r="B359" s="16"/>
      <c r="C359" s="16"/>
      <c r="D359" s="17"/>
      <c r="E359" s="16"/>
      <c r="F359" s="16"/>
      <c r="G359" s="16"/>
    </row>
    <row r="360" customFormat="false" ht="15" hidden="false" customHeight="false" outlineLevel="0" collapsed="false">
      <c r="A360" s="16"/>
      <c r="B360" s="16"/>
      <c r="C360" s="16"/>
      <c r="D360" s="17"/>
      <c r="E360" s="16"/>
      <c r="F360" s="16"/>
      <c r="G360" s="16"/>
    </row>
    <row r="361" customFormat="false" ht="15" hidden="false" customHeight="false" outlineLevel="0" collapsed="false">
      <c r="A361" s="16"/>
      <c r="B361" s="16"/>
      <c r="C361" s="16"/>
      <c r="D361" s="17"/>
      <c r="E361" s="16"/>
      <c r="F361" s="16"/>
      <c r="G361" s="16"/>
    </row>
    <row r="362" customFormat="false" ht="15" hidden="false" customHeight="false" outlineLevel="0" collapsed="false">
      <c r="A362" s="16"/>
      <c r="B362" s="16"/>
      <c r="C362" s="16"/>
      <c r="D362" s="17"/>
      <c r="E362" s="16"/>
      <c r="F362" s="16"/>
      <c r="G362" s="16"/>
    </row>
    <row r="363" customFormat="false" ht="15" hidden="false" customHeight="false" outlineLevel="0" collapsed="false">
      <c r="A363" s="16"/>
      <c r="B363" s="16"/>
      <c r="C363" s="16"/>
      <c r="D363" s="17"/>
      <c r="E363" s="16"/>
      <c r="F363" s="16"/>
      <c r="G363" s="16"/>
    </row>
    <row r="364" customFormat="false" ht="15" hidden="false" customHeight="false" outlineLevel="0" collapsed="false">
      <c r="A364" s="16"/>
      <c r="B364" s="16"/>
      <c r="C364" s="16"/>
      <c r="D364" s="17"/>
      <c r="E364" s="16"/>
      <c r="F364" s="16"/>
      <c r="G364" s="16"/>
    </row>
    <row r="365" customFormat="false" ht="15" hidden="false" customHeight="false" outlineLevel="0" collapsed="false">
      <c r="A365" s="16"/>
      <c r="B365" s="16"/>
      <c r="C365" s="16"/>
      <c r="D365" s="17"/>
      <c r="E365" s="16"/>
      <c r="F365" s="16"/>
      <c r="G365" s="16"/>
    </row>
    <row r="366" customFormat="false" ht="15" hidden="false" customHeight="false" outlineLevel="0" collapsed="false">
      <c r="A366" s="16"/>
      <c r="B366" s="16"/>
      <c r="C366" s="16"/>
      <c r="D366" s="17"/>
      <c r="E366" s="16"/>
      <c r="F366" s="16"/>
      <c r="G366" s="16"/>
    </row>
    <row r="367" customFormat="false" ht="15" hidden="false" customHeight="false" outlineLevel="0" collapsed="false">
      <c r="A367" s="16"/>
      <c r="B367" s="16"/>
      <c r="C367" s="16"/>
      <c r="D367" s="17"/>
      <c r="E367" s="16"/>
      <c r="F367" s="16"/>
      <c r="G367" s="16"/>
    </row>
    <row r="368" customFormat="false" ht="15" hidden="false" customHeight="false" outlineLevel="0" collapsed="false">
      <c r="A368" s="16"/>
      <c r="B368" s="16"/>
      <c r="C368" s="16"/>
      <c r="D368" s="17"/>
      <c r="E368" s="16"/>
      <c r="F368" s="16"/>
      <c r="G368" s="16"/>
    </row>
    <row r="369" customFormat="false" ht="15" hidden="false" customHeight="false" outlineLevel="0" collapsed="false">
      <c r="A369" s="16"/>
      <c r="B369" s="16"/>
      <c r="C369" s="16"/>
      <c r="D369" s="17"/>
      <c r="E369" s="16"/>
      <c r="F369" s="16"/>
      <c r="G369" s="16"/>
    </row>
    <row r="370" customFormat="false" ht="15" hidden="false" customHeight="false" outlineLevel="0" collapsed="false">
      <c r="A370" s="16"/>
      <c r="B370" s="16"/>
      <c r="C370" s="16"/>
      <c r="D370" s="17"/>
      <c r="E370" s="16"/>
      <c r="F370" s="16"/>
      <c r="G370" s="16"/>
    </row>
    <row r="371" customFormat="false" ht="15" hidden="false" customHeight="false" outlineLevel="0" collapsed="false">
      <c r="A371" s="16"/>
      <c r="B371" s="16"/>
      <c r="C371" s="16"/>
      <c r="D371" s="17"/>
      <c r="E371" s="16"/>
      <c r="F371" s="16"/>
      <c r="G371" s="16"/>
    </row>
    <row r="372" customFormat="false" ht="15" hidden="false" customHeight="false" outlineLevel="0" collapsed="false">
      <c r="A372" s="16"/>
      <c r="B372" s="16"/>
      <c r="C372" s="16"/>
      <c r="D372" s="17"/>
      <c r="E372" s="16"/>
      <c r="F372" s="16"/>
      <c r="G372" s="16"/>
    </row>
    <row r="373" customFormat="false" ht="15" hidden="false" customHeight="false" outlineLevel="0" collapsed="false">
      <c r="A373" s="16"/>
      <c r="B373" s="16"/>
      <c r="C373" s="16"/>
      <c r="D373" s="17"/>
      <c r="E373" s="16"/>
      <c r="F373" s="16"/>
      <c r="G373" s="16"/>
    </row>
    <row r="374" customFormat="false" ht="15" hidden="false" customHeight="false" outlineLevel="0" collapsed="false">
      <c r="A374" s="16"/>
      <c r="B374" s="16"/>
      <c r="C374" s="16"/>
      <c r="D374" s="17"/>
      <c r="E374" s="16"/>
      <c r="F374" s="16"/>
      <c r="G374" s="16"/>
    </row>
    <row r="375" customFormat="false" ht="15" hidden="false" customHeight="false" outlineLevel="0" collapsed="false">
      <c r="A375" s="16"/>
      <c r="B375" s="16"/>
      <c r="C375" s="16"/>
      <c r="D375" s="17"/>
      <c r="E375" s="16"/>
      <c r="F375" s="16"/>
      <c r="G375" s="16"/>
    </row>
    <row r="376" customFormat="false" ht="15" hidden="false" customHeight="false" outlineLevel="0" collapsed="false">
      <c r="A376" s="16"/>
      <c r="B376" s="16"/>
      <c r="C376" s="16"/>
      <c r="D376" s="17"/>
      <c r="E376" s="16"/>
      <c r="F376" s="16"/>
      <c r="G376" s="16"/>
    </row>
    <row r="377" customFormat="false" ht="15" hidden="false" customHeight="false" outlineLevel="0" collapsed="false">
      <c r="A377" s="16"/>
      <c r="B377" s="16"/>
      <c r="C377" s="16"/>
      <c r="D377" s="17"/>
      <c r="E377" s="16"/>
      <c r="F377" s="16"/>
      <c r="G377" s="16"/>
    </row>
    <row r="378" customFormat="false" ht="15" hidden="false" customHeight="false" outlineLevel="0" collapsed="false">
      <c r="A378" s="16"/>
      <c r="B378" s="16"/>
      <c r="C378" s="16"/>
      <c r="D378" s="17"/>
      <c r="E378" s="16"/>
      <c r="F378" s="16"/>
      <c r="G378" s="16"/>
    </row>
    <row r="379" customFormat="false" ht="15" hidden="false" customHeight="false" outlineLevel="0" collapsed="false">
      <c r="A379" s="16"/>
      <c r="B379" s="16"/>
      <c r="C379" s="16"/>
      <c r="D379" s="17"/>
      <c r="E379" s="16"/>
      <c r="F379" s="16"/>
      <c r="G379" s="16"/>
    </row>
    <row r="380" customFormat="false" ht="15" hidden="false" customHeight="false" outlineLevel="0" collapsed="false">
      <c r="A380" s="16"/>
      <c r="B380" s="16"/>
      <c r="C380" s="16"/>
      <c r="D380" s="17"/>
      <c r="E380" s="16"/>
      <c r="F380" s="16"/>
      <c r="G380" s="16"/>
    </row>
    <row r="381" customFormat="false" ht="15" hidden="false" customHeight="false" outlineLevel="0" collapsed="false">
      <c r="A381" s="16"/>
      <c r="B381" s="16"/>
      <c r="C381" s="16"/>
      <c r="D381" s="17"/>
      <c r="E381" s="16"/>
      <c r="F381" s="16"/>
      <c r="G381" s="16"/>
    </row>
    <row r="382" customFormat="false" ht="15" hidden="false" customHeight="false" outlineLevel="0" collapsed="false">
      <c r="A382" s="16"/>
      <c r="B382" s="16"/>
      <c r="C382" s="16"/>
      <c r="D382" s="17"/>
      <c r="E382" s="16"/>
      <c r="F382" s="16"/>
      <c r="G382" s="16"/>
    </row>
    <row r="383" customFormat="false" ht="15" hidden="false" customHeight="false" outlineLevel="0" collapsed="false">
      <c r="A383" s="16"/>
      <c r="B383" s="16"/>
      <c r="C383" s="16"/>
      <c r="D383" s="17"/>
      <c r="E383" s="16"/>
      <c r="F383" s="16"/>
      <c r="G383" s="16"/>
    </row>
    <row r="384" customFormat="false" ht="15" hidden="false" customHeight="false" outlineLevel="0" collapsed="false">
      <c r="A384" s="16"/>
      <c r="B384" s="16"/>
      <c r="C384" s="16"/>
      <c r="D384" s="17"/>
      <c r="E384" s="16"/>
      <c r="F384" s="16"/>
      <c r="G384" s="16"/>
    </row>
    <row r="385" customFormat="false" ht="15" hidden="false" customHeight="false" outlineLevel="0" collapsed="false">
      <c r="A385" s="16"/>
      <c r="B385" s="16"/>
      <c r="C385" s="16"/>
      <c r="D385" s="17"/>
      <c r="E385" s="16"/>
      <c r="F385" s="16"/>
      <c r="G385" s="16"/>
    </row>
    <row r="386" customFormat="false" ht="15" hidden="false" customHeight="false" outlineLevel="0" collapsed="false">
      <c r="A386" s="16"/>
      <c r="B386" s="16"/>
      <c r="C386" s="16"/>
      <c r="D386" s="17"/>
      <c r="E386" s="16"/>
      <c r="F386" s="16"/>
      <c r="G386" s="16"/>
    </row>
    <row r="387" customFormat="false" ht="15" hidden="false" customHeight="false" outlineLevel="0" collapsed="false">
      <c r="A387" s="16"/>
      <c r="B387" s="16"/>
      <c r="C387" s="16"/>
      <c r="D387" s="17"/>
      <c r="E387" s="16"/>
      <c r="F387" s="16"/>
      <c r="G387" s="16"/>
    </row>
    <row r="388" customFormat="false" ht="15" hidden="false" customHeight="false" outlineLevel="0" collapsed="false">
      <c r="A388" s="16"/>
      <c r="B388" s="16"/>
      <c r="C388" s="16"/>
      <c r="D388" s="17"/>
      <c r="E388" s="16"/>
      <c r="F388" s="16"/>
      <c r="G388" s="16"/>
    </row>
    <row r="389" customFormat="false" ht="15" hidden="false" customHeight="false" outlineLevel="0" collapsed="false">
      <c r="A389" s="16"/>
      <c r="B389" s="16"/>
      <c r="C389" s="16"/>
      <c r="D389" s="17"/>
      <c r="E389" s="16"/>
      <c r="F389" s="16"/>
      <c r="G389" s="16"/>
    </row>
    <row r="390" customFormat="false" ht="15" hidden="false" customHeight="false" outlineLevel="0" collapsed="false">
      <c r="A390" s="16"/>
      <c r="B390" s="16"/>
      <c r="C390" s="16"/>
      <c r="D390" s="17"/>
      <c r="E390" s="16"/>
      <c r="F390" s="16"/>
      <c r="G390" s="16"/>
    </row>
    <row r="391" customFormat="false" ht="15" hidden="false" customHeight="false" outlineLevel="0" collapsed="false">
      <c r="A391" s="16"/>
      <c r="B391" s="16"/>
      <c r="C391" s="16"/>
      <c r="D391" s="17"/>
      <c r="E391" s="16"/>
      <c r="F391" s="16"/>
      <c r="G391" s="16"/>
    </row>
    <row r="392" customFormat="false" ht="15" hidden="false" customHeight="false" outlineLevel="0" collapsed="false">
      <c r="A392" s="16"/>
      <c r="B392" s="16"/>
      <c r="C392" s="16"/>
      <c r="D392" s="17"/>
      <c r="E392" s="16"/>
      <c r="F392" s="16"/>
      <c r="G392" s="16"/>
    </row>
    <row r="393" customFormat="false" ht="15" hidden="false" customHeight="false" outlineLevel="0" collapsed="false">
      <c r="A393" s="16"/>
      <c r="B393" s="16"/>
      <c r="C393" s="16"/>
      <c r="D393" s="17"/>
      <c r="E393" s="16"/>
      <c r="F393" s="16"/>
      <c r="G393" s="16"/>
    </row>
    <row r="394" customFormat="false" ht="15" hidden="false" customHeight="false" outlineLevel="0" collapsed="false">
      <c r="A394" s="16"/>
      <c r="B394" s="16"/>
      <c r="C394" s="16"/>
      <c r="D394" s="17"/>
      <c r="E394" s="16"/>
      <c r="F394" s="16"/>
      <c r="G394" s="16"/>
    </row>
    <row r="395" customFormat="false" ht="15" hidden="false" customHeight="false" outlineLevel="0" collapsed="false">
      <c r="A395" s="16"/>
      <c r="B395" s="16"/>
      <c r="C395" s="16"/>
      <c r="D395" s="17"/>
      <c r="E395" s="16"/>
      <c r="F395" s="16"/>
      <c r="G395" s="16"/>
    </row>
    <row r="396" customFormat="false" ht="15" hidden="false" customHeight="false" outlineLevel="0" collapsed="false">
      <c r="A396" s="16"/>
      <c r="B396" s="16"/>
      <c r="C396" s="16"/>
      <c r="D396" s="17"/>
      <c r="E396" s="16"/>
      <c r="F396" s="16"/>
      <c r="G396" s="16"/>
    </row>
    <row r="397" customFormat="false" ht="15" hidden="false" customHeight="false" outlineLevel="0" collapsed="false">
      <c r="A397" s="16"/>
      <c r="B397" s="16"/>
      <c r="C397" s="16"/>
      <c r="D397" s="17"/>
      <c r="E397" s="16"/>
      <c r="F397" s="16"/>
      <c r="G397" s="16"/>
    </row>
    <row r="398" customFormat="false" ht="15" hidden="false" customHeight="false" outlineLevel="0" collapsed="false">
      <c r="A398" s="16"/>
      <c r="B398" s="16"/>
      <c r="C398" s="16"/>
      <c r="D398" s="17"/>
      <c r="E398" s="16"/>
      <c r="F398" s="16"/>
      <c r="G398" s="16"/>
    </row>
    <row r="399" customFormat="false" ht="15" hidden="false" customHeight="false" outlineLevel="0" collapsed="false">
      <c r="A399" s="16"/>
      <c r="B399" s="16"/>
      <c r="C399" s="16"/>
      <c r="D399" s="17"/>
      <c r="E399" s="16"/>
      <c r="F399" s="16"/>
      <c r="G399" s="16"/>
    </row>
    <row r="400" customFormat="false" ht="15" hidden="false" customHeight="false" outlineLevel="0" collapsed="false">
      <c r="A400" s="16"/>
      <c r="B400" s="16"/>
      <c r="C400" s="16"/>
      <c r="D400" s="17"/>
      <c r="E400" s="16"/>
      <c r="F400" s="16"/>
      <c r="G400" s="16"/>
    </row>
    <row r="401" customFormat="false" ht="15" hidden="false" customHeight="false" outlineLevel="0" collapsed="false">
      <c r="A401" s="16"/>
      <c r="B401" s="16"/>
      <c r="C401" s="16"/>
      <c r="D401" s="17"/>
      <c r="E401" s="16"/>
      <c r="F401" s="16"/>
      <c r="G401" s="16"/>
    </row>
    <row r="402" customFormat="false" ht="15" hidden="false" customHeight="false" outlineLevel="0" collapsed="false">
      <c r="A402" s="16"/>
      <c r="B402" s="16"/>
      <c r="C402" s="16"/>
      <c r="D402" s="17"/>
      <c r="E402" s="16"/>
      <c r="F402" s="16"/>
      <c r="G402" s="16"/>
    </row>
    <row r="403" customFormat="false" ht="15" hidden="false" customHeight="false" outlineLevel="0" collapsed="false">
      <c r="A403" s="16"/>
      <c r="B403" s="16"/>
      <c r="C403" s="16"/>
      <c r="D403" s="17"/>
      <c r="E403" s="16"/>
      <c r="F403" s="16"/>
      <c r="G403" s="16"/>
    </row>
    <row r="404" customFormat="false" ht="15" hidden="false" customHeight="false" outlineLevel="0" collapsed="false">
      <c r="A404" s="16"/>
      <c r="B404" s="16"/>
      <c r="C404" s="16"/>
      <c r="D404" s="17"/>
      <c r="E404" s="16"/>
      <c r="F404" s="16"/>
      <c r="G404" s="16"/>
    </row>
    <row r="405" customFormat="false" ht="15" hidden="false" customHeight="false" outlineLevel="0" collapsed="false">
      <c r="D405" s="20"/>
    </row>
    <row r="406" customFormat="false" ht="15" hidden="false" customHeight="false" outlineLevel="0" collapsed="false">
      <c r="D406" s="20"/>
    </row>
    <row r="407" customFormat="false" ht="15" hidden="false" customHeight="false" outlineLevel="0" collapsed="false">
      <c r="D407" s="20"/>
    </row>
    <row r="408" customFormat="false" ht="15" hidden="false" customHeight="false" outlineLevel="0" collapsed="false">
      <c r="D408" s="20"/>
    </row>
    <row r="409" customFormat="false" ht="15" hidden="false" customHeight="false" outlineLevel="0" collapsed="false">
      <c r="D409" s="20"/>
    </row>
    <row r="410" customFormat="false" ht="15" hidden="false" customHeight="false" outlineLevel="0" collapsed="false">
      <c r="D410" s="20"/>
    </row>
    <row r="411" customFormat="false" ht="15" hidden="false" customHeight="false" outlineLevel="0" collapsed="false">
      <c r="D411" s="20"/>
    </row>
    <row r="412" customFormat="false" ht="15" hidden="false" customHeight="false" outlineLevel="0" collapsed="false">
      <c r="D412" s="20"/>
    </row>
    <row r="413" customFormat="false" ht="15" hidden="false" customHeight="false" outlineLevel="0" collapsed="false">
      <c r="D413" s="20"/>
    </row>
    <row r="414" customFormat="false" ht="15" hidden="false" customHeight="false" outlineLevel="0" collapsed="false">
      <c r="D414" s="20"/>
    </row>
    <row r="415" customFormat="false" ht="15" hidden="false" customHeight="false" outlineLevel="0" collapsed="false">
      <c r="D415" s="20"/>
    </row>
    <row r="416" customFormat="false" ht="15" hidden="false" customHeight="false" outlineLevel="0" collapsed="false">
      <c r="D416" s="20"/>
    </row>
    <row r="417" customFormat="false" ht="15" hidden="false" customHeight="false" outlineLevel="0" collapsed="false">
      <c r="D417" s="20"/>
    </row>
    <row r="418" customFormat="false" ht="15" hidden="false" customHeight="false" outlineLevel="0" collapsed="false">
      <c r="D418" s="20"/>
    </row>
    <row r="419" customFormat="false" ht="15" hidden="false" customHeight="false" outlineLevel="0" collapsed="false">
      <c r="D419" s="20"/>
    </row>
    <row r="420" customFormat="false" ht="15" hidden="false" customHeight="false" outlineLevel="0" collapsed="false">
      <c r="D420" s="20"/>
    </row>
    <row r="421" customFormat="false" ht="15" hidden="false" customHeight="false" outlineLevel="0" collapsed="false">
      <c r="D421" s="20"/>
    </row>
    <row r="422" customFormat="false" ht="15" hidden="false" customHeight="false" outlineLevel="0" collapsed="false">
      <c r="D422" s="20"/>
    </row>
    <row r="423" customFormat="false" ht="15" hidden="false" customHeight="false" outlineLevel="0" collapsed="false">
      <c r="D423" s="20"/>
    </row>
    <row r="424" customFormat="false" ht="15" hidden="false" customHeight="false" outlineLevel="0" collapsed="false">
      <c r="D424" s="20"/>
    </row>
    <row r="425" customFormat="false" ht="15" hidden="false" customHeight="false" outlineLevel="0" collapsed="false">
      <c r="D425" s="20"/>
    </row>
    <row r="426" customFormat="false" ht="15" hidden="false" customHeight="false" outlineLevel="0" collapsed="false">
      <c r="D426" s="20"/>
    </row>
    <row r="427" customFormat="false" ht="15" hidden="false" customHeight="false" outlineLevel="0" collapsed="false">
      <c r="D427" s="20"/>
    </row>
    <row r="428" customFormat="false" ht="15" hidden="false" customHeight="false" outlineLevel="0" collapsed="false">
      <c r="D428" s="20"/>
    </row>
    <row r="429" customFormat="false" ht="15" hidden="false" customHeight="false" outlineLevel="0" collapsed="false">
      <c r="D429" s="20"/>
    </row>
    <row r="430" customFormat="false" ht="15" hidden="false" customHeight="false" outlineLevel="0" collapsed="false">
      <c r="D430" s="20"/>
    </row>
    <row r="431" customFormat="false" ht="15" hidden="false" customHeight="false" outlineLevel="0" collapsed="false">
      <c r="D431" s="20"/>
    </row>
    <row r="432" customFormat="false" ht="15" hidden="false" customHeight="false" outlineLevel="0" collapsed="false">
      <c r="D432" s="20"/>
    </row>
    <row r="433" customFormat="false" ht="15" hidden="false" customHeight="false" outlineLevel="0" collapsed="false">
      <c r="D433" s="20"/>
    </row>
    <row r="434" customFormat="false" ht="15" hidden="false" customHeight="false" outlineLevel="0" collapsed="false">
      <c r="D434" s="20"/>
    </row>
    <row r="435" customFormat="false" ht="15" hidden="false" customHeight="false" outlineLevel="0" collapsed="false">
      <c r="D435" s="20"/>
    </row>
    <row r="436" customFormat="false" ht="15" hidden="false" customHeight="false" outlineLevel="0" collapsed="false">
      <c r="D436" s="20"/>
    </row>
    <row r="437" customFormat="false" ht="15" hidden="false" customHeight="false" outlineLevel="0" collapsed="false">
      <c r="D437" s="20"/>
    </row>
    <row r="438" customFormat="false" ht="15" hidden="false" customHeight="false" outlineLevel="0" collapsed="false">
      <c r="D438" s="20"/>
    </row>
    <row r="439" customFormat="false" ht="15" hidden="false" customHeight="false" outlineLevel="0" collapsed="false">
      <c r="D439" s="20"/>
    </row>
    <row r="440" customFormat="false" ht="15" hidden="false" customHeight="false" outlineLevel="0" collapsed="false">
      <c r="D440" s="20"/>
    </row>
    <row r="441" customFormat="false" ht="15" hidden="false" customHeight="false" outlineLevel="0" collapsed="false">
      <c r="D441" s="20"/>
    </row>
    <row r="442" customFormat="false" ht="15" hidden="false" customHeight="false" outlineLevel="0" collapsed="false">
      <c r="D442" s="20"/>
    </row>
    <row r="443" customFormat="false" ht="15" hidden="false" customHeight="false" outlineLevel="0" collapsed="false">
      <c r="D443" s="20"/>
    </row>
    <row r="444" customFormat="false" ht="15" hidden="false" customHeight="false" outlineLevel="0" collapsed="false">
      <c r="D444" s="20"/>
    </row>
    <row r="445" customFormat="false" ht="15" hidden="false" customHeight="false" outlineLevel="0" collapsed="false">
      <c r="D445" s="20"/>
    </row>
    <row r="446" customFormat="false" ht="15" hidden="false" customHeight="false" outlineLevel="0" collapsed="false">
      <c r="D446" s="20"/>
    </row>
    <row r="447" customFormat="false" ht="15" hidden="false" customHeight="false" outlineLevel="0" collapsed="false">
      <c r="D447" s="20"/>
    </row>
    <row r="448" customFormat="false" ht="15" hidden="false" customHeight="false" outlineLevel="0" collapsed="false">
      <c r="D448" s="20"/>
    </row>
    <row r="449" customFormat="false" ht="15" hidden="false" customHeight="false" outlineLevel="0" collapsed="false">
      <c r="D449" s="20"/>
    </row>
    <row r="450" customFormat="false" ht="15" hidden="false" customHeight="false" outlineLevel="0" collapsed="false">
      <c r="D450" s="20"/>
    </row>
    <row r="451" customFormat="false" ht="15" hidden="false" customHeight="false" outlineLevel="0" collapsed="false">
      <c r="D451" s="20"/>
    </row>
    <row r="452" customFormat="false" ht="15" hidden="false" customHeight="false" outlineLevel="0" collapsed="false">
      <c r="D452" s="20"/>
    </row>
    <row r="453" customFormat="false" ht="15" hidden="false" customHeight="false" outlineLevel="0" collapsed="false">
      <c r="D453" s="20"/>
    </row>
    <row r="454" customFormat="false" ht="15" hidden="false" customHeight="false" outlineLevel="0" collapsed="false">
      <c r="D454" s="20"/>
    </row>
    <row r="455" customFormat="false" ht="15" hidden="false" customHeight="false" outlineLevel="0" collapsed="false">
      <c r="D455" s="20"/>
    </row>
    <row r="456" customFormat="false" ht="15" hidden="false" customHeight="false" outlineLevel="0" collapsed="false">
      <c r="D456" s="20"/>
    </row>
    <row r="457" customFormat="false" ht="15" hidden="false" customHeight="false" outlineLevel="0" collapsed="false">
      <c r="D457" s="20"/>
    </row>
    <row r="458" customFormat="false" ht="15" hidden="false" customHeight="false" outlineLevel="0" collapsed="false">
      <c r="D458" s="20"/>
    </row>
    <row r="459" customFormat="false" ht="15" hidden="false" customHeight="false" outlineLevel="0" collapsed="false">
      <c r="D459" s="20"/>
    </row>
    <row r="460" customFormat="false" ht="15" hidden="false" customHeight="false" outlineLevel="0" collapsed="false">
      <c r="D460" s="20"/>
    </row>
    <row r="461" customFormat="false" ht="15" hidden="false" customHeight="false" outlineLevel="0" collapsed="false">
      <c r="D461" s="20"/>
    </row>
    <row r="462" customFormat="false" ht="15" hidden="false" customHeight="false" outlineLevel="0" collapsed="false">
      <c r="D462" s="20"/>
    </row>
    <row r="463" customFormat="false" ht="15" hidden="false" customHeight="false" outlineLevel="0" collapsed="false">
      <c r="D463" s="20"/>
    </row>
    <row r="464" customFormat="false" ht="15" hidden="false" customHeight="false" outlineLevel="0" collapsed="false">
      <c r="D464" s="20"/>
    </row>
    <row r="465" customFormat="false" ht="15" hidden="false" customHeight="false" outlineLevel="0" collapsed="false">
      <c r="D465" s="20"/>
    </row>
    <row r="466" customFormat="false" ht="15" hidden="false" customHeight="false" outlineLevel="0" collapsed="false">
      <c r="D466" s="20"/>
    </row>
    <row r="467" customFormat="false" ht="15" hidden="false" customHeight="false" outlineLevel="0" collapsed="false">
      <c r="D467" s="20"/>
    </row>
    <row r="468" customFormat="false" ht="15" hidden="false" customHeight="false" outlineLevel="0" collapsed="false">
      <c r="D468" s="20"/>
    </row>
    <row r="469" customFormat="false" ht="15" hidden="false" customHeight="false" outlineLevel="0" collapsed="false">
      <c r="D469" s="20"/>
    </row>
    <row r="470" customFormat="false" ht="15" hidden="false" customHeight="false" outlineLevel="0" collapsed="false">
      <c r="D470" s="20"/>
    </row>
    <row r="471" customFormat="false" ht="15" hidden="false" customHeight="false" outlineLevel="0" collapsed="false">
      <c r="D471" s="20"/>
    </row>
    <row r="472" customFormat="false" ht="15" hidden="false" customHeight="false" outlineLevel="0" collapsed="false">
      <c r="D472" s="20"/>
    </row>
    <row r="473" customFormat="false" ht="15" hidden="false" customHeight="false" outlineLevel="0" collapsed="false">
      <c r="D473" s="20"/>
    </row>
    <row r="474" customFormat="false" ht="15" hidden="false" customHeight="false" outlineLevel="0" collapsed="false">
      <c r="D474" s="20"/>
    </row>
    <row r="475" customFormat="false" ht="15" hidden="false" customHeight="false" outlineLevel="0" collapsed="false">
      <c r="D475" s="20"/>
    </row>
    <row r="476" customFormat="false" ht="15" hidden="false" customHeight="false" outlineLevel="0" collapsed="false">
      <c r="D476" s="20"/>
    </row>
    <row r="477" customFormat="false" ht="15" hidden="false" customHeight="false" outlineLevel="0" collapsed="false">
      <c r="D477" s="20"/>
    </row>
    <row r="478" customFormat="false" ht="15" hidden="false" customHeight="false" outlineLevel="0" collapsed="false">
      <c r="D478" s="20"/>
    </row>
    <row r="479" customFormat="false" ht="15" hidden="false" customHeight="false" outlineLevel="0" collapsed="false">
      <c r="D479" s="20"/>
    </row>
    <row r="480" customFormat="false" ht="15" hidden="false" customHeight="false" outlineLevel="0" collapsed="false">
      <c r="D480" s="20"/>
    </row>
    <row r="481" customFormat="false" ht="15" hidden="false" customHeight="false" outlineLevel="0" collapsed="false">
      <c r="D481" s="20"/>
    </row>
    <row r="482" customFormat="false" ht="15" hidden="false" customHeight="false" outlineLevel="0" collapsed="false">
      <c r="D482" s="20"/>
    </row>
    <row r="483" customFormat="false" ht="15" hidden="false" customHeight="false" outlineLevel="0" collapsed="false">
      <c r="D483" s="20"/>
    </row>
    <row r="484" customFormat="false" ht="15" hidden="false" customHeight="false" outlineLevel="0" collapsed="false">
      <c r="D484" s="20"/>
    </row>
    <row r="485" customFormat="false" ht="15" hidden="false" customHeight="false" outlineLevel="0" collapsed="false">
      <c r="D485" s="20"/>
    </row>
    <row r="486" customFormat="false" ht="15" hidden="false" customHeight="false" outlineLevel="0" collapsed="false">
      <c r="D486" s="20"/>
    </row>
    <row r="487" customFormat="false" ht="15" hidden="false" customHeight="false" outlineLevel="0" collapsed="false">
      <c r="D487" s="20"/>
    </row>
    <row r="488" customFormat="false" ht="15" hidden="false" customHeight="false" outlineLevel="0" collapsed="false">
      <c r="D488" s="20"/>
    </row>
    <row r="489" customFormat="false" ht="15" hidden="false" customHeight="false" outlineLevel="0" collapsed="false">
      <c r="D489" s="20"/>
    </row>
    <row r="490" customFormat="false" ht="15" hidden="false" customHeight="false" outlineLevel="0" collapsed="false">
      <c r="D490" s="20"/>
    </row>
    <row r="491" customFormat="false" ht="15" hidden="false" customHeight="false" outlineLevel="0" collapsed="false">
      <c r="D491" s="20"/>
    </row>
    <row r="492" customFormat="false" ht="15" hidden="false" customHeight="false" outlineLevel="0" collapsed="false">
      <c r="D492" s="20"/>
    </row>
    <row r="493" customFormat="false" ht="15" hidden="false" customHeight="false" outlineLevel="0" collapsed="false">
      <c r="D493" s="20"/>
    </row>
    <row r="494" customFormat="false" ht="15" hidden="false" customHeight="false" outlineLevel="0" collapsed="false">
      <c r="D494" s="20"/>
    </row>
    <row r="495" customFormat="false" ht="15" hidden="false" customHeight="false" outlineLevel="0" collapsed="false">
      <c r="D495" s="20"/>
    </row>
    <row r="496" customFormat="false" ht="15" hidden="false" customHeight="false" outlineLevel="0" collapsed="false">
      <c r="D496" s="20"/>
    </row>
    <row r="497" customFormat="false" ht="15" hidden="false" customHeight="false" outlineLevel="0" collapsed="false">
      <c r="D497" s="20"/>
    </row>
    <row r="498" customFormat="false" ht="15" hidden="false" customHeight="false" outlineLevel="0" collapsed="false">
      <c r="D498" s="20"/>
    </row>
    <row r="499" customFormat="false" ht="15" hidden="false" customHeight="false" outlineLevel="0" collapsed="false">
      <c r="D499" s="20"/>
    </row>
    <row r="500" customFormat="false" ht="15" hidden="false" customHeight="false" outlineLevel="0" collapsed="false">
      <c r="D500" s="20"/>
    </row>
    <row r="501" customFormat="false" ht="15" hidden="false" customHeight="false" outlineLevel="0" collapsed="false">
      <c r="D501" s="20"/>
    </row>
    <row r="502" customFormat="false" ht="15" hidden="false" customHeight="false" outlineLevel="0" collapsed="false">
      <c r="D502" s="20"/>
    </row>
    <row r="503" customFormat="false" ht="15" hidden="false" customHeight="false" outlineLevel="0" collapsed="false">
      <c r="D503" s="20"/>
    </row>
    <row r="504" customFormat="false" ht="15" hidden="false" customHeight="false" outlineLevel="0" collapsed="false">
      <c r="D504" s="20"/>
    </row>
    <row r="505" customFormat="false" ht="15" hidden="false" customHeight="false" outlineLevel="0" collapsed="false">
      <c r="D505" s="20"/>
    </row>
    <row r="506" customFormat="false" ht="15" hidden="false" customHeight="false" outlineLevel="0" collapsed="false">
      <c r="D506" s="20"/>
    </row>
    <row r="507" customFormat="false" ht="15" hidden="false" customHeight="false" outlineLevel="0" collapsed="false">
      <c r="D507" s="20"/>
    </row>
    <row r="508" customFormat="false" ht="15" hidden="false" customHeight="false" outlineLevel="0" collapsed="false">
      <c r="D508" s="20"/>
    </row>
    <row r="509" customFormat="false" ht="15" hidden="false" customHeight="false" outlineLevel="0" collapsed="false">
      <c r="D509" s="20"/>
    </row>
    <row r="510" customFormat="false" ht="15" hidden="false" customHeight="false" outlineLevel="0" collapsed="false">
      <c r="D510" s="20"/>
    </row>
    <row r="511" customFormat="false" ht="15" hidden="false" customHeight="false" outlineLevel="0" collapsed="false">
      <c r="D511" s="20"/>
    </row>
    <row r="512" customFormat="false" ht="15" hidden="false" customHeight="false" outlineLevel="0" collapsed="false">
      <c r="D512" s="20"/>
    </row>
    <row r="513" customFormat="false" ht="15" hidden="false" customHeight="false" outlineLevel="0" collapsed="false">
      <c r="D513" s="20"/>
    </row>
    <row r="514" customFormat="false" ht="15" hidden="false" customHeight="false" outlineLevel="0" collapsed="false">
      <c r="D514" s="20"/>
    </row>
    <row r="515" customFormat="false" ht="15" hidden="false" customHeight="false" outlineLevel="0" collapsed="false">
      <c r="D515" s="20"/>
    </row>
    <row r="516" customFormat="false" ht="15" hidden="false" customHeight="false" outlineLevel="0" collapsed="false">
      <c r="D516" s="20"/>
    </row>
    <row r="517" customFormat="false" ht="15" hidden="false" customHeight="false" outlineLevel="0" collapsed="false">
      <c r="D517" s="20"/>
    </row>
    <row r="518" customFormat="false" ht="15" hidden="false" customHeight="false" outlineLevel="0" collapsed="false">
      <c r="D518" s="20"/>
    </row>
    <row r="519" customFormat="false" ht="15" hidden="false" customHeight="false" outlineLevel="0" collapsed="false">
      <c r="D519" s="20"/>
    </row>
    <row r="520" customFormat="false" ht="15" hidden="false" customHeight="false" outlineLevel="0" collapsed="false">
      <c r="D520" s="20"/>
    </row>
    <row r="521" customFormat="false" ht="15" hidden="false" customHeight="false" outlineLevel="0" collapsed="false">
      <c r="D521" s="20"/>
    </row>
    <row r="522" customFormat="false" ht="15" hidden="false" customHeight="false" outlineLevel="0" collapsed="false">
      <c r="D522" s="20"/>
    </row>
    <row r="523" customFormat="false" ht="15" hidden="false" customHeight="false" outlineLevel="0" collapsed="false">
      <c r="D523" s="20"/>
    </row>
    <row r="524" customFormat="false" ht="15" hidden="false" customHeight="false" outlineLevel="0" collapsed="false">
      <c r="D524" s="20"/>
    </row>
    <row r="525" customFormat="false" ht="15" hidden="false" customHeight="false" outlineLevel="0" collapsed="false">
      <c r="D525" s="20"/>
    </row>
    <row r="526" customFormat="false" ht="15" hidden="false" customHeight="false" outlineLevel="0" collapsed="false">
      <c r="D526" s="20"/>
    </row>
    <row r="527" customFormat="false" ht="15" hidden="false" customHeight="false" outlineLevel="0" collapsed="false">
      <c r="D527" s="20"/>
    </row>
    <row r="528" customFormat="false" ht="15" hidden="false" customHeight="false" outlineLevel="0" collapsed="false">
      <c r="D528" s="20"/>
    </row>
    <row r="529" customFormat="false" ht="15" hidden="false" customHeight="false" outlineLevel="0" collapsed="false">
      <c r="D529" s="20"/>
    </row>
    <row r="530" customFormat="false" ht="15" hidden="false" customHeight="false" outlineLevel="0" collapsed="false">
      <c r="D530" s="20"/>
    </row>
    <row r="531" customFormat="false" ht="15" hidden="false" customHeight="false" outlineLevel="0" collapsed="false">
      <c r="D531" s="20"/>
    </row>
    <row r="532" customFormat="false" ht="15" hidden="false" customHeight="false" outlineLevel="0" collapsed="false">
      <c r="D532" s="20"/>
    </row>
    <row r="533" customFormat="false" ht="15" hidden="false" customHeight="false" outlineLevel="0" collapsed="false">
      <c r="D533" s="20"/>
    </row>
    <row r="534" customFormat="false" ht="15" hidden="false" customHeight="false" outlineLevel="0" collapsed="false">
      <c r="D534" s="20"/>
    </row>
    <row r="535" customFormat="false" ht="15" hidden="false" customHeight="false" outlineLevel="0" collapsed="false">
      <c r="D535" s="20"/>
    </row>
    <row r="536" customFormat="false" ht="15" hidden="false" customHeight="false" outlineLevel="0" collapsed="false">
      <c r="D536" s="20"/>
    </row>
    <row r="537" customFormat="false" ht="15" hidden="false" customHeight="false" outlineLevel="0" collapsed="false">
      <c r="D537" s="20"/>
    </row>
    <row r="538" customFormat="false" ht="15" hidden="false" customHeight="false" outlineLevel="0" collapsed="false">
      <c r="D538" s="20"/>
    </row>
    <row r="539" customFormat="false" ht="15" hidden="false" customHeight="false" outlineLevel="0" collapsed="false">
      <c r="D539" s="20"/>
    </row>
    <row r="540" customFormat="false" ht="15" hidden="false" customHeight="false" outlineLevel="0" collapsed="false">
      <c r="D540" s="20"/>
    </row>
    <row r="541" customFormat="false" ht="15" hidden="false" customHeight="false" outlineLevel="0" collapsed="false">
      <c r="D541" s="20"/>
    </row>
    <row r="542" customFormat="false" ht="15" hidden="false" customHeight="false" outlineLevel="0" collapsed="false">
      <c r="D542" s="20"/>
    </row>
    <row r="543" customFormat="false" ht="15" hidden="false" customHeight="false" outlineLevel="0" collapsed="false">
      <c r="D543" s="20"/>
    </row>
    <row r="544" customFormat="false" ht="15" hidden="false" customHeight="false" outlineLevel="0" collapsed="false">
      <c r="D544" s="20"/>
    </row>
    <row r="545" customFormat="false" ht="15" hidden="false" customHeight="false" outlineLevel="0" collapsed="false">
      <c r="D545" s="20"/>
    </row>
    <row r="546" customFormat="false" ht="15" hidden="false" customHeight="false" outlineLevel="0" collapsed="false">
      <c r="D546" s="20"/>
    </row>
    <row r="547" customFormat="false" ht="15" hidden="false" customHeight="false" outlineLevel="0" collapsed="false">
      <c r="D547" s="20"/>
    </row>
    <row r="548" customFormat="false" ht="15" hidden="false" customHeight="false" outlineLevel="0" collapsed="false">
      <c r="D548" s="20"/>
    </row>
    <row r="549" customFormat="false" ht="15" hidden="false" customHeight="false" outlineLevel="0" collapsed="false">
      <c r="D549" s="20"/>
    </row>
    <row r="550" customFormat="false" ht="15" hidden="false" customHeight="false" outlineLevel="0" collapsed="false">
      <c r="D550" s="20"/>
    </row>
    <row r="551" customFormat="false" ht="15" hidden="false" customHeight="false" outlineLevel="0" collapsed="false">
      <c r="D551" s="20"/>
    </row>
    <row r="552" customFormat="false" ht="15" hidden="false" customHeight="false" outlineLevel="0" collapsed="false">
      <c r="D552" s="20"/>
    </row>
    <row r="553" customFormat="false" ht="15" hidden="false" customHeight="false" outlineLevel="0" collapsed="false">
      <c r="D553" s="20"/>
    </row>
    <row r="554" customFormat="false" ht="15" hidden="false" customHeight="false" outlineLevel="0" collapsed="false">
      <c r="D554" s="20"/>
    </row>
    <row r="555" customFormat="false" ht="15" hidden="false" customHeight="false" outlineLevel="0" collapsed="false">
      <c r="D555" s="20"/>
    </row>
    <row r="556" customFormat="false" ht="15" hidden="false" customHeight="false" outlineLevel="0" collapsed="false">
      <c r="D556" s="20"/>
    </row>
    <row r="557" customFormat="false" ht="15" hidden="false" customHeight="false" outlineLevel="0" collapsed="false">
      <c r="D557" s="20"/>
    </row>
    <row r="558" customFormat="false" ht="15" hidden="false" customHeight="false" outlineLevel="0" collapsed="false">
      <c r="D558" s="20"/>
    </row>
    <row r="559" customFormat="false" ht="15" hidden="false" customHeight="false" outlineLevel="0" collapsed="false">
      <c r="D559" s="20"/>
    </row>
    <row r="560" customFormat="false" ht="15" hidden="false" customHeight="false" outlineLevel="0" collapsed="false">
      <c r="D560" s="20"/>
    </row>
    <row r="561" customFormat="false" ht="15" hidden="false" customHeight="false" outlineLevel="0" collapsed="false">
      <c r="D561" s="20"/>
    </row>
    <row r="562" customFormat="false" ht="15" hidden="false" customHeight="false" outlineLevel="0" collapsed="false">
      <c r="D562" s="20"/>
    </row>
    <row r="563" customFormat="false" ht="15" hidden="false" customHeight="false" outlineLevel="0" collapsed="false">
      <c r="D563" s="20"/>
    </row>
    <row r="564" customFormat="false" ht="15" hidden="false" customHeight="false" outlineLevel="0" collapsed="false">
      <c r="D564" s="20"/>
    </row>
    <row r="565" customFormat="false" ht="15" hidden="false" customHeight="false" outlineLevel="0" collapsed="false">
      <c r="D565" s="20"/>
    </row>
    <row r="566" customFormat="false" ht="15" hidden="false" customHeight="false" outlineLevel="0" collapsed="false">
      <c r="D566" s="20"/>
    </row>
    <row r="567" customFormat="false" ht="15" hidden="false" customHeight="false" outlineLevel="0" collapsed="false">
      <c r="D567" s="20"/>
    </row>
    <row r="568" customFormat="false" ht="15" hidden="false" customHeight="false" outlineLevel="0" collapsed="false">
      <c r="D568" s="20"/>
    </row>
    <row r="569" customFormat="false" ht="15" hidden="false" customHeight="false" outlineLevel="0" collapsed="false">
      <c r="D569" s="20"/>
    </row>
    <row r="570" customFormat="false" ht="15" hidden="false" customHeight="false" outlineLevel="0" collapsed="false">
      <c r="D570" s="20"/>
    </row>
    <row r="571" customFormat="false" ht="15" hidden="false" customHeight="false" outlineLevel="0" collapsed="false">
      <c r="D571" s="20"/>
    </row>
    <row r="572" customFormat="false" ht="15" hidden="false" customHeight="false" outlineLevel="0" collapsed="false">
      <c r="D572" s="20"/>
    </row>
    <row r="573" customFormat="false" ht="15" hidden="false" customHeight="false" outlineLevel="0" collapsed="false">
      <c r="D573" s="20"/>
    </row>
    <row r="574" customFormat="false" ht="15" hidden="false" customHeight="false" outlineLevel="0" collapsed="false">
      <c r="D574" s="20"/>
    </row>
    <row r="575" customFormat="false" ht="15" hidden="false" customHeight="false" outlineLevel="0" collapsed="false">
      <c r="D575" s="20"/>
    </row>
    <row r="576" customFormat="false" ht="15" hidden="false" customHeight="false" outlineLevel="0" collapsed="false">
      <c r="D576" s="20"/>
    </row>
    <row r="577" customFormat="false" ht="15" hidden="false" customHeight="false" outlineLevel="0" collapsed="false">
      <c r="D577" s="20"/>
    </row>
    <row r="578" customFormat="false" ht="15" hidden="false" customHeight="false" outlineLevel="0" collapsed="false">
      <c r="D578" s="20"/>
    </row>
    <row r="579" customFormat="false" ht="15" hidden="false" customHeight="false" outlineLevel="0" collapsed="false">
      <c r="D579" s="20"/>
    </row>
    <row r="580" customFormat="false" ht="15" hidden="false" customHeight="false" outlineLevel="0" collapsed="false">
      <c r="D580" s="20"/>
    </row>
    <row r="581" customFormat="false" ht="15" hidden="false" customHeight="false" outlineLevel="0" collapsed="false">
      <c r="D581" s="20"/>
    </row>
    <row r="582" customFormat="false" ht="15" hidden="false" customHeight="false" outlineLevel="0" collapsed="false">
      <c r="D582" s="20"/>
    </row>
    <row r="583" customFormat="false" ht="15" hidden="false" customHeight="false" outlineLevel="0" collapsed="false">
      <c r="D583" s="20"/>
    </row>
    <row r="584" customFormat="false" ht="15" hidden="false" customHeight="false" outlineLevel="0" collapsed="false">
      <c r="D584" s="20"/>
    </row>
    <row r="585" customFormat="false" ht="15" hidden="false" customHeight="false" outlineLevel="0" collapsed="false">
      <c r="D585" s="20"/>
    </row>
    <row r="586" customFormat="false" ht="15" hidden="false" customHeight="false" outlineLevel="0" collapsed="false">
      <c r="D586" s="20"/>
    </row>
    <row r="587" customFormat="false" ht="15" hidden="false" customHeight="false" outlineLevel="0" collapsed="false">
      <c r="D587" s="20"/>
    </row>
    <row r="588" customFormat="false" ht="15" hidden="false" customHeight="false" outlineLevel="0" collapsed="false">
      <c r="D588" s="20"/>
    </row>
    <row r="589" customFormat="false" ht="15" hidden="false" customHeight="false" outlineLevel="0" collapsed="false">
      <c r="D589" s="20"/>
    </row>
    <row r="590" customFormat="false" ht="15" hidden="false" customHeight="false" outlineLevel="0" collapsed="false">
      <c r="D590" s="20"/>
    </row>
    <row r="591" customFormat="false" ht="15" hidden="false" customHeight="false" outlineLevel="0" collapsed="false">
      <c r="D591" s="20"/>
    </row>
    <row r="592" customFormat="false" ht="15" hidden="false" customHeight="false" outlineLevel="0" collapsed="false">
      <c r="D592" s="20"/>
    </row>
    <row r="593" customFormat="false" ht="15" hidden="false" customHeight="false" outlineLevel="0" collapsed="false">
      <c r="D593" s="20"/>
    </row>
    <row r="594" customFormat="false" ht="15" hidden="false" customHeight="false" outlineLevel="0" collapsed="false">
      <c r="D594" s="20"/>
    </row>
    <row r="595" customFormat="false" ht="15" hidden="false" customHeight="false" outlineLevel="0" collapsed="false">
      <c r="D595" s="20"/>
    </row>
    <row r="596" customFormat="false" ht="15" hidden="false" customHeight="false" outlineLevel="0" collapsed="false">
      <c r="D596" s="20"/>
    </row>
    <row r="597" customFormat="false" ht="15" hidden="false" customHeight="false" outlineLevel="0" collapsed="false">
      <c r="D597" s="20"/>
    </row>
    <row r="598" customFormat="false" ht="15" hidden="false" customHeight="false" outlineLevel="0" collapsed="false">
      <c r="D598" s="20"/>
    </row>
    <row r="599" customFormat="false" ht="15" hidden="false" customHeight="false" outlineLevel="0" collapsed="false">
      <c r="D599" s="20"/>
    </row>
    <row r="600" customFormat="false" ht="15" hidden="false" customHeight="false" outlineLevel="0" collapsed="false">
      <c r="D600" s="20"/>
    </row>
    <row r="601" customFormat="false" ht="15" hidden="false" customHeight="false" outlineLevel="0" collapsed="false">
      <c r="D601" s="20"/>
    </row>
    <row r="602" customFormat="false" ht="15" hidden="false" customHeight="false" outlineLevel="0" collapsed="false">
      <c r="D602" s="20"/>
    </row>
    <row r="603" customFormat="false" ht="15" hidden="false" customHeight="false" outlineLevel="0" collapsed="false">
      <c r="D603" s="20"/>
    </row>
    <row r="604" customFormat="false" ht="15" hidden="false" customHeight="false" outlineLevel="0" collapsed="false">
      <c r="D604" s="20"/>
    </row>
    <row r="605" customFormat="false" ht="15" hidden="false" customHeight="false" outlineLevel="0" collapsed="false">
      <c r="D605" s="20"/>
    </row>
    <row r="606" customFormat="false" ht="15" hidden="false" customHeight="false" outlineLevel="0" collapsed="false">
      <c r="D606" s="20"/>
    </row>
    <row r="607" customFormat="false" ht="15" hidden="false" customHeight="false" outlineLevel="0" collapsed="false">
      <c r="D607" s="20"/>
    </row>
    <row r="608" customFormat="false" ht="15" hidden="false" customHeight="false" outlineLevel="0" collapsed="false">
      <c r="D608" s="20"/>
    </row>
    <row r="609" customFormat="false" ht="15" hidden="false" customHeight="false" outlineLevel="0" collapsed="false">
      <c r="D609" s="20"/>
    </row>
    <row r="610" customFormat="false" ht="15" hidden="false" customHeight="false" outlineLevel="0" collapsed="false">
      <c r="D610" s="20"/>
    </row>
    <row r="611" customFormat="false" ht="15" hidden="false" customHeight="false" outlineLevel="0" collapsed="false">
      <c r="D611" s="20"/>
    </row>
    <row r="612" customFormat="false" ht="15" hidden="false" customHeight="false" outlineLevel="0" collapsed="false">
      <c r="D612" s="20"/>
    </row>
    <row r="613" customFormat="false" ht="15" hidden="false" customHeight="false" outlineLevel="0" collapsed="false">
      <c r="D613" s="20"/>
    </row>
    <row r="614" customFormat="false" ht="15" hidden="false" customHeight="false" outlineLevel="0" collapsed="false">
      <c r="D614" s="20"/>
    </row>
    <row r="615" customFormat="false" ht="15" hidden="false" customHeight="false" outlineLevel="0" collapsed="false">
      <c r="D615" s="20"/>
    </row>
    <row r="616" customFormat="false" ht="15" hidden="false" customHeight="false" outlineLevel="0" collapsed="false">
      <c r="D616" s="20"/>
    </row>
    <row r="617" customFormat="false" ht="15" hidden="false" customHeight="false" outlineLevel="0" collapsed="false">
      <c r="D617" s="20"/>
    </row>
    <row r="618" customFormat="false" ht="15" hidden="false" customHeight="false" outlineLevel="0" collapsed="false">
      <c r="D618" s="20"/>
    </row>
    <row r="619" customFormat="false" ht="15" hidden="false" customHeight="false" outlineLevel="0" collapsed="false">
      <c r="D619" s="20"/>
    </row>
    <row r="620" customFormat="false" ht="15" hidden="false" customHeight="false" outlineLevel="0" collapsed="false">
      <c r="D620" s="20"/>
    </row>
    <row r="621" customFormat="false" ht="15" hidden="false" customHeight="false" outlineLevel="0" collapsed="false">
      <c r="D621" s="20"/>
    </row>
    <row r="622" customFormat="false" ht="15" hidden="false" customHeight="false" outlineLevel="0" collapsed="false">
      <c r="D622" s="20"/>
    </row>
    <row r="623" customFormat="false" ht="15" hidden="false" customHeight="false" outlineLevel="0" collapsed="false">
      <c r="D623" s="20"/>
    </row>
    <row r="624" customFormat="false" ht="15" hidden="false" customHeight="false" outlineLevel="0" collapsed="false">
      <c r="D624" s="20"/>
    </row>
    <row r="625" customFormat="false" ht="15" hidden="false" customHeight="false" outlineLevel="0" collapsed="false">
      <c r="D625" s="20"/>
    </row>
    <row r="626" customFormat="false" ht="15" hidden="false" customHeight="false" outlineLevel="0" collapsed="false">
      <c r="D626" s="20"/>
    </row>
    <row r="627" customFormat="false" ht="15" hidden="false" customHeight="false" outlineLevel="0" collapsed="false">
      <c r="D627" s="20"/>
    </row>
    <row r="628" customFormat="false" ht="15" hidden="false" customHeight="false" outlineLevel="0" collapsed="false">
      <c r="D628" s="20"/>
    </row>
    <row r="629" customFormat="false" ht="15" hidden="false" customHeight="false" outlineLevel="0" collapsed="false">
      <c r="D629" s="20"/>
    </row>
    <row r="630" customFormat="false" ht="15" hidden="false" customHeight="false" outlineLevel="0" collapsed="false">
      <c r="D630" s="20"/>
    </row>
    <row r="631" customFormat="false" ht="15" hidden="false" customHeight="false" outlineLevel="0" collapsed="false">
      <c r="D631" s="20"/>
    </row>
    <row r="632" customFormat="false" ht="15" hidden="false" customHeight="false" outlineLevel="0" collapsed="false">
      <c r="D632" s="20"/>
    </row>
    <row r="633" customFormat="false" ht="15" hidden="false" customHeight="false" outlineLevel="0" collapsed="false">
      <c r="D633" s="20"/>
    </row>
    <row r="634" customFormat="false" ht="15" hidden="false" customHeight="false" outlineLevel="0" collapsed="false">
      <c r="D634" s="20"/>
    </row>
    <row r="635" customFormat="false" ht="15" hidden="false" customHeight="false" outlineLevel="0" collapsed="false">
      <c r="D635" s="20"/>
    </row>
    <row r="636" customFormat="false" ht="15" hidden="false" customHeight="false" outlineLevel="0" collapsed="false">
      <c r="D636" s="20"/>
    </row>
    <row r="637" customFormat="false" ht="15" hidden="false" customHeight="false" outlineLevel="0" collapsed="false">
      <c r="D637" s="20"/>
    </row>
    <row r="638" customFormat="false" ht="15" hidden="false" customHeight="false" outlineLevel="0" collapsed="false">
      <c r="D638" s="20"/>
    </row>
    <row r="639" customFormat="false" ht="15" hidden="false" customHeight="false" outlineLevel="0" collapsed="false">
      <c r="D639" s="20"/>
    </row>
    <row r="640" customFormat="false" ht="15" hidden="false" customHeight="false" outlineLevel="0" collapsed="false">
      <c r="D640" s="20"/>
    </row>
    <row r="641" customFormat="false" ht="15" hidden="false" customHeight="false" outlineLevel="0" collapsed="false">
      <c r="D641" s="20"/>
    </row>
    <row r="642" customFormat="false" ht="15" hidden="false" customHeight="false" outlineLevel="0" collapsed="false">
      <c r="D642" s="20"/>
    </row>
    <row r="643" customFormat="false" ht="15" hidden="false" customHeight="false" outlineLevel="0" collapsed="false">
      <c r="D643" s="20"/>
    </row>
    <row r="644" customFormat="false" ht="15" hidden="false" customHeight="false" outlineLevel="0" collapsed="false">
      <c r="D644" s="20"/>
    </row>
    <row r="645" customFormat="false" ht="15" hidden="false" customHeight="false" outlineLevel="0" collapsed="false">
      <c r="D645" s="20"/>
    </row>
    <row r="646" customFormat="false" ht="15" hidden="false" customHeight="false" outlineLevel="0" collapsed="false">
      <c r="D646" s="20"/>
    </row>
    <row r="647" customFormat="false" ht="15" hidden="false" customHeight="false" outlineLevel="0" collapsed="false">
      <c r="D647" s="20"/>
    </row>
    <row r="648" customFormat="false" ht="15" hidden="false" customHeight="false" outlineLevel="0" collapsed="false">
      <c r="D648" s="20"/>
    </row>
    <row r="649" customFormat="false" ht="15" hidden="false" customHeight="false" outlineLevel="0" collapsed="false">
      <c r="D649" s="20"/>
    </row>
    <row r="650" customFormat="false" ht="15" hidden="false" customHeight="false" outlineLevel="0" collapsed="false">
      <c r="D650" s="20"/>
    </row>
    <row r="651" customFormat="false" ht="15" hidden="false" customHeight="false" outlineLevel="0" collapsed="false">
      <c r="D651" s="20"/>
    </row>
    <row r="652" customFormat="false" ht="15" hidden="false" customHeight="false" outlineLevel="0" collapsed="false">
      <c r="D652" s="20"/>
    </row>
    <row r="653" customFormat="false" ht="15" hidden="false" customHeight="false" outlineLevel="0" collapsed="false">
      <c r="D653" s="20"/>
    </row>
    <row r="654" customFormat="false" ht="15" hidden="false" customHeight="false" outlineLevel="0" collapsed="false">
      <c r="D654" s="20"/>
    </row>
    <row r="655" customFormat="false" ht="15" hidden="false" customHeight="false" outlineLevel="0" collapsed="false">
      <c r="D655" s="20"/>
    </row>
    <row r="656" customFormat="false" ht="15" hidden="false" customHeight="false" outlineLevel="0" collapsed="false">
      <c r="D656" s="20"/>
    </row>
    <row r="657" customFormat="false" ht="15" hidden="false" customHeight="false" outlineLevel="0" collapsed="false">
      <c r="D657" s="20"/>
    </row>
    <row r="658" customFormat="false" ht="15" hidden="false" customHeight="false" outlineLevel="0" collapsed="false">
      <c r="D658" s="20"/>
    </row>
    <row r="659" customFormat="false" ht="15" hidden="false" customHeight="false" outlineLevel="0" collapsed="false">
      <c r="D659" s="20"/>
    </row>
    <row r="660" customFormat="false" ht="15" hidden="false" customHeight="false" outlineLevel="0" collapsed="false">
      <c r="D660" s="20"/>
    </row>
    <row r="661" customFormat="false" ht="15" hidden="false" customHeight="false" outlineLevel="0" collapsed="false">
      <c r="D661" s="20"/>
    </row>
    <row r="662" customFormat="false" ht="15" hidden="false" customHeight="false" outlineLevel="0" collapsed="false">
      <c r="D662" s="20"/>
    </row>
    <row r="663" customFormat="false" ht="15" hidden="false" customHeight="false" outlineLevel="0" collapsed="false">
      <c r="D663" s="20"/>
    </row>
    <row r="664" customFormat="false" ht="15" hidden="false" customHeight="false" outlineLevel="0" collapsed="false">
      <c r="D664" s="20"/>
    </row>
    <row r="665" customFormat="false" ht="15" hidden="false" customHeight="false" outlineLevel="0" collapsed="false">
      <c r="D665" s="20"/>
    </row>
    <row r="666" customFormat="false" ht="15" hidden="false" customHeight="false" outlineLevel="0" collapsed="false">
      <c r="D666" s="20"/>
    </row>
    <row r="667" customFormat="false" ht="15" hidden="false" customHeight="false" outlineLevel="0" collapsed="false">
      <c r="D667" s="20"/>
    </row>
    <row r="668" customFormat="false" ht="15" hidden="false" customHeight="false" outlineLevel="0" collapsed="false">
      <c r="D668" s="20"/>
    </row>
    <row r="669" customFormat="false" ht="15" hidden="false" customHeight="false" outlineLevel="0" collapsed="false">
      <c r="D669" s="20"/>
    </row>
    <row r="670" customFormat="false" ht="15" hidden="false" customHeight="false" outlineLevel="0" collapsed="false">
      <c r="D670" s="20"/>
    </row>
    <row r="671" customFormat="false" ht="15" hidden="false" customHeight="false" outlineLevel="0" collapsed="false">
      <c r="D671" s="20"/>
    </row>
    <row r="672" customFormat="false" ht="15" hidden="false" customHeight="false" outlineLevel="0" collapsed="false">
      <c r="D672" s="20"/>
    </row>
    <row r="673" customFormat="false" ht="15" hidden="false" customHeight="false" outlineLevel="0" collapsed="false">
      <c r="D673" s="20"/>
    </row>
    <row r="674" customFormat="false" ht="15" hidden="false" customHeight="false" outlineLevel="0" collapsed="false">
      <c r="D674" s="20"/>
    </row>
    <row r="675" customFormat="false" ht="15" hidden="false" customHeight="false" outlineLevel="0" collapsed="false">
      <c r="D675" s="20"/>
    </row>
    <row r="676" customFormat="false" ht="15" hidden="false" customHeight="false" outlineLevel="0" collapsed="false">
      <c r="D676" s="20"/>
    </row>
    <row r="677" customFormat="false" ht="15" hidden="false" customHeight="false" outlineLevel="0" collapsed="false">
      <c r="D677" s="20"/>
    </row>
    <row r="678" customFormat="false" ht="15" hidden="false" customHeight="false" outlineLevel="0" collapsed="false">
      <c r="D678" s="20"/>
    </row>
    <row r="679" customFormat="false" ht="15" hidden="false" customHeight="false" outlineLevel="0" collapsed="false">
      <c r="D679" s="20"/>
    </row>
    <row r="680" customFormat="false" ht="15" hidden="false" customHeight="false" outlineLevel="0" collapsed="false">
      <c r="D680" s="20"/>
    </row>
    <row r="681" customFormat="false" ht="15" hidden="false" customHeight="false" outlineLevel="0" collapsed="false">
      <c r="D681" s="20"/>
    </row>
    <row r="682" customFormat="false" ht="15" hidden="false" customHeight="false" outlineLevel="0" collapsed="false">
      <c r="D682" s="20"/>
    </row>
    <row r="683" customFormat="false" ht="15" hidden="false" customHeight="false" outlineLevel="0" collapsed="false">
      <c r="D683" s="20"/>
    </row>
    <row r="684" customFormat="false" ht="15" hidden="false" customHeight="false" outlineLevel="0" collapsed="false">
      <c r="D684" s="20"/>
    </row>
    <row r="685" customFormat="false" ht="15" hidden="false" customHeight="false" outlineLevel="0" collapsed="false">
      <c r="D685" s="20"/>
    </row>
    <row r="686" customFormat="false" ht="15" hidden="false" customHeight="false" outlineLevel="0" collapsed="false">
      <c r="D686" s="20"/>
    </row>
    <row r="687" customFormat="false" ht="15" hidden="false" customHeight="false" outlineLevel="0" collapsed="false">
      <c r="D687" s="20"/>
    </row>
    <row r="688" customFormat="false" ht="15" hidden="false" customHeight="false" outlineLevel="0" collapsed="false">
      <c r="D688" s="20"/>
    </row>
    <row r="689" customFormat="false" ht="15" hidden="false" customHeight="false" outlineLevel="0" collapsed="false">
      <c r="D689" s="20"/>
    </row>
    <row r="690" customFormat="false" ht="15" hidden="false" customHeight="false" outlineLevel="0" collapsed="false">
      <c r="D690" s="20"/>
    </row>
    <row r="691" customFormat="false" ht="15" hidden="false" customHeight="false" outlineLevel="0" collapsed="false">
      <c r="D691" s="20"/>
    </row>
    <row r="692" customFormat="false" ht="15" hidden="false" customHeight="false" outlineLevel="0" collapsed="false">
      <c r="D692" s="20"/>
    </row>
    <row r="693" customFormat="false" ht="15" hidden="false" customHeight="false" outlineLevel="0" collapsed="false">
      <c r="D693" s="20"/>
    </row>
    <row r="694" customFormat="false" ht="15" hidden="false" customHeight="false" outlineLevel="0" collapsed="false">
      <c r="D694" s="20"/>
    </row>
    <row r="695" customFormat="false" ht="15" hidden="false" customHeight="false" outlineLevel="0" collapsed="false">
      <c r="D695" s="20"/>
    </row>
    <row r="696" customFormat="false" ht="15" hidden="false" customHeight="false" outlineLevel="0" collapsed="false">
      <c r="D696" s="20"/>
    </row>
    <row r="697" customFormat="false" ht="15" hidden="false" customHeight="false" outlineLevel="0" collapsed="false">
      <c r="D697" s="20"/>
    </row>
    <row r="698" customFormat="false" ht="15" hidden="false" customHeight="false" outlineLevel="0" collapsed="false">
      <c r="D698" s="20"/>
    </row>
    <row r="699" customFormat="false" ht="15" hidden="false" customHeight="false" outlineLevel="0" collapsed="false">
      <c r="D699" s="20"/>
    </row>
    <row r="700" customFormat="false" ht="15" hidden="false" customHeight="false" outlineLevel="0" collapsed="false">
      <c r="D700" s="20"/>
    </row>
    <row r="701" customFormat="false" ht="15" hidden="false" customHeight="false" outlineLevel="0" collapsed="false">
      <c r="D701" s="20"/>
    </row>
    <row r="702" customFormat="false" ht="15" hidden="false" customHeight="false" outlineLevel="0" collapsed="false">
      <c r="D702" s="20"/>
    </row>
    <row r="703" customFormat="false" ht="15" hidden="false" customHeight="false" outlineLevel="0" collapsed="false">
      <c r="D703" s="20"/>
    </row>
    <row r="704" customFormat="false" ht="15" hidden="false" customHeight="false" outlineLevel="0" collapsed="false">
      <c r="D704" s="20"/>
    </row>
    <row r="705" customFormat="false" ht="15" hidden="false" customHeight="false" outlineLevel="0" collapsed="false">
      <c r="D705" s="20"/>
    </row>
    <row r="706" customFormat="false" ht="15" hidden="false" customHeight="false" outlineLevel="0" collapsed="false">
      <c r="D706" s="20"/>
    </row>
    <row r="707" customFormat="false" ht="15" hidden="false" customHeight="false" outlineLevel="0" collapsed="false">
      <c r="D707" s="20"/>
    </row>
    <row r="708" customFormat="false" ht="15" hidden="false" customHeight="false" outlineLevel="0" collapsed="false">
      <c r="D708" s="20"/>
    </row>
    <row r="709" customFormat="false" ht="15" hidden="false" customHeight="false" outlineLevel="0" collapsed="false">
      <c r="D709" s="20"/>
    </row>
    <row r="710" customFormat="false" ht="15" hidden="false" customHeight="false" outlineLevel="0" collapsed="false">
      <c r="D710" s="20"/>
    </row>
    <row r="711" customFormat="false" ht="15" hidden="false" customHeight="false" outlineLevel="0" collapsed="false">
      <c r="D711" s="20"/>
    </row>
    <row r="712" customFormat="false" ht="15" hidden="false" customHeight="false" outlineLevel="0" collapsed="false">
      <c r="D712" s="20"/>
    </row>
    <row r="713" customFormat="false" ht="15" hidden="false" customHeight="false" outlineLevel="0" collapsed="false">
      <c r="D713" s="20"/>
    </row>
    <row r="714" customFormat="false" ht="15" hidden="false" customHeight="false" outlineLevel="0" collapsed="false">
      <c r="D714" s="20"/>
    </row>
    <row r="715" customFormat="false" ht="15" hidden="false" customHeight="false" outlineLevel="0" collapsed="false">
      <c r="D715" s="20"/>
    </row>
    <row r="716" customFormat="false" ht="15" hidden="false" customHeight="false" outlineLevel="0" collapsed="false">
      <c r="D716" s="20"/>
    </row>
    <row r="717" customFormat="false" ht="15" hidden="false" customHeight="false" outlineLevel="0" collapsed="false">
      <c r="D717" s="20"/>
    </row>
    <row r="718" customFormat="false" ht="15" hidden="false" customHeight="false" outlineLevel="0" collapsed="false">
      <c r="D718" s="20"/>
    </row>
    <row r="719" customFormat="false" ht="15" hidden="false" customHeight="false" outlineLevel="0" collapsed="false">
      <c r="D719" s="20"/>
    </row>
    <row r="720" customFormat="false" ht="15" hidden="false" customHeight="false" outlineLevel="0" collapsed="false">
      <c r="D720" s="20"/>
    </row>
    <row r="721" customFormat="false" ht="15" hidden="false" customHeight="false" outlineLevel="0" collapsed="false">
      <c r="D721" s="20"/>
    </row>
    <row r="722" customFormat="false" ht="15" hidden="false" customHeight="false" outlineLevel="0" collapsed="false">
      <c r="D722" s="20"/>
    </row>
    <row r="723" customFormat="false" ht="15" hidden="false" customHeight="false" outlineLevel="0" collapsed="false">
      <c r="D723" s="20"/>
    </row>
    <row r="724" customFormat="false" ht="15" hidden="false" customHeight="false" outlineLevel="0" collapsed="false">
      <c r="D724" s="20"/>
    </row>
    <row r="725" customFormat="false" ht="15" hidden="false" customHeight="false" outlineLevel="0" collapsed="false">
      <c r="D725" s="20"/>
    </row>
    <row r="726" customFormat="false" ht="15" hidden="false" customHeight="false" outlineLevel="0" collapsed="false">
      <c r="D726" s="20"/>
    </row>
    <row r="727" customFormat="false" ht="15" hidden="false" customHeight="false" outlineLevel="0" collapsed="false">
      <c r="D727" s="20"/>
    </row>
    <row r="728" customFormat="false" ht="15" hidden="false" customHeight="false" outlineLevel="0" collapsed="false">
      <c r="D728" s="20"/>
    </row>
    <row r="729" customFormat="false" ht="15" hidden="false" customHeight="false" outlineLevel="0" collapsed="false">
      <c r="D729" s="20"/>
    </row>
    <row r="730" customFormat="false" ht="15" hidden="false" customHeight="false" outlineLevel="0" collapsed="false">
      <c r="D730" s="20"/>
    </row>
    <row r="731" customFormat="false" ht="15" hidden="false" customHeight="false" outlineLevel="0" collapsed="false">
      <c r="D731" s="20"/>
    </row>
    <row r="732" customFormat="false" ht="15" hidden="false" customHeight="false" outlineLevel="0" collapsed="false">
      <c r="D732" s="20"/>
    </row>
    <row r="733" customFormat="false" ht="15" hidden="false" customHeight="false" outlineLevel="0" collapsed="false">
      <c r="D733" s="20"/>
    </row>
    <row r="734" customFormat="false" ht="15" hidden="false" customHeight="false" outlineLevel="0" collapsed="false">
      <c r="D734" s="20"/>
    </row>
    <row r="735" customFormat="false" ht="15" hidden="false" customHeight="false" outlineLevel="0" collapsed="false">
      <c r="D735" s="20"/>
    </row>
    <row r="736" customFormat="false" ht="15" hidden="false" customHeight="false" outlineLevel="0" collapsed="false">
      <c r="D736" s="20"/>
    </row>
    <row r="737" customFormat="false" ht="15" hidden="false" customHeight="false" outlineLevel="0" collapsed="false">
      <c r="D737" s="20"/>
    </row>
    <row r="738" customFormat="false" ht="15" hidden="false" customHeight="false" outlineLevel="0" collapsed="false">
      <c r="D738" s="20"/>
    </row>
    <row r="739" customFormat="false" ht="15" hidden="false" customHeight="false" outlineLevel="0" collapsed="false">
      <c r="D739" s="20"/>
    </row>
    <row r="740" customFormat="false" ht="15" hidden="false" customHeight="false" outlineLevel="0" collapsed="false">
      <c r="D740" s="20"/>
    </row>
    <row r="741" customFormat="false" ht="15" hidden="false" customHeight="false" outlineLevel="0" collapsed="false">
      <c r="D741" s="20"/>
    </row>
    <row r="742" customFormat="false" ht="15" hidden="false" customHeight="false" outlineLevel="0" collapsed="false">
      <c r="D742" s="20"/>
    </row>
    <row r="743" customFormat="false" ht="15" hidden="false" customHeight="false" outlineLevel="0" collapsed="false">
      <c r="D743" s="20"/>
    </row>
    <row r="744" customFormat="false" ht="15" hidden="false" customHeight="false" outlineLevel="0" collapsed="false">
      <c r="D744" s="20"/>
    </row>
    <row r="745" customFormat="false" ht="15" hidden="false" customHeight="false" outlineLevel="0" collapsed="false">
      <c r="D745" s="20"/>
    </row>
    <row r="746" customFormat="false" ht="15" hidden="false" customHeight="false" outlineLevel="0" collapsed="false">
      <c r="D746" s="20"/>
    </row>
    <row r="747" customFormat="false" ht="15" hidden="false" customHeight="false" outlineLevel="0" collapsed="false">
      <c r="D747" s="20"/>
    </row>
    <row r="748" customFormat="false" ht="15" hidden="false" customHeight="false" outlineLevel="0" collapsed="false">
      <c r="D748" s="20"/>
    </row>
    <row r="749" customFormat="false" ht="15" hidden="false" customHeight="false" outlineLevel="0" collapsed="false">
      <c r="D749" s="20"/>
    </row>
    <row r="750" customFormat="false" ht="15" hidden="false" customHeight="false" outlineLevel="0" collapsed="false">
      <c r="D750" s="20"/>
    </row>
    <row r="751" customFormat="false" ht="15" hidden="false" customHeight="false" outlineLevel="0" collapsed="false">
      <c r="D751" s="20"/>
    </row>
    <row r="752" customFormat="false" ht="15" hidden="false" customHeight="false" outlineLevel="0" collapsed="false">
      <c r="D752" s="20"/>
    </row>
    <row r="753" customFormat="false" ht="15" hidden="false" customHeight="false" outlineLevel="0" collapsed="false">
      <c r="D753" s="20"/>
    </row>
    <row r="754" customFormat="false" ht="15" hidden="false" customHeight="false" outlineLevel="0" collapsed="false">
      <c r="D754" s="20"/>
    </row>
    <row r="755" customFormat="false" ht="15" hidden="false" customHeight="false" outlineLevel="0" collapsed="false">
      <c r="D755" s="20"/>
    </row>
    <row r="756" customFormat="false" ht="15" hidden="false" customHeight="false" outlineLevel="0" collapsed="false">
      <c r="D756" s="20"/>
    </row>
    <row r="757" customFormat="false" ht="15" hidden="false" customHeight="false" outlineLevel="0" collapsed="false">
      <c r="D757" s="20"/>
    </row>
    <row r="758" customFormat="false" ht="15" hidden="false" customHeight="false" outlineLevel="0" collapsed="false">
      <c r="D758" s="20"/>
    </row>
    <row r="759" customFormat="false" ht="15" hidden="false" customHeight="false" outlineLevel="0" collapsed="false">
      <c r="D759" s="20"/>
    </row>
    <row r="760" customFormat="false" ht="15" hidden="false" customHeight="false" outlineLevel="0" collapsed="false">
      <c r="D760" s="20"/>
    </row>
    <row r="761" customFormat="false" ht="15" hidden="false" customHeight="false" outlineLevel="0" collapsed="false">
      <c r="D761" s="20"/>
    </row>
    <row r="762" customFormat="false" ht="15" hidden="false" customHeight="false" outlineLevel="0" collapsed="false">
      <c r="D762" s="20"/>
    </row>
    <row r="763" customFormat="false" ht="15" hidden="false" customHeight="false" outlineLevel="0" collapsed="false">
      <c r="D763" s="20"/>
    </row>
    <row r="764" customFormat="false" ht="15" hidden="false" customHeight="false" outlineLevel="0" collapsed="false">
      <c r="D764" s="20"/>
    </row>
    <row r="765" customFormat="false" ht="15" hidden="false" customHeight="false" outlineLevel="0" collapsed="false">
      <c r="D765" s="20"/>
    </row>
    <row r="766" customFormat="false" ht="15" hidden="false" customHeight="false" outlineLevel="0" collapsed="false">
      <c r="D766" s="20"/>
    </row>
    <row r="767" customFormat="false" ht="15" hidden="false" customHeight="false" outlineLevel="0" collapsed="false">
      <c r="D767" s="20"/>
    </row>
    <row r="768" customFormat="false" ht="15" hidden="false" customHeight="false" outlineLevel="0" collapsed="false">
      <c r="D768" s="20"/>
    </row>
    <row r="769" customFormat="false" ht="15" hidden="false" customHeight="false" outlineLevel="0" collapsed="false">
      <c r="D769" s="20"/>
    </row>
    <row r="770" customFormat="false" ht="15" hidden="false" customHeight="false" outlineLevel="0" collapsed="false">
      <c r="D770" s="20"/>
    </row>
    <row r="771" customFormat="false" ht="15" hidden="false" customHeight="false" outlineLevel="0" collapsed="false">
      <c r="D771" s="20"/>
    </row>
    <row r="772" customFormat="false" ht="15" hidden="false" customHeight="false" outlineLevel="0" collapsed="false">
      <c r="D772" s="20"/>
    </row>
    <row r="773" customFormat="false" ht="15" hidden="false" customHeight="false" outlineLevel="0" collapsed="false">
      <c r="D773" s="20"/>
    </row>
    <row r="774" customFormat="false" ht="15" hidden="false" customHeight="false" outlineLevel="0" collapsed="false">
      <c r="D774" s="20"/>
    </row>
    <row r="775" customFormat="false" ht="15" hidden="false" customHeight="false" outlineLevel="0" collapsed="false">
      <c r="D775" s="20"/>
    </row>
    <row r="776" customFormat="false" ht="15" hidden="false" customHeight="false" outlineLevel="0" collapsed="false">
      <c r="D776" s="20"/>
    </row>
    <row r="777" customFormat="false" ht="15" hidden="false" customHeight="false" outlineLevel="0" collapsed="false">
      <c r="D777" s="20"/>
    </row>
    <row r="778" customFormat="false" ht="15" hidden="false" customHeight="false" outlineLevel="0" collapsed="false">
      <c r="D778" s="20"/>
    </row>
    <row r="779" customFormat="false" ht="15" hidden="false" customHeight="false" outlineLevel="0" collapsed="false">
      <c r="D779" s="20"/>
    </row>
    <row r="780" customFormat="false" ht="15" hidden="false" customHeight="false" outlineLevel="0" collapsed="false">
      <c r="D780" s="20"/>
    </row>
    <row r="781" customFormat="false" ht="15" hidden="false" customHeight="false" outlineLevel="0" collapsed="false">
      <c r="D781" s="20"/>
    </row>
    <row r="782" customFormat="false" ht="15" hidden="false" customHeight="false" outlineLevel="0" collapsed="false">
      <c r="D782" s="20"/>
    </row>
    <row r="783" customFormat="false" ht="15" hidden="false" customHeight="false" outlineLevel="0" collapsed="false">
      <c r="D783" s="20"/>
    </row>
    <row r="784" customFormat="false" ht="15" hidden="false" customHeight="false" outlineLevel="0" collapsed="false">
      <c r="D784" s="20"/>
    </row>
    <row r="785" customFormat="false" ht="15" hidden="false" customHeight="false" outlineLevel="0" collapsed="false">
      <c r="D785" s="20"/>
    </row>
    <row r="786" customFormat="false" ht="15" hidden="false" customHeight="false" outlineLevel="0" collapsed="false">
      <c r="D786" s="20"/>
    </row>
    <row r="787" customFormat="false" ht="15" hidden="false" customHeight="false" outlineLevel="0" collapsed="false">
      <c r="D787" s="20"/>
    </row>
    <row r="788" customFormat="false" ht="15" hidden="false" customHeight="false" outlineLevel="0" collapsed="false">
      <c r="D788" s="20"/>
    </row>
    <row r="789" customFormat="false" ht="15" hidden="false" customHeight="false" outlineLevel="0" collapsed="false">
      <c r="D789" s="20"/>
    </row>
    <row r="790" customFormat="false" ht="15" hidden="false" customHeight="false" outlineLevel="0" collapsed="false">
      <c r="D790" s="20"/>
    </row>
    <row r="791" customFormat="false" ht="15" hidden="false" customHeight="false" outlineLevel="0" collapsed="false">
      <c r="D791" s="20"/>
    </row>
    <row r="792" customFormat="false" ht="15" hidden="false" customHeight="false" outlineLevel="0" collapsed="false">
      <c r="D792" s="20"/>
    </row>
    <row r="793" customFormat="false" ht="15" hidden="false" customHeight="false" outlineLevel="0" collapsed="false">
      <c r="D793" s="20"/>
    </row>
    <row r="794" customFormat="false" ht="15" hidden="false" customHeight="false" outlineLevel="0" collapsed="false">
      <c r="D794" s="20"/>
    </row>
    <row r="795" customFormat="false" ht="15" hidden="false" customHeight="false" outlineLevel="0" collapsed="false">
      <c r="D795" s="20"/>
    </row>
    <row r="796" customFormat="false" ht="15" hidden="false" customHeight="false" outlineLevel="0" collapsed="false">
      <c r="D796" s="20"/>
    </row>
    <row r="797" customFormat="false" ht="15" hidden="false" customHeight="false" outlineLevel="0" collapsed="false">
      <c r="D797" s="20"/>
    </row>
    <row r="798" customFormat="false" ht="15" hidden="false" customHeight="false" outlineLevel="0" collapsed="false">
      <c r="D798" s="20"/>
    </row>
    <row r="799" customFormat="false" ht="15" hidden="false" customHeight="false" outlineLevel="0" collapsed="false">
      <c r="D799" s="20"/>
    </row>
    <row r="800" customFormat="false" ht="15" hidden="false" customHeight="false" outlineLevel="0" collapsed="false">
      <c r="D800" s="20"/>
    </row>
    <row r="801" customFormat="false" ht="15" hidden="false" customHeight="false" outlineLevel="0" collapsed="false">
      <c r="D801" s="20"/>
    </row>
    <row r="802" customFormat="false" ht="15" hidden="false" customHeight="false" outlineLevel="0" collapsed="false">
      <c r="D802" s="20"/>
    </row>
    <row r="803" customFormat="false" ht="15" hidden="false" customHeight="false" outlineLevel="0" collapsed="false">
      <c r="D803" s="20"/>
    </row>
    <row r="804" customFormat="false" ht="15" hidden="false" customHeight="false" outlineLevel="0" collapsed="false">
      <c r="D804" s="20"/>
    </row>
    <row r="805" customFormat="false" ht="15" hidden="false" customHeight="false" outlineLevel="0" collapsed="false">
      <c r="D805" s="20"/>
    </row>
    <row r="806" customFormat="false" ht="15" hidden="false" customHeight="false" outlineLevel="0" collapsed="false">
      <c r="D806" s="20"/>
    </row>
    <row r="807" customFormat="false" ht="15" hidden="false" customHeight="false" outlineLevel="0" collapsed="false">
      <c r="D807" s="20"/>
    </row>
    <row r="808" customFormat="false" ht="15" hidden="false" customHeight="false" outlineLevel="0" collapsed="false">
      <c r="D808" s="20"/>
    </row>
    <row r="809" customFormat="false" ht="15" hidden="false" customHeight="false" outlineLevel="0" collapsed="false">
      <c r="D809" s="20"/>
    </row>
    <row r="810" customFormat="false" ht="15" hidden="false" customHeight="false" outlineLevel="0" collapsed="false">
      <c r="D810" s="20"/>
    </row>
    <row r="811" customFormat="false" ht="15" hidden="false" customHeight="false" outlineLevel="0" collapsed="false">
      <c r="D811" s="20"/>
    </row>
    <row r="812" customFormat="false" ht="15" hidden="false" customHeight="false" outlineLevel="0" collapsed="false">
      <c r="D812" s="20"/>
    </row>
    <row r="813" customFormat="false" ht="15" hidden="false" customHeight="false" outlineLevel="0" collapsed="false">
      <c r="D813" s="20"/>
    </row>
    <row r="814" customFormat="false" ht="15" hidden="false" customHeight="false" outlineLevel="0" collapsed="false">
      <c r="D814" s="20"/>
    </row>
    <row r="815" customFormat="false" ht="15" hidden="false" customHeight="false" outlineLevel="0" collapsed="false">
      <c r="D815" s="20"/>
    </row>
    <row r="816" customFormat="false" ht="15" hidden="false" customHeight="false" outlineLevel="0" collapsed="false">
      <c r="D816" s="20"/>
    </row>
    <row r="817" customFormat="false" ht="15" hidden="false" customHeight="false" outlineLevel="0" collapsed="false">
      <c r="D817" s="20"/>
    </row>
    <row r="818" customFormat="false" ht="15" hidden="false" customHeight="false" outlineLevel="0" collapsed="false">
      <c r="D818" s="20"/>
    </row>
    <row r="819" customFormat="false" ht="15" hidden="false" customHeight="false" outlineLevel="0" collapsed="false">
      <c r="D819" s="20"/>
    </row>
    <row r="820" customFormat="false" ht="15" hidden="false" customHeight="false" outlineLevel="0" collapsed="false">
      <c r="D820" s="20"/>
    </row>
    <row r="821" customFormat="false" ht="15" hidden="false" customHeight="false" outlineLevel="0" collapsed="false">
      <c r="D821" s="20"/>
    </row>
    <row r="822" customFormat="false" ht="15" hidden="false" customHeight="false" outlineLevel="0" collapsed="false">
      <c r="D822" s="20"/>
    </row>
    <row r="823" customFormat="false" ht="15" hidden="false" customHeight="false" outlineLevel="0" collapsed="false">
      <c r="D823" s="20"/>
    </row>
    <row r="824" customFormat="false" ht="15" hidden="false" customHeight="false" outlineLevel="0" collapsed="false">
      <c r="D824" s="20"/>
    </row>
    <row r="825" customFormat="false" ht="15" hidden="false" customHeight="false" outlineLevel="0" collapsed="false">
      <c r="D825" s="20"/>
    </row>
    <row r="826" customFormat="false" ht="15" hidden="false" customHeight="false" outlineLevel="0" collapsed="false">
      <c r="D826" s="20"/>
    </row>
    <row r="827" customFormat="false" ht="15" hidden="false" customHeight="false" outlineLevel="0" collapsed="false">
      <c r="D827" s="20"/>
    </row>
    <row r="828" customFormat="false" ht="15" hidden="false" customHeight="false" outlineLevel="0" collapsed="false">
      <c r="D828" s="20"/>
    </row>
    <row r="829" customFormat="false" ht="15" hidden="false" customHeight="false" outlineLevel="0" collapsed="false">
      <c r="D829" s="20"/>
    </row>
    <row r="830" customFormat="false" ht="15" hidden="false" customHeight="false" outlineLevel="0" collapsed="false">
      <c r="D830" s="20"/>
    </row>
    <row r="831" customFormat="false" ht="15" hidden="false" customHeight="false" outlineLevel="0" collapsed="false">
      <c r="D831" s="20"/>
    </row>
    <row r="832" customFormat="false" ht="15" hidden="false" customHeight="false" outlineLevel="0" collapsed="false">
      <c r="D832" s="20"/>
    </row>
    <row r="833" customFormat="false" ht="15" hidden="false" customHeight="false" outlineLevel="0" collapsed="false">
      <c r="D833" s="20"/>
    </row>
    <row r="834" customFormat="false" ht="15" hidden="false" customHeight="false" outlineLevel="0" collapsed="false">
      <c r="D834" s="20"/>
    </row>
    <row r="835" customFormat="false" ht="15" hidden="false" customHeight="false" outlineLevel="0" collapsed="false">
      <c r="D835" s="20"/>
    </row>
    <row r="836" customFormat="false" ht="15" hidden="false" customHeight="false" outlineLevel="0" collapsed="false">
      <c r="D836" s="20"/>
    </row>
    <row r="837" customFormat="false" ht="15" hidden="false" customHeight="false" outlineLevel="0" collapsed="false">
      <c r="D837" s="20"/>
    </row>
    <row r="838" customFormat="false" ht="15" hidden="false" customHeight="false" outlineLevel="0" collapsed="false">
      <c r="D838" s="20"/>
    </row>
    <row r="839" customFormat="false" ht="15" hidden="false" customHeight="false" outlineLevel="0" collapsed="false">
      <c r="D839" s="20"/>
    </row>
    <row r="840" customFormat="false" ht="15" hidden="false" customHeight="false" outlineLevel="0" collapsed="false">
      <c r="D840" s="20"/>
    </row>
    <row r="841" customFormat="false" ht="15" hidden="false" customHeight="false" outlineLevel="0" collapsed="false">
      <c r="D841" s="20"/>
    </row>
    <row r="842" customFormat="false" ht="15" hidden="false" customHeight="false" outlineLevel="0" collapsed="false">
      <c r="D842" s="20"/>
    </row>
    <row r="843" customFormat="false" ht="15" hidden="false" customHeight="false" outlineLevel="0" collapsed="false">
      <c r="D843" s="20"/>
    </row>
    <row r="844" customFormat="false" ht="15" hidden="false" customHeight="false" outlineLevel="0" collapsed="false">
      <c r="D844" s="20"/>
    </row>
    <row r="845" customFormat="false" ht="15" hidden="false" customHeight="false" outlineLevel="0" collapsed="false">
      <c r="D845" s="20"/>
    </row>
    <row r="846" customFormat="false" ht="15" hidden="false" customHeight="false" outlineLevel="0" collapsed="false">
      <c r="D846" s="20"/>
    </row>
    <row r="847" customFormat="false" ht="15" hidden="false" customHeight="false" outlineLevel="0" collapsed="false">
      <c r="D847" s="20"/>
    </row>
    <row r="848" customFormat="false" ht="15" hidden="false" customHeight="false" outlineLevel="0" collapsed="false">
      <c r="D848" s="20"/>
    </row>
    <row r="849" customFormat="false" ht="15" hidden="false" customHeight="false" outlineLevel="0" collapsed="false">
      <c r="D849" s="20"/>
    </row>
    <row r="850" customFormat="false" ht="15" hidden="false" customHeight="false" outlineLevel="0" collapsed="false">
      <c r="D850" s="20"/>
    </row>
    <row r="851" customFormat="false" ht="15" hidden="false" customHeight="false" outlineLevel="0" collapsed="false">
      <c r="D851" s="20"/>
    </row>
    <row r="852" customFormat="false" ht="15" hidden="false" customHeight="false" outlineLevel="0" collapsed="false">
      <c r="D852" s="20"/>
    </row>
    <row r="853" customFormat="false" ht="15" hidden="false" customHeight="false" outlineLevel="0" collapsed="false">
      <c r="D853" s="20"/>
    </row>
    <row r="854" customFormat="false" ht="15" hidden="false" customHeight="false" outlineLevel="0" collapsed="false">
      <c r="D854" s="20"/>
    </row>
    <row r="855" customFormat="false" ht="15" hidden="false" customHeight="false" outlineLevel="0" collapsed="false">
      <c r="D855" s="20"/>
    </row>
    <row r="856" customFormat="false" ht="15" hidden="false" customHeight="false" outlineLevel="0" collapsed="false">
      <c r="D856" s="20"/>
    </row>
    <row r="857" customFormat="false" ht="15" hidden="false" customHeight="false" outlineLevel="0" collapsed="false">
      <c r="D857" s="20"/>
    </row>
    <row r="858" customFormat="false" ht="15" hidden="false" customHeight="false" outlineLevel="0" collapsed="false">
      <c r="D858" s="20"/>
    </row>
    <row r="859" customFormat="false" ht="15" hidden="false" customHeight="false" outlineLevel="0" collapsed="false">
      <c r="D859" s="20"/>
    </row>
    <row r="860" customFormat="false" ht="15" hidden="false" customHeight="false" outlineLevel="0" collapsed="false">
      <c r="D860" s="20"/>
    </row>
    <row r="861" customFormat="false" ht="15" hidden="false" customHeight="false" outlineLevel="0" collapsed="false">
      <c r="D861" s="20"/>
    </row>
    <row r="862" customFormat="false" ht="15" hidden="false" customHeight="false" outlineLevel="0" collapsed="false">
      <c r="D862" s="20"/>
    </row>
    <row r="863" customFormat="false" ht="15" hidden="false" customHeight="false" outlineLevel="0" collapsed="false">
      <c r="D863" s="20"/>
    </row>
    <row r="864" customFormat="false" ht="15" hidden="false" customHeight="false" outlineLevel="0" collapsed="false">
      <c r="D864" s="20"/>
    </row>
    <row r="865" customFormat="false" ht="15" hidden="false" customHeight="false" outlineLevel="0" collapsed="false">
      <c r="D865" s="20"/>
    </row>
    <row r="866" customFormat="false" ht="15" hidden="false" customHeight="false" outlineLevel="0" collapsed="false">
      <c r="D866" s="20"/>
    </row>
    <row r="867" customFormat="false" ht="15" hidden="false" customHeight="false" outlineLevel="0" collapsed="false">
      <c r="D867" s="20"/>
    </row>
    <row r="868" customFormat="false" ht="15" hidden="false" customHeight="false" outlineLevel="0" collapsed="false">
      <c r="D868" s="20"/>
    </row>
    <row r="869" customFormat="false" ht="15" hidden="false" customHeight="false" outlineLevel="0" collapsed="false">
      <c r="D869" s="20"/>
    </row>
    <row r="870" customFormat="false" ht="15" hidden="false" customHeight="false" outlineLevel="0" collapsed="false">
      <c r="D870" s="20"/>
    </row>
    <row r="871" customFormat="false" ht="15" hidden="false" customHeight="false" outlineLevel="0" collapsed="false">
      <c r="D871" s="20"/>
    </row>
    <row r="872" customFormat="false" ht="15" hidden="false" customHeight="false" outlineLevel="0" collapsed="false">
      <c r="D872" s="20"/>
    </row>
    <row r="873" customFormat="false" ht="15" hidden="false" customHeight="false" outlineLevel="0" collapsed="false">
      <c r="D873" s="20"/>
    </row>
    <row r="874" customFormat="false" ht="15" hidden="false" customHeight="false" outlineLevel="0" collapsed="false">
      <c r="D874" s="20"/>
    </row>
    <row r="875" customFormat="false" ht="15" hidden="false" customHeight="false" outlineLevel="0" collapsed="false">
      <c r="D875" s="20"/>
    </row>
    <row r="876" customFormat="false" ht="15" hidden="false" customHeight="false" outlineLevel="0" collapsed="false">
      <c r="D876" s="20"/>
    </row>
    <row r="877" customFormat="false" ht="15" hidden="false" customHeight="false" outlineLevel="0" collapsed="false">
      <c r="D877" s="20"/>
    </row>
    <row r="878" customFormat="false" ht="15" hidden="false" customHeight="false" outlineLevel="0" collapsed="false">
      <c r="D878" s="20"/>
    </row>
    <row r="879" customFormat="false" ht="15" hidden="false" customHeight="false" outlineLevel="0" collapsed="false">
      <c r="D879" s="20"/>
    </row>
    <row r="880" customFormat="false" ht="15" hidden="false" customHeight="false" outlineLevel="0" collapsed="false">
      <c r="D880" s="20"/>
    </row>
    <row r="881" customFormat="false" ht="15" hidden="false" customHeight="false" outlineLevel="0" collapsed="false">
      <c r="D881" s="20"/>
    </row>
    <row r="882" customFormat="false" ht="15" hidden="false" customHeight="false" outlineLevel="0" collapsed="false">
      <c r="D882" s="20"/>
    </row>
    <row r="883" customFormat="false" ht="15" hidden="false" customHeight="false" outlineLevel="0" collapsed="false">
      <c r="D883" s="20"/>
    </row>
    <row r="884" customFormat="false" ht="15" hidden="false" customHeight="false" outlineLevel="0" collapsed="false">
      <c r="D884" s="20"/>
    </row>
    <row r="885" customFormat="false" ht="15" hidden="false" customHeight="false" outlineLevel="0" collapsed="false">
      <c r="D885" s="20"/>
    </row>
    <row r="886" customFormat="false" ht="15" hidden="false" customHeight="false" outlineLevel="0" collapsed="false">
      <c r="D886" s="20"/>
    </row>
    <row r="887" customFormat="false" ht="15" hidden="false" customHeight="false" outlineLevel="0" collapsed="false">
      <c r="D887" s="20"/>
    </row>
    <row r="888" customFormat="false" ht="15" hidden="false" customHeight="false" outlineLevel="0" collapsed="false">
      <c r="D888" s="20"/>
    </row>
    <row r="889" customFormat="false" ht="15" hidden="false" customHeight="false" outlineLevel="0" collapsed="false">
      <c r="D889" s="20"/>
    </row>
    <row r="890" customFormat="false" ht="15" hidden="false" customHeight="false" outlineLevel="0" collapsed="false">
      <c r="D890" s="20"/>
    </row>
    <row r="891" customFormat="false" ht="15" hidden="false" customHeight="false" outlineLevel="0" collapsed="false">
      <c r="D891" s="20"/>
    </row>
    <row r="892" customFormat="false" ht="15" hidden="false" customHeight="false" outlineLevel="0" collapsed="false">
      <c r="D892" s="20"/>
    </row>
    <row r="893" customFormat="false" ht="15" hidden="false" customHeight="false" outlineLevel="0" collapsed="false">
      <c r="D893" s="20"/>
    </row>
    <row r="894" customFormat="false" ht="15" hidden="false" customHeight="false" outlineLevel="0" collapsed="false">
      <c r="D894" s="20"/>
    </row>
    <row r="895" customFormat="false" ht="15" hidden="false" customHeight="false" outlineLevel="0" collapsed="false">
      <c r="D895" s="20"/>
    </row>
    <row r="896" customFormat="false" ht="15" hidden="false" customHeight="false" outlineLevel="0" collapsed="false">
      <c r="D896" s="20"/>
    </row>
    <row r="897" customFormat="false" ht="15" hidden="false" customHeight="false" outlineLevel="0" collapsed="false">
      <c r="D897" s="20"/>
    </row>
    <row r="898" customFormat="false" ht="15" hidden="false" customHeight="false" outlineLevel="0" collapsed="false">
      <c r="D898" s="20"/>
    </row>
    <row r="899" customFormat="false" ht="15" hidden="false" customHeight="false" outlineLevel="0" collapsed="false">
      <c r="D899" s="20"/>
    </row>
    <row r="900" customFormat="false" ht="15" hidden="false" customHeight="false" outlineLevel="0" collapsed="false">
      <c r="D900" s="20"/>
    </row>
    <row r="901" customFormat="false" ht="15" hidden="false" customHeight="false" outlineLevel="0" collapsed="false">
      <c r="D901" s="20"/>
    </row>
    <row r="902" customFormat="false" ht="15" hidden="false" customHeight="false" outlineLevel="0" collapsed="false">
      <c r="D902" s="20"/>
    </row>
    <row r="903" customFormat="false" ht="15" hidden="false" customHeight="false" outlineLevel="0" collapsed="false">
      <c r="D903" s="20"/>
    </row>
    <row r="904" customFormat="false" ht="15" hidden="false" customHeight="false" outlineLevel="0" collapsed="false">
      <c r="D904" s="20"/>
    </row>
    <row r="905" customFormat="false" ht="15" hidden="false" customHeight="false" outlineLevel="0" collapsed="false">
      <c r="D905" s="20"/>
    </row>
    <row r="906" customFormat="false" ht="15" hidden="false" customHeight="false" outlineLevel="0" collapsed="false">
      <c r="D906" s="20"/>
    </row>
    <row r="907" customFormat="false" ht="15" hidden="false" customHeight="false" outlineLevel="0" collapsed="false">
      <c r="D907" s="20"/>
    </row>
    <row r="908" customFormat="false" ht="15" hidden="false" customHeight="false" outlineLevel="0" collapsed="false">
      <c r="D908" s="20"/>
    </row>
    <row r="909" customFormat="false" ht="15" hidden="false" customHeight="false" outlineLevel="0" collapsed="false">
      <c r="D909" s="20"/>
    </row>
    <row r="910" customFormat="false" ht="15" hidden="false" customHeight="false" outlineLevel="0" collapsed="false">
      <c r="D910" s="20"/>
    </row>
    <row r="911" customFormat="false" ht="15" hidden="false" customHeight="false" outlineLevel="0" collapsed="false">
      <c r="D911" s="20"/>
    </row>
    <row r="912" customFormat="false" ht="15" hidden="false" customHeight="false" outlineLevel="0" collapsed="false">
      <c r="D912" s="20"/>
    </row>
    <row r="913" customFormat="false" ht="15" hidden="false" customHeight="false" outlineLevel="0" collapsed="false">
      <c r="D913" s="20"/>
    </row>
    <row r="914" customFormat="false" ht="15" hidden="false" customHeight="false" outlineLevel="0" collapsed="false">
      <c r="D914" s="20"/>
    </row>
    <row r="915" customFormat="false" ht="15" hidden="false" customHeight="false" outlineLevel="0" collapsed="false">
      <c r="D915" s="20"/>
    </row>
    <row r="916" customFormat="false" ht="15" hidden="false" customHeight="false" outlineLevel="0" collapsed="false">
      <c r="D916" s="20"/>
    </row>
    <row r="917" customFormat="false" ht="15" hidden="false" customHeight="false" outlineLevel="0" collapsed="false">
      <c r="D917" s="20"/>
    </row>
    <row r="918" customFormat="false" ht="15" hidden="false" customHeight="false" outlineLevel="0" collapsed="false">
      <c r="D918" s="20"/>
    </row>
    <row r="919" customFormat="false" ht="15" hidden="false" customHeight="false" outlineLevel="0" collapsed="false">
      <c r="D919" s="20"/>
    </row>
    <row r="920" customFormat="false" ht="15" hidden="false" customHeight="false" outlineLevel="0" collapsed="false">
      <c r="D920" s="20"/>
    </row>
    <row r="921" customFormat="false" ht="15" hidden="false" customHeight="false" outlineLevel="0" collapsed="false">
      <c r="D921" s="20"/>
    </row>
    <row r="922" customFormat="false" ht="15" hidden="false" customHeight="false" outlineLevel="0" collapsed="false">
      <c r="D922" s="20"/>
    </row>
    <row r="923" customFormat="false" ht="15" hidden="false" customHeight="false" outlineLevel="0" collapsed="false">
      <c r="D923" s="20"/>
    </row>
    <row r="924" customFormat="false" ht="15" hidden="false" customHeight="false" outlineLevel="0" collapsed="false">
      <c r="D924" s="20"/>
    </row>
    <row r="925" customFormat="false" ht="15" hidden="false" customHeight="false" outlineLevel="0" collapsed="false">
      <c r="D925" s="20"/>
    </row>
    <row r="926" customFormat="false" ht="15" hidden="false" customHeight="false" outlineLevel="0" collapsed="false">
      <c r="D926" s="20"/>
    </row>
    <row r="927" customFormat="false" ht="15" hidden="false" customHeight="false" outlineLevel="0" collapsed="false">
      <c r="D927" s="20"/>
    </row>
    <row r="928" customFormat="false" ht="15" hidden="false" customHeight="false" outlineLevel="0" collapsed="false">
      <c r="D928" s="20"/>
    </row>
    <row r="929" customFormat="false" ht="15" hidden="false" customHeight="false" outlineLevel="0" collapsed="false">
      <c r="D929" s="20"/>
    </row>
    <row r="930" customFormat="false" ht="15" hidden="false" customHeight="false" outlineLevel="0" collapsed="false">
      <c r="D930" s="20"/>
    </row>
    <row r="931" customFormat="false" ht="15" hidden="false" customHeight="false" outlineLevel="0" collapsed="false">
      <c r="D931" s="20"/>
    </row>
    <row r="932" customFormat="false" ht="15" hidden="false" customHeight="false" outlineLevel="0" collapsed="false">
      <c r="D932" s="20"/>
    </row>
    <row r="933" customFormat="false" ht="15" hidden="false" customHeight="false" outlineLevel="0" collapsed="false">
      <c r="D933" s="20"/>
    </row>
    <row r="934" customFormat="false" ht="15" hidden="false" customHeight="false" outlineLevel="0" collapsed="false">
      <c r="D934" s="20"/>
    </row>
    <row r="935" customFormat="false" ht="15" hidden="false" customHeight="false" outlineLevel="0" collapsed="false">
      <c r="D935" s="20"/>
    </row>
    <row r="936" customFormat="false" ht="15" hidden="false" customHeight="false" outlineLevel="0" collapsed="false">
      <c r="D936" s="20"/>
    </row>
    <row r="937" customFormat="false" ht="15" hidden="false" customHeight="false" outlineLevel="0" collapsed="false">
      <c r="D937" s="20"/>
    </row>
    <row r="938" customFormat="false" ht="15" hidden="false" customHeight="false" outlineLevel="0" collapsed="false">
      <c r="D938" s="20"/>
    </row>
    <row r="939" customFormat="false" ht="15" hidden="false" customHeight="false" outlineLevel="0" collapsed="false">
      <c r="D939" s="20"/>
    </row>
    <row r="940" customFormat="false" ht="15" hidden="false" customHeight="false" outlineLevel="0" collapsed="false">
      <c r="D940" s="20"/>
    </row>
    <row r="941" customFormat="false" ht="15" hidden="false" customHeight="false" outlineLevel="0" collapsed="false">
      <c r="D941" s="20"/>
    </row>
    <row r="942" customFormat="false" ht="15" hidden="false" customHeight="false" outlineLevel="0" collapsed="false">
      <c r="D942" s="20"/>
    </row>
    <row r="943" customFormat="false" ht="15" hidden="false" customHeight="false" outlineLevel="0" collapsed="false">
      <c r="D943" s="20"/>
    </row>
    <row r="944" customFormat="false" ht="15" hidden="false" customHeight="false" outlineLevel="0" collapsed="false">
      <c r="D944" s="20"/>
    </row>
    <row r="945" customFormat="false" ht="15" hidden="false" customHeight="false" outlineLevel="0" collapsed="false">
      <c r="D945" s="20"/>
    </row>
    <row r="946" customFormat="false" ht="15" hidden="false" customHeight="false" outlineLevel="0" collapsed="false">
      <c r="D946" s="20"/>
    </row>
    <row r="947" customFormat="false" ht="15" hidden="false" customHeight="false" outlineLevel="0" collapsed="false">
      <c r="D947" s="20"/>
    </row>
    <row r="948" customFormat="false" ht="15" hidden="false" customHeight="false" outlineLevel="0" collapsed="false">
      <c r="D948" s="20"/>
    </row>
    <row r="949" customFormat="false" ht="15" hidden="false" customHeight="false" outlineLevel="0" collapsed="false">
      <c r="D949" s="20"/>
    </row>
    <row r="950" customFormat="false" ht="15" hidden="false" customHeight="false" outlineLevel="0" collapsed="false">
      <c r="D950" s="20"/>
    </row>
    <row r="951" customFormat="false" ht="15" hidden="false" customHeight="false" outlineLevel="0" collapsed="false">
      <c r="D951" s="20"/>
    </row>
    <row r="952" customFormat="false" ht="15" hidden="false" customHeight="false" outlineLevel="0" collapsed="false">
      <c r="D952" s="20"/>
    </row>
    <row r="953" customFormat="false" ht="15" hidden="false" customHeight="false" outlineLevel="0" collapsed="false">
      <c r="D953" s="20"/>
    </row>
    <row r="954" customFormat="false" ht="15" hidden="false" customHeight="false" outlineLevel="0" collapsed="false">
      <c r="D954" s="20"/>
    </row>
    <row r="955" customFormat="false" ht="15" hidden="false" customHeight="false" outlineLevel="0" collapsed="false">
      <c r="D955" s="20"/>
    </row>
    <row r="956" customFormat="false" ht="15" hidden="false" customHeight="false" outlineLevel="0" collapsed="false">
      <c r="D956" s="20"/>
    </row>
    <row r="957" customFormat="false" ht="15" hidden="false" customHeight="false" outlineLevel="0" collapsed="false">
      <c r="D957" s="20"/>
    </row>
    <row r="958" customFormat="false" ht="15" hidden="false" customHeight="false" outlineLevel="0" collapsed="false">
      <c r="D958" s="20"/>
    </row>
    <row r="959" customFormat="false" ht="15" hidden="false" customHeight="false" outlineLevel="0" collapsed="false">
      <c r="D959" s="20"/>
    </row>
    <row r="960" customFormat="false" ht="15" hidden="false" customHeight="false" outlineLevel="0" collapsed="false">
      <c r="D960" s="20"/>
    </row>
    <row r="961" customFormat="false" ht="15" hidden="false" customHeight="false" outlineLevel="0" collapsed="false">
      <c r="D961" s="20"/>
    </row>
    <row r="962" customFormat="false" ht="15" hidden="false" customHeight="false" outlineLevel="0" collapsed="false">
      <c r="D962" s="20"/>
    </row>
    <row r="963" customFormat="false" ht="15" hidden="false" customHeight="false" outlineLevel="0" collapsed="false">
      <c r="D963" s="20"/>
    </row>
    <row r="964" customFormat="false" ht="15" hidden="false" customHeight="false" outlineLevel="0" collapsed="false">
      <c r="D964" s="20"/>
    </row>
    <row r="965" customFormat="false" ht="15" hidden="false" customHeight="false" outlineLevel="0" collapsed="false">
      <c r="D965" s="20"/>
    </row>
    <row r="966" customFormat="false" ht="15" hidden="false" customHeight="false" outlineLevel="0" collapsed="false">
      <c r="D966" s="20"/>
    </row>
    <row r="967" customFormat="false" ht="15" hidden="false" customHeight="false" outlineLevel="0" collapsed="false">
      <c r="D967" s="20"/>
    </row>
    <row r="968" customFormat="false" ht="15" hidden="false" customHeight="false" outlineLevel="0" collapsed="false">
      <c r="D968" s="20"/>
    </row>
    <row r="969" customFormat="false" ht="15" hidden="false" customHeight="false" outlineLevel="0" collapsed="false">
      <c r="D969" s="20"/>
    </row>
    <row r="970" customFormat="false" ht="15" hidden="false" customHeight="false" outlineLevel="0" collapsed="false">
      <c r="D970" s="20"/>
    </row>
    <row r="971" customFormat="false" ht="15" hidden="false" customHeight="false" outlineLevel="0" collapsed="false">
      <c r="D971" s="20"/>
    </row>
    <row r="972" customFormat="false" ht="15" hidden="false" customHeight="false" outlineLevel="0" collapsed="false">
      <c r="D972" s="20"/>
    </row>
    <row r="973" customFormat="false" ht="15" hidden="false" customHeight="false" outlineLevel="0" collapsed="false">
      <c r="D973" s="20"/>
    </row>
    <row r="974" customFormat="false" ht="15" hidden="false" customHeight="false" outlineLevel="0" collapsed="false">
      <c r="D974" s="20"/>
    </row>
    <row r="975" customFormat="false" ht="15" hidden="false" customHeight="false" outlineLevel="0" collapsed="false">
      <c r="D975" s="20"/>
    </row>
    <row r="976" customFormat="false" ht="15" hidden="false" customHeight="false" outlineLevel="0" collapsed="false">
      <c r="D976" s="20"/>
    </row>
    <row r="977" customFormat="false" ht="15" hidden="false" customHeight="false" outlineLevel="0" collapsed="false">
      <c r="D977" s="20"/>
    </row>
    <row r="978" customFormat="false" ht="15" hidden="false" customHeight="false" outlineLevel="0" collapsed="false">
      <c r="D978" s="20"/>
    </row>
    <row r="979" customFormat="false" ht="15" hidden="false" customHeight="false" outlineLevel="0" collapsed="false">
      <c r="D979" s="20"/>
    </row>
    <row r="980" customFormat="false" ht="15" hidden="false" customHeight="false" outlineLevel="0" collapsed="false">
      <c r="D980" s="20"/>
    </row>
    <row r="981" customFormat="false" ht="15" hidden="false" customHeight="false" outlineLevel="0" collapsed="false">
      <c r="D981" s="20"/>
    </row>
    <row r="982" customFormat="false" ht="15" hidden="false" customHeight="false" outlineLevel="0" collapsed="false">
      <c r="D982" s="20"/>
    </row>
    <row r="983" customFormat="false" ht="15" hidden="false" customHeight="false" outlineLevel="0" collapsed="false">
      <c r="D983" s="20"/>
    </row>
    <row r="984" customFormat="false" ht="15" hidden="false" customHeight="false" outlineLevel="0" collapsed="false">
      <c r="D984" s="20"/>
    </row>
    <row r="985" customFormat="false" ht="15" hidden="false" customHeight="false" outlineLevel="0" collapsed="false">
      <c r="D985" s="20"/>
    </row>
    <row r="986" customFormat="false" ht="15" hidden="false" customHeight="false" outlineLevel="0" collapsed="false">
      <c r="D986" s="20"/>
    </row>
    <row r="987" customFormat="false" ht="15" hidden="false" customHeight="false" outlineLevel="0" collapsed="false">
      <c r="D987" s="20"/>
    </row>
    <row r="988" customFormat="false" ht="15" hidden="false" customHeight="false" outlineLevel="0" collapsed="false">
      <c r="D988" s="20"/>
    </row>
    <row r="989" customFormat="false" ht="15" hidden="false" customHeight="false" outlineLevel="0" collapsed="false">
      <c r="D989" s="20"/>
    </row>
    <row r="990" customFormat="false" ht="15" hidden="false" customHeight="false" outlineLevel="0" collapsed="false">
      <c r="D990" s="20"/>
    </row>
    <row r="991" customFormat="false" ht="15" hidden="false" customHeight="false" outlineLevel="0" collapsed="false">
      <c r="D991" s="20"/>
    </row>
    <row r="992" customFormat="false" ht="15" hidden="false" customHeight="false" outlineLevel="0" collapsed="false">
      <c r="D992" s="20"/>
    </row>
    <row r="993" customFormat="false" ht="15" hidden="false" customHeight="false" outlineLevel="0" collapsed="false">
      <c r="D993" s="20"/>
    </row>
    <row r="994" customFormat="false" ht="15" hidden="false" customHeight="false" outlineLevel="0" collapsed="false">
      <c r="D994" s="20"/>
    </row>
    <row r="995" customFormat="false" ht="15" hidden="false" customHeight="false" outlineLevel="0" collapsed="false">
      <c r="D995" s="20"/>
    </row>
    <row r="996" customFormat="false" ht="15" hidden="false" customHeight="false" outlineLevel="0" collapsed="false">
      <c r="D996" s="20"/>
    </row>
    <row r="997" customFormat="false" ht="15" hidden="false" customHeight="false" outlineLevel="0" collapsed="false">
      <c r="D997" s="20"/>
    </row>
    <row r="998" customFormat="false" ht="15" hidden="false" customHeight="false" outlineLevel="0" collapsed="false">
      <c r="D998" s="20"/>
    </row>
    <row r="999" customFormat="false" ht="15" hidden="false" customHeight="false" outlineLevel="0" collapsed="false">
      <c r="D999" s="20"/>
    </row>
    <row r="1000" customFormat="false" ht="15" hidden="false" customHeight="false" outlineLevel="0" collapsed="false">
      <c r="D1000" s="20"/>
    </row>
    <row r="1001" customFormat="false" ht="15" hidden="false" customHeight="false" outlineLevel="0" collapsed="false">
      <c r="D1001" s="20"/>
    </row>
    <row r="1002" customFormat="false" ht="15" hidden="false" customHeight="false" outlineLevel="0" collapsed="false">
      <c r="D1002" s="20"/>
    </row>
    <row r="1003" customFormat="false" ht="15" hidden="false" customHeight="false" outlineLevel="0" collapsed="false">
      <c r="D1003" s="20"/>
    </row>
    <row r="1004" customFormat="false" ht="15" hidden="false" customHeight="false" outlineLevel="0" collapsed="false">
      <c r="D1004" s="20"/>
    </row>
    <row r="1005" customFormat="false" ht="15" hidden="false" customHeight="false" outlineLevel="0" collapsed="false">
      <c r="D1005" s="20"/>
    </row>
    <row r="1006" customFormat="false" ht="15" hidden="false" customHeight="false" outlineLevel="0" collapsed="false">
      <c r="D1006" s="20"/>
    </row>
    <row r="1007" customFormat="false" ht="15" hidden="false" customHeight="false" outlineLevel="0" collapsed="false">
      <c r="D1007" s="20"/>
    </row>
    <row r="1008" customFormat="false" ht="15" hidden="false" customHeight="false" outlineLevel="0" collapsed="false">
      <c r="D1008" s="20"/>
    </row>
    <row r="1009" customFormat="false" ht="15" hidden="false" customHeight="false" outlineLevel="0" collapsed="false">
      <c r="D1009" s="20"/>
    </row>
    <row r="1010" customFormat="false" ht="15" hidden="false" customHeight="false" outlineLevel="0" collapsed="false">
      <c r="D1010" s="20"/>
    </row>
    <row r="1011" customFormat="false" ht="15" hidden="false" customHeight="false" outlineLevel="0" collapsed="false">
      <c r="D1011" s="20"/>
    </row>
    <row r="1012" customFormat="false" ht="15" hidden="false" customHeight="false" outlineLevel="0" collapsed="false">
      <c r="D1012" s="20"/>
    </row>
    <row r="1013" customFormat="false" ht="15" hidden="false" customHeight="false" outlineLevel="0" collapsed="false">
      <c r="D1013" s="20"/>
    </row>
    <row r="1014" customFormat="false" ht="15" hidden="false" customHeight="false" outlineLevel="0" collapsed="false">
      <c r="D1014" s="20"/>
    </row>
    <row r="1015" customFormat="false" ht="15" hidden="false" customHeight="false" outlineLevel="0" collapsed="false">
      <c r="D1015" s="20"/>
    </row>
    <row r="1016" customFormat="false" ht="15" hidden="false" customHeight="false" outlineLevel="0" collapsed="false">
      <c r="D1016" s="20"/>
    </row>
    <row r="1017" customFormat="false" ht="15" hidden="false" customHeight="false" outlineLevel="0" collapsed="false">
      <c r="D1017" s="20"/>
    </row>
    <row r="1018" customFormat="false" ht="15" hidden="false" customHeight="false" outlineLevel="0" collapsed="false">
      <c r="D1018" s="20"/>
    </row>
    <row r="1019" customFormat="false" ht="15" hidden="false" customHeight="false" outlineLevel="0" collapsed="false">
      <c r="D1019" s="20"/>
    </row>
    <row r="1020" customFormat="false" ht="15" hidden="false" customHeight="false" outlineLevel="0" collapsed="false">
      <c r="D1020" s="20"/>
    </row>
    <row r="1021" customFormat="false" ht="15" hidden="false" customHeight="false" outlineLevel="0" collapsed="false">
      <c r="D1021" s="20"/>
    </row>
    <row r="1022" customFormat="false" ht="15" hidden="false" customHeight="false" outlineLevel="0" collapsed="false">
      <c r="D1022" s="20"/>
    </row>
    <row r="1023" customFormat="false" ht="15" hidden="false" customHeight="false" outlineLevel="0" collapsed="false">
      <c r="D1023" s="20"/>
    </row>
    <row r="1024" customFormat="false" ht="15" hidden="false" customHeight="false" outlineLevel="0" collapsed="false">
      <c r="D1024" s="20"/>
    </row>
    <row r="1025" customFormat="false" ht="15" hidden="false" customHeight="false" outlineLevel="0" collapsed="false">
      <c r="D1025" s="20"/>
    </row>
    <row r="1026" customFormat="false" ht="15" hidden="false" customHeight="false" outlineLevel="0" collapsed="false">
      <c r="D1026" s="20"/>
    </row>
    <row r="1027" customFormat="false" ht="15" hidden="false" customHeight="false" outlineLevel="0" collapsed="false">
      <c r="D1027" s="20"/>
    </row>
    <row r="1028" customFormat="false" ht="15" hidden="false" customHeight="false" outlineLevel="0" collapsed="false">
      <c r="D1028" s="20"/>
    </row>
    <row r="1029" customFormat="false" ht="15" hidden="false" customHeight="false" outlineLevel="0" collapsed="false">
      <c r="D1029" s="20"/>
    </row>
    <row r="1030" customFormat="false" ht="15" hidden="false" customHeight="false" outlineLevel="0" collapsed="false">
      <c r="D1030" s="20"/>
    </row>
    <row r="1031" customFormat="false" ht="15" hidden="false" customHeight="false" outlineLevel="0" collapsed="false">
      <c r="D1031" s="20"/>
    </row>
    <row r="1032" customFormat="false" ht="15" hidden="false" customHeight="false" outlineLevel="0" collapsed="false">
      <c r="D1032" s="20"/>
    </row>
    <row r="1033" customFormat="false" ht="15" hidden="false" customHeight="false" outlineLevel="0" collapsed="false">
      <c r="D1033" s="20"/>
    </row>
    <row r="1034" customFormat="false" ht="15" hidden="false" customHeight="false" outlineLevel="0" collapsed="false">
      <c r="D1034" s="20"/>
    </row>
    <row r="1035" customFormat="false" ht="15" hidden="false" customHeight="false" outlineLevel="0" collapsed="false">
      <c r="D1035" s="20"/>
    </row>
  </sheetData>
  <dataValidations count="2">
    <dataValidation allowBlank="true" errorStyle="stop" operator="between" showDropDown="false" showErrorMessage="false" showInputMessage="false" sqref="E5:E1035" type="list">
      <formula1>"Sí,No,N/A"</formula1>
      <formula2>0</formula2>
    </dataValidation>
    <dataValidation allowBlank="true" errorStyle="stop" operator="between" showDropDown="false" showErrorMessage="false" showInputMessage="false" sqref="F5:F1035" type="list">
      <formula1>"Hoja de firmas,Sesión formativa,Correo,Aplicación,Otra"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Q1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3" min="4" style="0" width="12"/>
  </cols>
  <sheetData>
    <row r="1" customFormat="false" ht="17.35" hidden="false" customHeight="false" outlineLevel="0" collapsed="false">
      <c r="A1" s="7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C4" s="21" t="s">
        <v>135</v>
      </c>
      <c r="D4" s="22" t="str">
        <f aca="false">IF(Instrucciones!$A$5="","",Instrucciones!$A$5)</f>
        <v>PRL-01</v>
      </c>
      <c r="E4" s="22" t="str">
        <f aca="false">IF(Instrucciones!$A$6="","",Instrucciones!$A$6)</f>
        <v>PRL-02</v>
      </c>
      <c r="F4" s="22" t="str">
        <f aca="false">IF(Instrucciones!$A$7="","",Instrucciones!$A$7)</f>
        <v>PRL-03</v>
      </c>
      <c r="G4" s="22" t="str">
        <f aca="false">IF(Instrucciones!$A$8="","",Instrucciones!$A$8)</f>
        <v>PRL-04</v>
      </c>
      <c r="H4" s="22" t="str">
        <f aca="false">IF(Instrucciones!$A$9="","",Instrucciones!$A$9)</f>
        <v>IT-10</v>
      </c>
      <c r="I4" s="22" t="str">
        <f aca="false">IF(Instrucciones!$A$10="","",Instrucciones!$A$10)</f>
        <v>IT-11</v>
      </c>
      <c r="J4" s="22" t="str">
        <f aca="false">IF(Instrucciones!$A$11="","",Instrucciones!$A$11)</f>
        <v>CAL-01</v>
      </c>
      <c r="K4" s="22" t="str">
        <f aca="false">IF(Instrucciones!$A$12="","",Instrucciones!$A$12)</f>
        <v>POL-01</v>
      </c>
      <c r="L4" s="22" t="str">
        <f aca="false">IF(Instrucciones!$A$13="","",Instrucciones!$A$13)</f>
        <v/>
      </c>
      <c r="M4" s="22" t="str">
        <f aca="false">IF(Instrucciones!$A$14="","",Instrucciones!$A$14)</f>
        <v/>
      </c>
      <c r="N4" s="22" t="str">
        <f aca="false">IF(Instrucciones!$A$15="","",Instrucciones!$A$15)</f>
        <v/>
      </c>
      <c r="O4" s="22" t="str">
        <f aca="false">IF(Instrucciones!$A$16="","",Instrucciones!$A$16)</f>
        <v/>
      </c>
      <c r="P4" s="22" t="str">
        <f aca="false">IF(Instrucciones!$A$17="","",Instrucciones!$A$17)</f>
        <v/>
      </c>
      <c r="Q4" s="22" t="str">
        <f aca="false">IF(Instrucciones!$A$18="","",Instrucciones!$A$18)</f>
        <v/>
      </c>
      <c r="R4" s="22" t="str">
        <f aca="false">IF(Instrucciones!$A$19="","",Instrucciones!$A$19)</f>
        <v/>
      </c>
      <c r="S4" s="22" t="str">
        <f aca="false">IF(Instrucciones!$A$20="","",Instrucciones!$A$20)</f>
        <v/>
      </c>
      <c r="T4" s="22" t="str">
        <f aca="false">IF(Instrucciones!$A$21="","",Instrucciones!$A$21)</f>
        <v/>
      </c>
      <c r="U4" s="22" t="str">
        <f aca="false">IF(Instrucciones!$A$22="","",Instrucciones!$A$22)</f>
        <v/>
      </c>
      <c r="V4" s="22" t="str">
        <f aca="false">IF(Instrucciones!$A$23="","",Instrucciones!$A$23)</f>
        <v/>
      </c>
      <c r="W4" s="22" t="str">
        <f aca="false">IF(Instrucciones!$A$24="","",Instrucciones!$A$24)</f>
        <v/>
      </c>
      <c r="X4" s="22" t="str">
        <f aca="false">IF(Instrucciones!$A$25="","",Instrucciones!$A$25)</f>
        <v/>
      </c>
      <c r="Y4" s="22" t="str">
        <f aca="false">IF(Instrucciones!$A$26="","",Instrucciones!$A$26)</f>
        <v/>
      </c>
      <c r="Z4" s="22" t="str">
        <f aca="false">IF(Instrucciones!$A$27="","",Instrucciones!$A$27)</f>
        <v/>
      </c>
      <c r="AA4" s="22" t="str">
        <f aca="false">IF(Instrucciones!$A$28="","",Instrucciones!$A$28)</f>
        <v/>
      </c>
      <c r="AB4" s="22" t="str">
        <f aca="false">IF(Instrucciones!$A$29="","",Instrucciones!$A$29)</f>
        <v/>
      </c>
      <c r="AC4" s="22" t="str">
        <f aca="false">IF(Instrucciones!$A$30="","",Instrucciones!$A$30)</f>
        <v/>
      </c>
      <c r="AD4" s="22" t="str">
        <f aca="false">IF(Instrucciones!$A$31="","",Instrucciones!$A$31)</f>
        <v/>
      </c>
      <c r="AE4" s="22" t="str">
        <f aca="false">IF(Instrucciones!$A$32="","",Instrucciones!$A$32)</f>
        <v/>
      </c>
      <c r="AF4" s="22" t="str">
        <f aca="false">IF(Instrucciones!$A$33="","",Instrucciones!$A$33)</f>
        <v/>
      </c>
      <c r="AG4" s="22" t="str">
        <f aca="false">IF(Instrucciones!$A$34="","",Instrucciones!$A$34)</f>
        <v/>
      </c>
      <c r="AH4" s="22" t="str">
        <f aca="false">IF(Instrucciones!$A$35="","",Instrucciones!$A$35)</f>
        <v/>
      </c>
      <c r="AI4" s="22" t="str">
        <f aca="false">IF(Instrucciones!$A$36="","",Instrucciones!$A$36)</f>
        <v/>
      </c>
      <c r="AJ4" s="22" t="str">
        <f aca="false">IF(Instrucciones!$A$37="","",Instrucciones!$A$37)</f>
        <v/>
      </c>
      <c r="AK4" s="22" t="str">
        <f aca="false">IF(Instrucciones!$A$38="","",Instrucciones!$A$38)</f>
        <v/>
      </c>
      <c r="AL4" s="22" t="str">
        <f aca="false">IF(Instrucciones!$A$39="","",Instrucciones!$A$39)</f>
        <v/>
      </c>
      <c r="AM4" s="22" t="str">
        <f aca="false">IF(Instrucciones!$A$40="","",Instrucciones!$A$40)</f>
        <v/>
      </c>
      <c r="AN4" s="22" t="str">
        <f aca="false">IF(Instrucciones!$A$41="","",Instrucciones!$A$41)</f>
        <v/>
      </c>
      <c r="AO4" s="22" t="str">
        <f aca="false">IF(Instrucciones!$A$42="","",Instrucciones!$A$42)</f>
        <v/>
      </c>
      <c r="AP4" s="22" t="str">
        <f aca="false">IF(Instrucciones!$A$43="","",Instrucciones!$A$43)</f>
        <v/>
      </c>
      <c r="AQ4" s="22" t="str">
        <f aca="false">IF(Instrucciones!$A$44="","",Instrucciones!$A$44)</f>
        <v/>
      </c>
    </row>
    <row r="5" customFormat="false" ht="15" hidden="false" customHeight="false" outlineLevel="0" collapsed="false">
      <c r="C5" s="21" t="s">
        <v>46</v>
      </c>
      <c r="D5" s="23" t="n">
        <f aca="false">IF(D$4="","",Instrucciones!$D$5)</f>
        <v>3</v>
      </c>
      <c r="E5" s="23" t="n">
        <f aca="false">IF(E$4="","",Instrucciones!$D$6)</f>
        <v>2</v>
      </c>
      <c r="F5" s="23" t="n">
        <f aca="false">IF(F$4="","",Instrucciones!$D$7)</f>
        <v>1</v>
      </c>
      <c r="G5" s="23" t="n">
        <f aca="false">IF(G$4="","",Instrucciones!$D$8)</f>
        <v>2</v>
      </c>
      <c r="H5" s="23" t="n">
        <f aca="false">IF(H$4="","",Instrucciones!$D$9)</f>
        <v>4</v>
      </c>
      <c r="I5" s="23" t="n">
        <f aca="false">IF(I$4="","",Instrucciones!$D$10)</f>
        <v>2</v>
      </c>
      <c r="J5" s="23" t="n">
        <f aca="false">IF(J$4="","",Instrucciones!$D$11)</f>
        <v>1</v>
      </c>
      <c r="K5" s="23" t="n">
        <f aca="false">IF(K$4="","",Instrucciones!$D$12)</f>
        <v>1</v>
      </c>
      <c r="L5" s="23" t="str">
        <f aca="false">IF(L$4="","",Instrucciones!$D$13)</f>
        <v/>
      </c>
      <c r="M5" s="23" t="str">
        <f aca="false">IF(M$4="","",Instrucciones!$D$14)</f>
        <v/>
      </c>
      <c r="N5" s="23" t="str">
        <f aca="false">IF(N$4="","",Instrucciones!$D$15)</f>
        <v/>
      </c>
      <c r="O5" s="23" t="str">
        <f aca="false">IF(O$4="","",Instrucciones!$D$16)</f>
        <v/>
      </c>
      <c r="P5" s="23" t="str">
        <f aca="false">IF(P$4="","",Instrucciones!$D$17)</f>
        <v/>
      </c>
      <c r="Q5" s="23" t="str">
        <f aca="false">IF(Q$4="","",Instrucciones!$D$18)</f>
        <v/>
      </c>
      <c r="R5" s="23" t="str">
        <f aca="false">IF(R$4="","",Instrucciones!$D$19)</f>
        <v/>
      </c>
      <c r="S5" s="23" t="str">
        <f aca="false">IF(S$4="","",Instrucciones!$D$20)</f>
        <v/>
      </c>
      <c r="T5" s="23" t="str">
        <f aca="false">IF(T$4="","",Instrucciones!$D$21)</f>
        <v/>
      </c>
      <c r="U5" s="23" t="str">
        <f aca="false">IF(U$4="","",Instrucciones!$D$22)</f>
        <v/>
      </c>
      <c r="V5" s="23" t="str">
        <f aca="false">IF(V$4="","",Instrucciones!$D$23)</f>
        <v/>
      </c>
      <c r="W5" s="23" t="str">
        <f aca="false">IF(W$4="","",Instrucciones!$D$24)</f>
        <v/>
      </c>
      <c r="X5" s="23" t="str">
        <f aca="false">IF(X$4="","",Instrucciones!$D$25)</f>
        <v/>
      </c>
      <c r="Y5" s="23" t="str">
        <f aca="false">IF(Y$4="","",Instrucciones!$D$26)</f>
        <v/>
      </c>
      <c r="Z5" s="23" t="str">
        <f aca="false">IF(Z$4="","",Instrucciones!$D$27)</f>
        <v/>
      </c>
      <c r="AA5" s="23" t="str">
        <f aca="false">IF(AA$4="","",Instrucciones!$D$28)</f>
        <v/>
      </c>
      <c r="AB5" s="23" t="str">
        <f aca="false">IF(AB$4="","",Instrucciones!$D$29)</f>
        <v/>
      </c>
      <c r="AC5" s="23" t="str">
        <f aca="false">IF(AC$4="","",Instrucciones!$D$30)</f>
        <v/>
      </c>
      <c r="AD5" s="23" t="str">
        <f aca="false">IF(AD$4="","",Instrucciones!$D$31)</f>
        <v/>
      </c>
      <c r="AE5" s="23" t="str">
        <f aca="false">IF(AE$4="","",Instrucciones!$D$32)</f>
        <v/>
      </c>
      <c r="AF5" s="23" t="str">
        <f aca="false">IF(AF$4="","",Instrucciones!$D$33)</f>
        <v/>
      </c>
      <c r="AG5" s="23" t="str">
        <f aca="false">IF(AG$4="","",Instrucciones!$D$34)</f>
        <v/>
      </c>
      <c r="AH5" s="23" t="str">
        <f aca="false">IF(AH$4="","",Instrucciones!$D$35)</f>
        <v/>
      </c>
      <c r="AI5" s="23" t="str">
        <f aca="false">IF(AI$4="","",Instrucciones!$D$36)</f>
        <v/>
      </c>
      <c r="AJ5" s="23" t="str">
        <f aca="false">IF(AJ$4="","",Instrucciones!$D$37)</f>
        <v/>
      </c>
      <c r="AK5" s="23" t="str">
        <f aca="false">IF(AK$4="","",Instrucciones!$D$38)</f>
        <v/>
      </c>
      <c r="AL5" s="23" t="str">
        <f aca="false">IF(AL$4="","",Instrucciones!$D$39)</f>
        <v/>
      </c>
      <c r="AM5" s="23" t="str">
        <f aca="false">IF(AM$4="","",Instrucciones!$D$40)</f>
        <v/>
      </c>
      <c r="AN5" s="23" t="str">
        <f aca="false">IF(AN$4="","",Instrucciones!$D$41)</f>
        <v/>
      </c>
      <c r="AO5" s="23" t="str">
        <f aca="false">IF(AO$4="","",Instrucciones!$D$42)</f>
        <v/>
      </c>
      <c r="AP5" s="23" t="str">
        <f aca="false">IF(AP$4="","",Instrucciones!$D$43)</f>
        <v/>
      </c>
      <c r="AQ5" s="23" t="str">
        <f aca="false">IF(AQ$4="","",Instrucciones!$D$44)</f>
        <v/>
      </c>
    </row>
    <row r="6" customFormat="false" ht="15" hidden="false" customHeight="false" outlineLevel="0" collapsed="false">
      <c r="C6" s="21" t="s">
        <v>49</v>
      </c>
      <c r="D6" s="23" t="str">
        <f aca="false">IF(D$4="","",Instrucciones!$G$5)</f>
        <v>Toda la plantilla</v>
      </c>
      <c r="E6" s="23" t="str">
        <f aca="false">IF(E$4="","",Instrucciones!$G$6)</f>
        <v>Por puesto</v>
      </c>
      <c r="F6" s="23" t="str">
        <f aca="false">IF(F$4="","",Instrucciones!$G$7)</f>
        <v>Por puesto</v>
      </c>
      <c r="G6" s="23" t="str">
        <f aca="false">IF(G$4="","",Instrucciones!$G$8)</f>
        <v>Por puesto</v>
      </c>
      <c r="H6" s="23" t="str">
        <f aca="false">IF(H$4="","",Instrucciones!$G$9)</f>
        <v>Por puesto</v>
      </c>
      <c r="I6" s="23" t="str">
        <f aca="false">IF(I$4="","",Instrucciones!$G$10)</f>
        <v>Por puesto</v>
      </c>
      <c r="J6" s="23" t="str">
        <f aca="false">IF(J$4="","",Instrucciones!$G$11)</f>
        <v>Por puesto</v>
      </c>
      <c r="K6" s="23" t="str">
        <f aca="false">IF(K$4="","",Instrucciones!$G$12)</f>
        <v>Toda la plantilla</v>
      </c>
      <c r="L6" s="23" t="str">
        <f aca="false">IF(L$4="","",Instrucciones!$G$13)</f>
        <v/>
      </c>
      <c r="M6" s="23" t="str">
        <f aca="false">IF(M$4="","",Instrucciones!$G$14)</f>
        <v/>
      </c>
      <c r="N6" s="23" t="str">
        <f aca="false">IF(N$4="","",Instrucciones!$G$15)</f>
        <v/>
      </c>
      <c r="O6" s="23" t="str">
        <f aca="false">IF(O$4="","",Instrucciones!$G$16)</f>
        <v/>
      </c>
      <c r="P6" s="23" t="str">
        <f aca="false">IF(P$4="","",Instrucciones!$G$17)</f>
        <v/>
      </c>
      <c r="Q6" s="23" t="str">
        <f aca="false">IF(Q$4="","",Instrucciones!$G$18)</f>
        <v/>
      </c>
      <c r="R6" s="23" t="str">
        <f aca="false">IF(R$4="","",Instrucciones!$G$19)</f>
        <v/>
      </c>
      <c r="S6" s="23" t="str">
        <f aca="false">IF(S$4="","",Instrucciones!$G$20)</f>
        <v/>
      </c>
      <c r="T6" s="23" t="str">
        <f aca="false">IF(T$4="","",Instrucciones!$G$21)</f>
        <v/>
      </c>
      <c r="U6" s="23" t="str">
        <f aca="false">IF(U$4="","",Instrucciones!$G$22)</f>
        <v/>
      </c>
      <c r="V6" s="23" t="str">
        <f aca="false">IF(V$4="","",Instrucciones!$G$23)</f>
        <v/>
      </c>
      <c r="W6" s="23" t="str">
        <f aca="false">IF(W$4="","",Instrucciones!$G$24)</f>
        <v/>
      </c>
      <c r="X6" s="23" t="str">
        <f aca="false">IF(X$4="","",Instrucciones!$G$25)</f>
        <v/>
      </c>
      <c r="Y6" s="23" t="str">
        <f aca="false">IF(Y$4="","",Instrucciones!$G$26)</f>
        <v/>
      </c>
      <c r="Z6" s="23" t="str">
        <f aca="false">IF(Z$4="","",Instrucciones!$G$27)</f>
        <v/>
      </c>
      <c r="AA6" s="23" t="str">
        <f aca="false">IF(AA$4="","",Instrucciones!$G$28)</f>
        <v/>
      </c>
      <c r="AB6" s="23" t="str">
        <f aca="false">IF(AB$4="","",Instrucciones!$G$29)</f>
        <v/>
      </c>
      <c r="AC6" s="23" t="str">
        <f aca="false">IF(AC$4="","",Instrucciones!$G$30)</f>
        <v/>
      </c>
      <c r="AD6" s="23" t="str">
        <f aca="false">IF(AD$4="","",Instrucciones!$G$31)</f>
        <v/>
      </c>
      <c r="AE6" s="23" t="str">
        <f aca="false">IF(AE$4="","",Instrucciones!$G$32)</f>
        <v/>
      </c>
      <c r="AF6" s="23" t="str">
        <f aca="false">IF(AF$4="","",Instrucciones!$G$33)</f>
        <v/>
      </c>
      <c r="AG6" s="23" t="str">
        <f aca="false">IF(AG$4="","",Instrucciones!$G$34)</f>
        <v/>
      </c>
      <c r="AH6" s="23" t="str">
        <f aca="false">IF(AH$4="","",Instrucciones!$G$35)</f>
        <v/>
      </c>
      <c r="AI6" s="23" t="str">
        <f aca="false">IF(AI$4="","",Instrucciones!$G$36)</f>
        <v/>
      </c>
      <c r="AJ6" s="23" t="str">
        <f aca="false">IF(AJ$4="","",Instrucciones!$G$37)</f>
        <v/>
      </c>
      <c r="AK6" s="23" t="str">
        <f aca="false">IF(AK$4="","",Instrucciones!$G$38)</f>
        <v/>
      </c>
      <c r="AL6" s="23" t="str">
        <f aca="false">IF(AL$4="","",Instrucciones!$G$39)</f>
        <v/>
      </c>
      <c r="AM6" s="23" t="str">
        <f aca="false">IF(AM$4="","",Instrucciones!$G$40)</f>
        <v/>
      </c>
      <c r="AN6" s="23" t="str">
        <f aca="false">IF(AN$4="","",Instrucciones!$G$41)</f>
        <v/>
      </c>
      <c r="AO6" s="23" t="str">
        <f aca="false">IF(AO$4="","",Instrucciones!$G$42)</f>
        <v/>
      </c>
      <c r="AP6" s="23" t="str">
        <f aca="false">IF(AP$4="","",Instrucciones!$G$43)</f>
        <v/>
      </c>
      <c r="AQ6" s="23" t="str">
        <f aca="false">IF(AQ$4="","",Instrucciones!$G$44)</f>
        <v/>
      </c>
    </row>
    <row r="7" customFormat="false" ht="19.4" hidden="false" customHeight="false" outlineLevel="0" collapsed="false">
      <c r="C7" s="21" t="s">
        <v>136</v>
      </c>
      <c r="D7" s="23" t="str">
        <f aca="false">IF(D$4="","",Instrucciones!$H$5&amp;"")</f>
        <v/>
      </c>
      <c r="E7" s="23" t="str">
        <f aca="false">IF(E$4="","",Instrucciones!$H$6&amp;"")</f>
        <v>Logística; Almacén</v>
      </c>
      <c r="F7" s="23" t="str">
        <f aca="false">IF(F$4="","",Instrucciones!$H$7&amp;"")</f>
        <v>Mantenimiento; Producción</v>
      </c>
      <c r="G7" s="23" t="str">
        <f aca="false">IF(G$4="","",Instrucciones!$H$8&amp;"")</f>
        <v>Producción</v>
      </c>
      <c r="H7" s="23" t="str">
        <f aca="false">IF(H$4="","",Instrucciones!$H$9&amp;"")</f>
        <v>Producción</v>
      </c>
      <c r="I7" s="23" t="str">
        <f aca="false">IF(I$4="","",Instrucciones!$H$10&amp;"")</f>
        <v>Producción</v>
      </c>
      <c r="J7" s="23" t="str">
        <f aca="false">IF(J$4="","",Instrucciones!$H$11&amp;"")</f>
        <v>Producción; Calidad</v>
      </c>
      <c r="K7" s="23" t="str">
        <f aca="false">IF(K$4="","",Instrucciones!$H$12&amp;"")</f>
        <v/>
      </c>
      <c r="L7" s="23" t="str">
        <f aca="false">IF(L$4="","",Instrucciones!$H$13&amp;"")</f>
        <v/>
      </c>
      <c r="M7" s="23" t="str">
        <f aca="false">IF(M$4="","",Instrucciones!$H$14&amp;"")</f>
        <v/>
      </c>
      <c r="N7" s="23" t="str">
        <f aca="false">IF(N$4="","",Instrucciones!$H$15&amp;"")</f>
        <v/>
      </c>
      <c r="O7" s="23" t="str">
        <f aca="false">IF(O$4="","",Instrucciones!$H$16&amp;"")</f>
        <v/>
      </c>
      <c r="P7" s="23" t="str">
        <f aca="false">IF(P$4="","",Instrucciones!$H$17&amp;"")</f>
        <v/>
      </c>
      <c r="Q7" s="23" t="str">
        <f aca="false">IF(Q$4="","",Instrucciones!$H$18&amp;"")</f>
        <v/>
      </c>
      <c r="R7" s="23" t="str">
        <f aca="false">IF(R$4="","",Instrucciones!$H$19&amp;"")</f>
        <v/>
      </c>
      <c r="S7" s="23" t="str">
        <f aca="false">IF(S$4="","",Instrucciones!$H$20&amp;"")</f>
        <v/>
      </c>
      <c r="T7" s="23" t="str">
        <f aca="false">IF(T$4="","",Instrucciones!$H$21&amp;"")</f>
        <v/>
      </c>
      <c r="U7" s="23" t="str">
        <f aca="false">IF(U$4="","",Instrucciones!$H$22&amp;"")</f>
        <v/>
      </c>
      <c r="V7" s="23" t="str">
        <f aca="false">IF(V$4="","",Instrucciones!$H$23&amp;"")</f>
        <v/>
      </c>
      <c r="W7" s="23" t="str">
        <f aca="false">IF(W$4="","",Instrucciones!$H$24&amp;"")</f>
        <v/>
      </c>
      <c r="X7" s="23" t="str">
        <f aca="false">IF(X$4="","",Instrucciones!$H$25&amp;"")</f>
        <v/>
      </c>
      <c r="Y7" s="23" t="str">
        <f aca="false">IF(Y$4="","",Instrucciones!$H$26&amp;"")</f>
        <v/>
      </c>
      <c r="Z7" s="23" t="str">
        <f aca="false">IF(Z$4="","",Instrucciones!$H$27&amp;"")</f>
        <v/>
      </c>
      <c r="AA7" s="23" t="str">
        <f aca="false">IF(AA$4="","",Instrucciones!$H$28&amp;"")</f>
        <v/>
      </c>
      <c r="AB7" s="23" t="str">
        <f aca="false">IF(AB$4="","",Instrucciones!$H$29&amp;"")</f>
        <v/>
      </c>
      <c r="AC7" s="23" t="str">
        <f aca="false">IF(AC$4="","",Instrucciones!$H$30&amp;"")</f>
        <v/>
      </c>
      <c r="AD7" s="23" t="str">
        <f aca="false">IF(AD$4="","",Instrucciones!$H$31&amp;"")</f>
        <v/>
      </c>
      <c r="AE7" s="23" t="str">
        <f aca="false">IF(AE$4="","",Instrucciones!$H$32&amp;"")</f>
        <v/>
      </c>
      <c r="AF7" s="23" t="str">
        <f aca="false">IF(AF$4="","",Instrucciones!$H$33&amp;"")</f>
        <v/>
      </c>
      <c r="AG7" s="23" t="str">
        <f aca="false">IF(AG$4="","",Instrucciones!$H$34&amp;"")</f>
        <v/>
      </c>
      <c r="AH7" s="23" t="str">
        <f aca="false">IF(AH$4="","",Instrucciones!$H$35&amp;"")</f>
        <v/>
      </c>
      <c r="AI7" s="23" t="str">
        <f aca="false">IF(AI$4="","",Instrucciones!$H$36&amp;"")</f>
        <v/>
      </c>
      <c r="AJ7" s="23" t="str">
        <f aca="false">IF(AJ$4="","",Instrucciones!$H$37&amp;"")</f>
        <v/>
      </c>
      <c r="AK7" s="23" t="str">
        <f aca="false">IF(AK$4="","",Instrucciones!$H$38&amp;"")</f>
        <v/>
      </c>
      <c r="AL7" s="23" t="str">
        <f aca="false">IF(AL$4="","",Instrucciones!$H$39&amp;"")</f>
        <v/>
      </c>
      <c r="AM7" s="23" t="str">
        <f aca="false">IF(AM$4="","",Instrucciones!$H$40&amp;"")</f>
        <v/>
      </c>
      <c r="AN7" s="23" t="str">
        <f aca="false">IF(AN$4="","",Instrucciones!$H$41&amp;"")</f>
        <v/>
      </c>
      <c r="AO7" s="23" t="str">
        <f aca="false">IF(AO$4="","",Instrucciones!$H$42&amp;"")</f>
        <v/>
      </c>
      <c r="AP7" s="23" t="str">
        <f aca="false">IF(AP$4="","",Instrucciones!$H$43&amp;"")</f>
        <v/>
      </c>
      <c r="AQ7" s="23" t="str">
        <f aca="false">IF(AQ$4="","",Instrucciones!$H$44&amp;"")</f>
        <v/>
      </c>
    </row>
    <row r="8" customFormat="false" ht="15" hidden="false" customHeight="false" outlineLevel="0" collapsed="false">
      <c r="C8" s="21" t="s">
        <v>137</v>
      </c>
      <c r="D8" s="23" t="n">
        <f aca="false">IF(D$4="","",N(Instrucciones!$I$5))</f>
        <v>12</v>
      </c>
      <c r="E8" s="23" t="n">
        <f aca="false">IF(E$4="","",N(Instrucciones!$I$6))</f>
        <v>24</v>
      </c>
      <c r="F8" s="23" t="n">
        <f aca="false">IF(F$4="","",N(Instrucciones!$I$7))</f>
        <v>12</v>
      </c>
      <c r="G8" s="23" t="n">
        <f aca="false">IF(G$4="","",N(Instrucciones!$I$8))</f>
        <v>0</v>
      </c>
      <c r="H8" s="23" t="n">
        <f aca="false">IF(H$4="","",N(Instrucciones!$I$9))</f>
        <v>0</v>
      </c>
      <c r="I8" s="23" t="n">
        <f aca="false">IF(I$4="","",N(Instrucciones!$I$10))</f>
        <v>0</v>
      </c>
      <c r="J8" s="23" t="n">
        <f aca="false">IF(J$4="","",N(Instrucciones!$I$11))</f>
        <v>0</v>
      </c>
      <c r="K8" s="23" t="n">
        <f aca="false">IF(K$4="","",N(Instrucciones!$I$12))</f>
        <v>0</v>
      </c>
      <c r="L8" s="23" t="str">
        <f aca="false">IF(L$4="","",N(Instrucciones!$I$13))</f>
        <v/>
      </c>
      <c r="M8" s="23" t="str">
        <f aca="false">IF(M$4="","",N(Instrucciones!$I$14))</f>
        <v/>
      </c>
      <c r="N8" s="23" t="str">
        <f aca="false">IF(N$4="","",N(Instrucciones!$I$15))</f>
        <v/>
      </c>
      <c r="O8" s="23" t="str">
        <f aca="false">IF(O$4="","",N(Instrucciones!$I$16))</f>
        <v/>
      </c>
      <c r="P8" s="23" t="str">
        <f aca="false">IF(P$4="","",N(Instrucciones!$I$17))</f>
        <v/>
      </c>
      <c r="Q8" s="23" t="str">
        <f aca="false">IF(Q$4="","",N(Instrucciones!$I$18))</f>
        <v/>
      </c>
      <c r="R8" s="23" t="str">
        <f aca="false">IF(R$4="","",N(Instrucciones!$I$19))</f>
        <v/>
      </c>
      <c r="S8" s="23" t="str">
        <f aca="false">IF(S$4="","",N(Instrucciones!$I$20))</f>
        <v/>
      </c>
      <c r="T8" s="23" t="str">
        <f aca="false">IF(T$4="","",N(Instrucciones!$I$21))</f>
        <v/>
      </c>
      <c r="U8" s="23" t="str">
        <f aca="false">IF(U$4="","",N(Instrucciones!$I$22))</f>
        <v/>
      </c>
      <c r="V8" s="23" t="str">
        <f aca="false">IF(V$4="","",N(Instrucciones!$I$23))</f>
        <v/>
      </c>
      <c r="W8" s="23" t="str">
        <f aca="false">IF(W$4="","",N(Instrucciones!$I$24))</f>
        <v/>
      </c>
      <c r="X8" s="23" t="str">
        <f aca="false">IF(X$4="","",N(Instrucciones!$I$25))</f>
        <v/>
      </c>
      <c r="Y8" s="23" t="str">
        <f aca="false">IF(Y$4="","",N(Instrucciones!$I$26))</f>
        <v/>
      </c>
      <c r="Z8" s="23" t="str">
        <f aca="false">IF(Z$4="","",N(Instrucciones!$I$27))</f>
        <v/>
      </c>
      <c r="AA8" s="23" t="str">
        <f aca="false">IF(AA$4="","",N(Instrucciones!$I$28))</f>
        <v/>
      </c>
      <c r="AB8" s="23" t="str">
        <f aca="false">IF(AB$4="","",N(Instrucciones!$I$29))</f>
        <v/>
      </c>
      <c r="AC8" s="23" t="str">
        <f aca="false">IF(AC$4="","",N(Instrucciones!$I$30))</f>
        <v/>
      </c>
      <c r="AD8" s="23" t="str">
        <f aca="false">IF(AD$4="","",N(Instrucciones!$I$31))</f>
        <v/>
      </c>
      <c r="AE8" s="23" t="str">
        <f aca="false">IF(AE$4="","",N(Instrucciones!$I$32))</f>
        <v/>
      </c>
      <c r="AF8" s="23" t="str">
        <f aca="false">IF(AF$4="","",N(Instrucciones!$I$33))</f>
        <v/>
      </c>
      <c r="AG8" s="23" t="str">
        <f aca="false">IF(AG$4="","",N(Instrucciones!$I$34))</f>
        <v/>
      </c>
      <c r="AH8" s="23" t="str">
        <f aca="false">IF(AH$4="","",N(Instrucciones!$I$35))</f>
        <v/>
      </c>
      <c r="AI8" s="23" t="str">
        <f aca="false">IF(AI$4="","",N(Instrucciones!$I$36))</f>
        <v/>
      </c>
      <c r="AJ8" s="23" t="str">
        <f aca="false">IF(AJ$4="","",N(Instrucciones!$I$37))</f>
        <v/>
      </c>
      <c r="AK8" s="23" t="str">
        <f aca="false">IF(AK$4="","",N(Instrucciones!$I$38))</f>
        <v/>
      </c>
      <c r="AL8" s="23" t="str">
        <f aca="false">IF(AL$4="","",N(Instrucciones!$I$39))</f>
        <v/>
      </c>
      <c r="AM8" s="23" t="str">
        <f aca="false">IF(AM$4="","",N(Instrucciones!$I$40))</f>
        <v/>
      </c>
      <c r="AN8" s="23" t="str">
        <f aca="false">IF(AN$4="","",N(Instrucciones!$I$41))</f>
        <v/>
      </c>
      <c r="AO8" s="23" t="str">
        <f aca="false">IF(AO$4="","",N(Instrucciones!$I$42))</f>
        <v/>
      </c>
      <c r="AP8" s="23" t="str">
        <f aca="false">IF(AP$4="","",N(Instrucciones!$I$43))</f>
        <v/>
      </c>
      <c r="AQ8" s="23" t="str">
        <f aca="false">IF(AQ$4="","",N(Instrucciones!$I$44))</f>
        <v/>
      </c>
    </row>
    <row r="9" customFormat="false" ht="15" hidden="false" customHeight="false" outlineLevel="0" collapsed="false">
      <c r="A9" s="22" t="s">
        <v>86</v>
      </c>
      <c r="B9" s="22" t="s">
        <v>87</v>
      </c>
      <c r="C9" s="22" t="s">
        <v>88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</row>
    <row r="10" customFormat="false" ht="15" hidden="false" customHeight="false" outlineLevel="0" collapsed="false">
      <c r="A10" s="25" t="str">
        <f aca="false">IF(AND(Trabajadores!$A$5&lt;&gt;"",Trabajadores!$G$5&lt;&gt;"No"),Trabajadores!$A$5,"")</f>
        <v>T001</v>
      </c>
      <c r="B10" s="25" t="str">
        <f aca="false">IF($A10="","",Trabajadores!$B$5)</f>
        <v>Ana López</v>
      </c>
      <c r="C10" s="25" t="str">
        <f aca="false">IF($A10="","",Trabajadores!$C$5)</f>
        <v>Producción</v>
      </c>
      <c r="D10" s="26" t="str">
        <f aca="false">IF(OR($A10="",D$4=""),"",IF(NOT(OR(D$6="Toda la plantilla",ISNUMBER(SEARCH(";"&amp;SUBSTITUTE($C10," ","")&amp;";",";"&amp;SUBSTITUTE(D$7," ","")&amp;";")))),"—",IF(_xlfn.MAXIFS(Acuses!$C$5:$C$3004,Acuses!$A$5:$A$3004,$A10,Acuses!$B$5:$B$3004,D$4)&lt;D$5,"Pendiente",IF(D$8=0,"OK",IF(EDATE(_xlfn.MAXIFS(Acuses!$D$5:$D$3004,Acuses!$A$5:$A$3004,$A10,Acuses!$B$5:$B$3004,D$4,Acuses!$C$5:$C$3004,D$5),D$8)&lt;Resumen!$C$4,"Caducado",IF(EDATE(_xlfn.MAXIFS(Acuses!$D$5:$D$3004,Acuses!$A$5:$A$3004,$A10,Acuses!$B$5:$B$3004,D$4,Acuses!$C$5:$C$3004,D$5),D$8)&lt;Resumen!$C$4+30,"Caduca pronto","OK"))))))</f>
        <v>OK</v>
      </c>
      <c r="E10" s="26" t="str">
        <f aca="false">IF(OR($A10="",E$4=""),"",IF(NOT(OR(E$6="Toda la plantilla",ISNUMBER(SEARCH(";"&amp;SUBSTITUTE($C10," ","")&amp;";",";"&amp;SUBSTITUTE(E$7," ","")&amp;";")))),"—",IF(_xlfn.MAXIFS(Acuses!$C$5:$C$3004,Acuses!$A$5:$A$3004,$A10,Acuses!$B$5:$B$3004,E$4)&lt;E$5,"Pendiente",IF(E$8=0,"OK",IF(EDATE(_xlfn.MAXIFS(Acuses!$D$5:$D$3004,Acuses!$A$5:$A$3004,$A10,Acuses!$B$5:$B$3004,E$4,Acuses!$C$5:$C$3004,E$5),E$8)&lt;Resumen!$C$4,"Caducado",IF(EDATE(_xlfn.MAXIFS(Acuses!$D$5:$D$3004,Acuses!$A$5:$A$3004,$A10,Acuses!$B$5:$B$3004,E$4,Acuses!$C$5:$C$3004,E$5),E$8)&lt;Resumen!$C$4+30,"Caduca pronto","OK"))))))</f>
        <v>—</v>
      </c>
      <c r="F10" s="26" t="str">
        <f aca="false">IF(OR($A10="",F$4=""),"",IF(NOT(OR(F$6="Toda la plantilla",ISNUMBER(SEARCH(";"&amp;SUBSTITUTE($C10," ","")&amp;";",";"&amp;SUBSTITUTE(F$7," ","")&amp;";")))),"—",IF(_xlfn.MAXIFS(Acuses!$C$5:$C$3004,Acuses!$A$5:$A$3004,$A10,Acuses!$B$5:$B$3004,F$4)&lt;F$5,"Pendiente",IF(F$8=0,"OK",IF(EDATE(_xlfn.MAXIFS(Acuses!$D$5:$D$3004,Acuses!$A$5:$A$3004,$A10,Acuses!$B$5:$B$3004,F$4,Acuses!$C$5:$C$3004,F$5),F$8)&lt;Resumen!$C$4,"Caducado",IF(EDATE(_xlfn.MAXIFS(Acuses!$D$5:$D$3004,Acuses!$A$5:$A$3004,$A10,Acuses!$B$5:$B$3004,F$4,Acuses!$C$5:$C$3004,F$5),F$8)&lt;Resumen!$C$4+30,"Caduca pronto","OK"))))))</f>
        <v>OK</v>
      </c>
      <c r="G10" s="26" t="str">
        <f aca="false">IF(OR($A10="",G$4=""),"",IF(NOT(OR(G$6="Toda la plantilla",ISNUMBER(SEARCH(";"&amp;SUBSTITUTE($C10," ","")&amp;";",";"&amp;SUBSTITUTE(G$7," ","")&amp;";")))),"—",IF(_xlfn.MAXIFS(Acuses!$C$5:$C$3004,Acuses!$A$5:$A$3004,$A10,Acuses!$B$5:$B$3004,G$4)&lt;G$5,"Pendiente",IF(G$8=0,"OK",IF(EDATE(_xlfn.MAXIFS(Acuses!$D$5:$D$3004,Acuses!$A$5:$A$3004,$A10,Acuses!$B$5:$B$3004,G$4,Acuses!$C$5:$C$3004,G$5),G$8)&lt;Resumen!$C$4,"Caducado",IF(EDATE(_xlfn.MAXIFS(Acuses!$D$5:$D$3004,Acuses!$A$5:$A$3004,$A10,Acuses!$B$5:$B$3004,G$4,Acuses!$C$5:$C$3004,G$5),G$8)&lt;Resumen!$C$4+30,"Caduca pronto","OK"))))))</f>
        <v>OK</v>
      </c>
      <c r="H10" s="26" t="str">
        <f aca="false">IF(OR($A10="",H$4=""),"",IF(NOT(OR(H$6="Toda la plantilla",ISNUMBER(SEARCH(";"&amp;SUBSTITUTE($C10," ","")&amp;";",";"&amp;SUBSTITUTE(H$7," ","")&amp;";")))),"—",IF(_xlfn.MAXIFS(Acuses!$C$5:$C$3004,Acuses!$A$5:$A$3004,$A10,Acuses!$B$5:$B$3004,H$4)&lt;H$5,"Pendiente",IF(H$8=0,"OK",IF(EDATE(_xlfn.MAXIFS(Acuses!$D$5:$D$3004,Acuses!$A$5:$A$3004,$A10,Acuses!$B$5:$B$3004,H$4,Acuses!$C$5:$C$3004,H$5),H$8)&lt;Resumen!$C$4,"Caducado",IF(EDATE(_xlfn.MAXIFS(Acuses!$D$5:$D$3004,Acuses!$A$5:$A$3004,$A10,Acuses!$B$5:$B$3004,H$4,Acuses!$C$5:$C$3004,H$5),H$8)&lt;Resumen!$C$4+30,"Caduca pronto","OK"))))))</f>
        <v>OK</v>
      </c>
      <c r="I10" s="26" t="str">
        <f aca="false">IF(OR($A10="",I$4=""),"",IF(NOT(OR(I$6="Toda la plantilla",ISNUMBER(SEARCH(";"&amp;SUBSTITUTE($C10," ","")&amp;";",";"&amp;SUBSTITUTE(I$7," ","")&amp;";")))),"—",IF(_xlfn.MAXIFS(Acuses!$C$5:$C$3004,Acuses!$A$5:$A$3004,$A10,Acuses!$B$5:$B$3004,I$4)&lt;I$5,"Pendiente",IF(I$8=0,"OK",IF(EDATE(_xlfn.MAXIFS(Acuses!$D$5:$D$3004,Acuses!$A$5:$A$3004,$A10,Acuses!$B$5:$B$3004,I$4,Acuses!$C$5:$C$3004,I$5),I$8)&lt;Resumen!$C$4,"Caducado",IF(EDATE(_xlfn.MAXIFS(Acuses!$D$5:$D$3004,Acuses!$A$5:$A$3004,$A10,Acuses!$B$5:$B$3004,I$4,Acuses!$C$5:$C$3004,I$5),I$8)&lt;Resumen!$C$4+30,"Caduca pronto","OK"))))))</f>
        <v>OK</v>
      </c>
      <c r="J10" s="26" t="str">
        <f aca="false">IF(OR($A10="",J$4=""),"",IF(NOT(OR(J$6="Toda la plantilla",ISNUMBER(SEARCH(";"&amp;SUBSTITUTE($C10," ","")&amp;";",";"&amp;SUBSTITUTE(J$7," ","")&amp;";")))),"—",IF(_xlfn.MAXIFS(Acuses!$C$5:$C$3004,Acuses!$A$5:$A$3004,$A10,Acuses!$B$5:$B$3004,J$4)&lt;J$5,"Pendiente",IF(J$8=0,"OK",IF(EDATE(_xlfn.MAXIFS(Acuses!$D$5:$D$3004,Acuses!$A$5:$A$3004,$A10,Acuses!$B$5:$B$3004,J$4,Acuses!$C$5:$C$3004,J$5),J$8)&lt;Resumen!$C$4,"Caducado",IF(EDATE(_xlfn.MAXIFS(Acuses!$D$5:$D$3004,Acuses!$A$5:$A$3004,$A10,Acuses!$B$5:$B$3004,J$4,Acuses!$C$5:$C$3004,J$5),J$8)&lt;Resumen!$C$4+30,"Caduca pronto","OK"))))))</f>
        <v>OK</v>
      </c>
      <c r="K10" s="26" t="str">
        <f aca="false">IF(OR($A10="",K$4=""),"",IF(NOT(OR(K$6="Toda la plantilla",ISNUMBER(SEARCH(";"&amp;SUBSTITUTE($C10," ","")&amp;";",";"&amp;SUBSTITUTE(K$7," ","")&amp;";")))),"—",IF(_xlfn.MAXIFS(Acuses!$C$5:$C$3004,Acuses!$A$5:$A$3004,$A10,Acuses!$B$5:$B$3004,K$4)&lt;K$5,"Pendiente",IF(K$8=0,"OK",IF(EDATE(_xlfn.MAXIFS(Acuses!$D$5:$D$3004,Acuses!$A$5:$A$3004,$A10,Acuses!$B$5:$B$3004,K$4,Acuses!$C$5:$C$3004,K$5),K$8)&lt;Resumen!$C$4,"Caducado",IF(EDATE(_xlfn.MAXIFS(Acuses!$D$5:$D$3004,Acuses!$A$5:$A$3004,$A10,Acuses!$B$5:$B$3004,K$4,Acuses!$C$5:$C$3004,K$5),K$8)&lt;Resumen!$C$4+30,"Caduca pronto","OK"))))))</f>
        <v>OK</v>
      </c>
      <c r="L10" s="26" t="str">
        <f aca="false">IF(OR($A10="",L$4=""),"",IF(NOT(OR(L$6="Toda la plantilla",ISNUMBER(SEARCH(";"&amp;SUBSTITUTE($C10," ","")&amp;";",";"&amp;SUBSTITUTE(L$7," ","")&amp;";")))),"—",IF(_xlfn.MAXIFS(Acuses!$C$5:$C$3004,Acuses!$A$5:$A$3004,$A10,Acuses!$B$5:$B$3004,L$4)&lt;L$5,"Pendiente",IF(L$8=0,"OK",IF(EDATE(_xlfn.MAXIFS(Acuses!$D$5:$D$3004,Acuses!$A$5:$A$3004,$A10,Acuses!$B$5:$B$3004,L$4,Acuses!$C$5:$C$3004,L$5),L$8)&lt;Resumen!$C$4,"Caducado",IF(EDATE(_xlfn.MAXIFS(Acuses!$D$5:$D$3004,Acuses!$A$5:$A$3004,$A10,Acuses!$B$5:$B$3004,L$4,Acuses!$C$5:$C$3004,L$5),L$8)&lt;Resumen!$C$4+30,"Caduca pronto","OK"))))))</f>
        <v/>
      </c>
      <c r="M10" s="26" t="str">
        <f aca="false">IF(OR($A10="",M$4=""),"",IF(NOT(OR(M$6="Toda la plantilla",ISNUMBER(SEARCH(";"&amp;SUBSTITUTE($C10," ","")&amp;";",";"&amp;SUBSTITUTE(M$7," ","")&amp;";")))),"—",IF(_xlfn.MAXIFS(Acuses!$C$5:$C$3004,Acuses!$A$5:$A$3004,$A10,Acuses!$B$5:$B$3004,M$4)&lt;M$5,"Pendiente",IF(M$8=0,"OK",IF(EDATE(_xlfn.MAXIFS(Acuses!$D$5:$D$3004,Acuses!$A$5:$A$3004,$A10,Acuses!$B$5:$B$3004,M$4,Acuses!$C$5:$C$3004,M$5),M$8)&lt;Resumen!$C$4,"Caducado",IF(EDATE(_xlfn.MAXIFS(Acuses!$D$5:$D$3004,Acuses!$A$5:$A$3004,$A10,Acuses!$B$5:$B$3004,M$4,Acuses!$C$5:$C$3004,M$5),M$8)&lt;Resumen!$C$4+30,"Caduca pronto","OK"))))))</f>
        <v/>
      </c>
      <c r="N10" s="26" t="str">
        <f aca="false">IF(OR($A10="",N$4=""),"",IF(NOT(OR(N$6="Toda la plantilla",ISNUMBER(SEARCH(";"&amp;SUBSTITUTE($C10," ","")&amp;";",";"&amp;SUBSTITUTE(N$7," ","")&amp;";")))),"—",IF(_xlfn.MAXIFS(Acuses!$C$5:$C$3004,Acuses!$A$5:$A$3004,$A10,Acuses!$B$5:$B$3004,N$4)&lt;N$5,"Pendiente",IF(N$8=0,"OK",IF(EDATE(_xlfn.MAXIFS(Acuses!$D$5:$D$3004,Acuses!$A$5:$A$3004,$A10,Acuses!$B$5:$B$3004,N$4,Acuses!$C$5:$C$3004,N$5),N$8)&lt;Resumen!$C$4,"Caducado",IF(EDATE(_xlfn.MAXIFS(Acuses!$D$5:$D$3004,Acuses!$A$5:$A$3004,$A10,Acuses!$B$5:$B$3004,N$4,Acuses!$C$5:$C$3004,N$5),N$8)&lt;Resumen!$C$4+30,"Caduca pronto","OK"))))))</f>
        <v/>
      </c>
      <c r="O10" s="26" t="str">
        <f aca="false">IF(OR($A10="",O$4=""),"",IF(NOT(OR(O$6="Toda la plantilla",ISNUMBER(SEARCH(";"&amp;SUBSTITUTE($C10," ","")&amp;";",";"&amp;SUBSTITUTE(O$7," ","")&amp;";")))),"—",IF(_xlfn.MAXIFS(Acuses!$C$5:$C$3004,Acuses!$A$5:$A$3004,$A10,Acuses!$B$5:$B$3004,O$4)&lt;O$5,"Pendiente",IF(O$8=0,"OK",IF(EDATE(_xlfn.MAXIFS(Acuses!$D$5:$D$3004,Acuses!$A$5:$A$3004,$A10,Acuses!$B$5:$B$3004,O$4,Acuses!$C$5:$C$3004,O$5),O$8)&lt;Resumen!$C$4,"Caducado",IF(EDATE(_xlfn.MAXIFS(Acuses!$D$5:$D$3004,Acuses!$A$5:$A$3004,$A10,Acuses!$B$5:$B$3004,O$4,Acuses!$C$5:$C$3004,O$5),O$8)&lt;Resumen!$C$4+30,"Caduca pronto","OK"))))))</f>
        <v/>
      </c>
      <c r="P10" s="26" t="str">
        <f aca="false">IF(OR($A10="",P$4=""),"",IF(NOT(OR(P$6="Toda la plantilla",ISNUMBER(SEARCH(";"&amp;SUBSTITUTE($C10," ","")&amp;";",";"&amp;SUBSTITUTE(P$7," ","")&amp;";")))),"—",IF(_xlfn.MAXIFS(Acuses!$C$5:$C$3004,Acuses!$A$5:$A$3004,$A10,Acuses!$B$5:$B$3004,P$4)&lt;P$5,"Pendiente",IF(P$8=0,"OK",IF(EDATE(_xlfn.MAXIFS(Acuses!$D$5:$D$3004,Acuses!$A$5:$A$3004,$A10,Acuses!$B$5:$B$3004,P$4,Acuses!$C$5:$C$3004,P$5),P$8)&lt;Resumen!$C$4,"Caducado",IF(EDATE(_xlfn.MAXIFS(Acuses!$D$5:$D$3004,Acuses!$A$5:$A$3004,$A10,Acuses!$B$5:$B$3004,P$4,Acuses!$C$5:$C$3004,P$5),P$8)&lt;Resumen!$C$4+30,"Caduca pronto","OK"))))))</f>
        <v/>
      </c>
      <c r="Q10" s="26" t="str">
        <f aca="false">IF(OR($A10="",Q$4=""),"",IF(NOT(OR(Q$6="Toda la plantilla",ISNUMBER(SEARCH(";"&amp;SUBSTITUTE($C10," ","")&amp;";",";"&amp;SUBSTITUTE(Q$7," ","")&amp;";")))),"—",IF(_xlfn.MAXIFS(Acuses!$C$5:$C$3004,Acuses!$A$5:$A$3004,$A10,Acuses!$B$5:$B$3004,Q$4)&lt;Q$5,"Pendiente",IF(Q$8=0,"OK",IF(EDATE(_xlfn.MAXIFS(Acuses!$D$5:$D$3004,Acuses!$A$5:$A$3004,$A10,Acuses!$B$5:$B$3004,Q$4,Acuses!$C$5:$C$3004,Q$5),Q$8)&lt;Resumen!$C$4,"Caducado",IF(EDATE(_xlfn.MAXIFS(Acuses!$D$5:$D$3004,Acuses!$A$5:$A$3004,$A10,Acuses!$B$5:$B$3004,Q$4,Acuses!$C$5:$C$3004,Q$5),Q$8)&lt;Resumen!$C$4+30,"Caduca pronto","OK"))))))</f>
        <v/>
      </c>
      <c r="R10" s="26" t="str">
        <f aca="false">IF(OR($A10="",R$4=""),"",IF(NOT(OR(R$6="Toda la plantilla",ISNUMBER(SEARCH(";"&amp;SUBSTITUTE($C10," ","")&amp;";",";"&amp;SUBSTITUTE(R$7," ","")&amp;";")))),"—",IF(_xlfn.MAXIFS(Acuses!$C$5:$C$3004,Acuses!$A$5:$A$3004,$A10,Acuses!$B$5:$B$3004,R$4)&lt;R$5,"Pendiente",IF(R$8=0,"OK",IF(EDATE(_xlfn.MAXIFS(Acuses!$D$5:$D$3004,Acuses!$A$5:$A$3004,$A10,Acuses!$B$5:$B$3004,R$4,Acuses!$C$5:$C$3004,R$5),R$8)&lt;Resumen!$C$4,"Caducado",IF(EDATE(_xlfn.MAXIFS(Acuses!$D$5:$D$3004,Acuses!$A$5:$A$3004,$A10,Acuses!$B$5:$B$3004,R$4,Acuses!$C$5:$C$3004,R$5),R$8)&lt;Resumen!$C$4+30,"Caduca pronto","OK"))))))</f>
        <v/>
      </c>
      <c r="S10" s="26" t="str">
        <f aca="false">IF(OR($A10="",S$4=""),"",IF(NOT(OR(S$6="Toda la plantilla",ISNUMBER(SEARCH(";"&amp;SUBSTITUTE($C10," ","")&amp;";",";"&amp;SUBSTITUTE(S$7," ","")&amp;";")))),"—",IF(_xlfn.MAXIFS(Acuses!$C$5:$C$3004,Acuses!$A$5:$A$3004,$A10,Acuses!$B$5:$B$3004,S$4)&lt;S$5,"Pendiente",IF(S$8=0,"OK",IF(EDATE(_xlfn.MAXIFS(Acuses!$D$5:$D$3004,Acuses!$A$5:$A$3004,$A10,Acuses!$B$5:$B$3004,S$4,Acuses!$C$5:$C$3004,S$5),S$8)&lt;Resumen!$C$4,"Caducado",IF(EDATE(_xlfn.MAXIFS(Acuses!$D$5:$D$3004,Acuses!$A$5:$A$3004,$A10,Acuses!$B$5:$B$3004,S$4,Acuses!$C$5:$C$3004,S$5),S$8)&lt;Resumen!$C$4+30,"Caduca pronto","OK"))))))</f>
        <v/>
      </c>
      <c r="T10" s="26" t="str">
        <f aca="false">IF(OR($A10="",T$4=""),"",IF(NOT(OR(T$6="Toda la plantilla",ISNUMBER(SEARCH(";"&amp;SUBSTITUTE($C10," ","")&amp;";",";"&amp;SUBSTITUTE(T$7," ","")&amp;";")))),"—",IF(_xlfn.MAXIFS(Acuses!$C$5:$C$3004,Acuses!$A$5:$A$3004,$A10,Acuses!$B$5:$B$3004,T$4)&lt;T$5,"Pendiente",IF(T$8=0,"OK",IF(EDATE(_xlfn.MAXIFS(Acuses!$D$5:$D$3004,Acuses!$A$5:$A$3004,$A10,Acuses!$B$5:$B$3004,T$4,Acuses!$C$5:$C$3004,T$5),T$8)&lt;Resumen!$C$4,"Caducado",IF(EDATE(_xlfn.MAXIFS(Acuses!$D$5:$D$3004,Acuses!$A$5:$A$3004,$A10,Acuses!$B$5:$B$3004,T$4,Acuses!$C$5:$C$3004,T$5),T$8)&lt;Resumen!$C$4+30,"Caduca pronto","OK"))))))</f>
        <v/>
      </c>
      <c r="U10" s="26" t="str">
        <f aca="false">IF(OR($A10="",U$4=""),"",IF(NOT(OR(U$6="Toda la plantilla",ISNUMBER(SEARCH(";"&amp;SUBSTITUTE($C10," ","")&amp;";",";"&amp;SUBSTITUTE(U$7," ","")&amp;";")))),"—",IF(_xlfn.MAXIFS(Acuses!$C$5:$C$3004,Acuses!$A$5:$A$3004,$A10,Acuses!$B$5:$B$3004,U$4)&lt;U$5,"Pendiente",IF(U$8=0,"OK",IF(EDATE(_xlfn.MAXIFS(Acuses!$D$5:$D$3004,Acuses!$A$5:$A$3004,$A10,Acuses!$B$5:$B$3004,U$4,Acuses!$C$5:$C$3004,U$5),U$8)&lt;Resumen!$C$4,"Caducado",IF(EDATE(_xlfn.MAXIFS(Acuses!$D$5:$D$3004,Acuses!$A$5:$A$3004,$A10,Acuses!$B$5:$B$3004,U$4,Acuses!$C$5:$C$3004,U$5),U$8)&lt;Resumen!$C$4+30,"Caduca pronto","OK"))))))</f>
        <v/>
      </c>
      <c r="V10" s="26" t="str">
        <f aca="false">IF(OR($A10="",V$4=""),"",IF(NOT(OR(V$6="Toda la plantilla",ISNUMBER(SEARCH(";"&amp;SUBSTITUTE($C10," ","")&amp;";",";"&amp;SUBSTITUTE(V$7," ","")&amp;";")))),"—",IF(_xlfn.MAXIFS(Acuses!$C$5:$C$3004,Acuses!$A$5:$A$3004,$A10,Acuses!$B$5:$B$3004,V$4)&lt;V$5,"Pendiente",IF(V$8=0,"OK",IF(EDATE(_xlfn.MAXIFS(Acuses!$D$5:$D$3004,Acuses!$A$5:$A$3004,$A10,Acuses!$B$5:$B$3004,V$4,Acuses!$C$5:$C$3004,V$5),V$8)&lt;Resumen!$C$4,"Caducado",IF(EDATE(_xlfn.MAXIFS(Acuses!$D$5:$D$3004,Acuses!$A$5:$A$3004,$A10,Acuses!$B$5:$B$3004,V$4,Acuses!$C$5:$C$3004,V$5),V$8)&lt;Resumen!$C$4+30,"Caduca pronto","OK"))))))</f>
        <v/>
      </c>
      <c r="W10" s="26" t="str">
        <f aca="false">IF(OR($A10="",W$4=""),"",IF(NOT(OR(W$6="Toda la plantilla",ISNUMBER(SEARCH(";"&amp;SUBSTITUTE($C10," ","")&amp;";",";"&amp;SUBSTITUTE(W$7," ","")&amp;";")))),"—",IF(_xlfn.MAXIFS(Acuses!$C$5:$C$3004,Acuses!$A$5:$A$3004,$A10,Acuses!$B$5:$B$3004,W$4)&lt;W$5,"Pendiente",IF(W$8=0,"OK",IF(EDATE(_xlfn.MAXIFS(Acuses!$D$5:$D$3004,Acuses!$A$5:$A$3004,$A10,Acuses!$B$5:$B$3004,W$4,Acuses!$C$5:$C$3004,W$5),W$8)&lt;Resumen!$C$4,"Caducado",IF(EDATE(_xlfn.MAXIFS(Acuses!$D$5:$D$3004,Acuses!$A$5:$A$3004,$A10,Acuses!$B$5:$B$3004,W$4,Acuses!$C$5:$C$3004,W$5),W$8)&lt;Resumen!$C$4+30,"Caduca pronto","OK"))))))</f>
        <v/>
      </c>
      <c r="X10" s="26" t="str">
        <f aca="false">IF(OR($A10="",X$4=""),"",IF(NOT(OR(X$6="Toda la plantilla",ISNUMBER(SEARCH(";"&amp;SUBSTITUTE($C10," ","")&amp;";",";"&amp;SUBSTITUTE(X$7," ","")&amp;";")))),"—",IF(_xlfn.MAXIFS(Acuses!$C$5:$C$3004,Acuses!$A$5:$A$3004,$A10,Acuses!$B$5:$B$3004,X$4)&lt;X$5,"Pendiente",IF(X$8=0,"OK",IF(EDATE(_xlfn.MAXIFS(Acuses!$D$5:$D$3004,Acuses!$A$5:$A$3004,$A10,Acuses!$B$5:$B$3004,X$4,Acuses!$C$5:$C$3004,X$5),X$8)&lt;Resumen!$C$4,"Caducado",IF(EDATE(_xlfn.MAXIFS(Acuses!$D$5:$D$3004,Acuses!$A$5:$A$3004,$A10,Acuses!$B$5:$B$3004,X$4,Acuses!$C$5:$C$3004,X$5),X$8)&lt;Resumen!$C$4+30,"Caduca pronto","OK"))))))</f>
        <v/>
      </c>
      <c r="Y10" s="26" t="str">
        <f aca="false">IF(OR($A10="",Y$4=""),"",IF(NOT(OR(Y$6="Toda la plantilla",ISNUMBER(SEARCH(";"&amp;SUBSTITUTE($C10," ","")&amp;";",";"&amp;SUBSTITUTE(Y$7," ","")&amp;";")))),"—",IF(_xlfn.MAXIFS(Acuses!$C$5:$C$3004,Acuses!$A$5:$A$3004,$A10,Acuses!$B$5:$B$3004,Y$4)&lt;Y$5,"Pendiente",IF(Y$8=0,"OK",IF(EDATE(_xlfn.MAXIFS(Acuses!$D$5:$D$3004,Acuses!$A$5:$A$3004,$A10,Acuses!$B$5:$B$3004,Y$4,Acuses!$C$5:$C$3004,Y$5),Y$8)&lt;Resumen!$C$4,"Caducado",IF(EDATE(_xlfn.MAXIFS(Acuses!$D$5:$D$3004,Acuses!$A$5:$A$3004,$A10,Acuses!$B$5:$B$3004,Y$4,Acuses!$C$5:$C$3004,Y$5),Y$8)&lt;Resumen!$C$4+30,"Caduca pronto","OK"))))))</f>
        <v/>
      </c>
      <c r="Z10" s="26" t="str">
        <f aca="false">IF(OR($A10="",Z$4=""),"",IF(NOT(OR(Z$6="Toda la plantilla",ISNUMBER(SEARCH(";"&amp;SUBSTITUTE($C10," ","")&amp;";",";"&amp;SUBSTITUTE(Z$7," ","")&amp;";")))),"—",IF(_xlfn.MAXIFS(Acuses!$C$5:$C$3004,Acuses!$A$5:$A$3004,$A10,Acuses!$B$5:$B$3004,Z$4)&lt;Z$5,"Pendiente",IF(Z$8=0,"OK",IF(EDATE(_xlfn.MAXIFS(Acuses!$D$5:$D$3004,Acuses!$A$5:$A$3004,$A10,Acuses!$B$5:$B$3004,Z$4,Acuses!$C$5:$C$3004,Z$5),Z$8)&lt;Resumen!$C$4,"Caducado",IF(EDATE(_xlfn.MAXIFS(Acuses!$D$5:$D$3004,Acuses!$A$5:$A$3004,$A10,Acuses!$B$5:$B$3004,Z$4,Acuses!$C$5:$C$3004,Z$5),Z$8)&lt;Resumen!$C$4+30,"Caduca pronto","OK"))))))</f>
        <v/>
      </c>
      <c r="AA10" s="26" t="str">
        <f aca="false">IF(OR($A10="",AA$4=""),"",IF(NOT(OR(AA$6="Toda la plantilla",ISNUMBER(SEARCH(";"&amp;SUBSTITUTE($C10," ","")&amp;";",";"&amp;SUBSTITUTE(AA$7," ","")&amp;";")))),"—",IF(_xlfn.MAXIFS(Acuses!$C$5:$C$3004,Acuses!$A$5:$A$3004,$A10,Acuses!$B$5:$B$3004,AA$4)&lt;AA$5,"Pendiente",IF(AA$8=0,"OK",IF(EDATE(_xlfn.MAXIFS(Acuses!$D$5:$D$3004,Acuses!$A$5:$A$3004,$A10,Acuses!$B$5:$B$3004,AA$4,Acuses!$C$5:$C$3004,AA$5),AA$8)&lt;Resumen!$C$4,"Caducado",IF(EDATE(_xlfn.MAXIFS(Acuses!$D$5:$D$3004,Acuses!$A$5:$A$3004,$A10,Acuses!$B$5:$B$3004,AA$4,Acuses!$C$5:$C$3004,AA$5),AA$8)&lt;Resumen!$C$4+30,"Caduca pronto","OK"))))))</f>
        <v/>
      </c>
      <c r="AB10" s="26" t="str">
        <f aca="false">IF(OR($A10="",AB$4=""),"",IF(NOT(OR(AB$6="Toda la plantilla",ISNUMBER(SEARCH(";"&amp;SUBSTITUTE($C10," ","")&amp;";",";"&amp;SUBSTITUTE(AB$7," ","")&amp;";")))),"—",IF(_xlfn.MAXIFS(Acuses!$C$5:$C$3004,Acuses!$A$5:$A$3004,$A10,Acuses!$B$5:$B$3004,AB$4)&lt;AB$5,"Pendiente",IF(AB$8=0,"OK",IF(EDATE(_xlfn.MAXIFS(Acuses!$D$5:$D$3004,Acuses!$A$5:$A$3004,$A10,Acuses!$B$5:$B$3004,AB$4,Acuses!$C$5:$C$3004,AB$5),AB$8)&lt;Resumen!$C$4,"Caducado",IF(EDATE(_xlfn.MAXIFS(Acuses!$D$5:$D$3004,Acuses!$A$5:$A$3004,$A10,Acuses!$B$5:$B$3004,AB$4,Acuses!$C$5:$C$3004,AB$5),AB$8)&lt;Resumen!$C$4+30,"Caduca pronto","OK"))))))</f>
        <v/>
      </c>
      <c r="AC10" s="26" t="str">
        <f aca="false">IF(OR($A10="",AC$4=""),"",IF(NOT(OR(AC$6="Toda la plantilla",ISNUMBER(SEARCH(";"&amp;SUBSTITUTE($C10," ","")&amp;";",";"&amp;SUBSTITUTE(AC$7," ","")&amp;";")))),"—",IF(_xlfn.MAXIFS(Acuses!$C$5:$C$3004,Acuses!$A$5:$A$3004,$A10,Acuses!$B$5:$B$3004,AC$4)&lt;AC$5,"Pendiente",IF(AC$8=0,"OK",IF(EDATE(_xlfn.MAXIFS(Acuses!$D$5:$D$3004,Acuses!$A$5:$A$3004,$A10,Acuses!$B$5:$B$3004,AC$4,Acuses!$C$5:$C$3004,AC$5),AC$8)&lt;Resumen!$C$4,"Caducado",IF(EDATE(_xlfn.MAXIFS(Acuses!$D$5:$D$3004,Acuses!$A$5:$A$3004,$A10,Acuses!$B$5:$B$3004,AC$4,Acuses!$C$5:$C$3004,AC$5),AC$8)&lt;Resumen!$C$4+30,"Caduca pronto","OK"))))))</f>
        <v/>
      </c>
      <c r="AD10" s="26" t="str">
        <f aca="false">IF(OR($A10="",AD$4=""),"",IF(NOT(OR(AD$6="Toda la plantilla",ISNUMBER(SEARCH(";"&amp;SUBSTITUTE($C10," ","")&amp;";",";"&amp;SUBSTITUTE(AD$7," ","")&amp;";")))),"—",IF(_xlfn.MAXIFS(Acuses!$C$5:$C$3004,Acuses!$A$5:$A$3004,$A10,Acuses!$B$5:$B$3004,AD$4)&lt;AD$5,"Pendiente",IF(AD$8=0,"OK",IF(EDATE(_xlfn.MAXIFS(Acuses!$D$5:$D$3004,Acuses!$A$5:$A$3004,$A10,Acuses!$B$5:$B$3004,AD$4,Acuses!$C$5:$C$3004,AD$5),AD$8)&lt;Resumen!$C$4,"Caducado",IF(EDATE(_xlfn.MAXIFS(Acuses!$D$5:$D$3004,Acuses!$A$5:$A$3004,$A10,Acuses!$B$5:$B$3004,AD$4,Acuses!$C$5:$C$3004,AD$5),AD$8)&lt;Resumen!$C$4+30,"Caduca pronto","OK"))))))</f>
        <v/>
      </c>
      <c r="AE10" s="26" t="str">
        <f aca="false">IF(OR($A10="",AE$4=""),"",IF(NOT(OR(AE$6="Toda la plantilla",ISNUMBER(SEARCH(";"&amp;SUBSTITUTE($C10," ","")&amp;";",";"&amp;SUBSTITUTE(AE$7," ","")&amp;";")))),"—",IF(_xlfn.MAXIFS(Acuses!$C$5:$C$3004,Acuses!$A$5:$A$3004,$A10,Acuses!$B$5:$B$3004,AE$4)&lt;AE$5,"Pendiente",IF(AE$8=0,"OK",IF(EDATE(_xlfn.MAXIFS(Acuses!$D$5:$D$3004,Acuses!$A$5:$A$3004,$A10,Acuses!$B$5:$B$3004,AE$4,Acuses!$C$5:$C$3004,AE$5),AE$8)&lt;Resumen!$C$4,"Caducado",IF(EDATE(_xlfn.MAXIFS(Acuses!$D$5:$D$3004,Acuses!$A$5:$A$3004,$A10,Acuses!$B$5:$B$3004,AE$4,Acuses!$C$5:$C$3004,AE$5),AE$8)&lt;Resumen!$C$4+30,"Caduca pronto","OK"))))))</f>
        <v/>
      </c>
      <c r="AF10" s="26" t="str">
        <f aca="false">IF(OR($A10="",AF$4=""),"",IF(NOT(OR(AF$6="Toda la plantilla",ISNUMBER(SEARCH(";"&amp;SUBSTITUTE($C10," ","")&amp;";",";"&amp;SUBSTITUTE(AF$7," ","")&amp;";")))),"—",IF(_xlfn.MAXIFS(Acuses!$C$5:$C$3004,Acuses!$A$5:$A$3004,$A10,Acuses!$B$5:$B$3004,AF$4)&lt;AF$5,"Pendiente",IF(AF$8=0,"OK",IF(EDATE(_xlfn.MAXIFS(Acuses!$D$5:$D$3004,Acuses!$A$5:$A$3004,$A10,Acuses!$B$5:$B$3004,AF$4,Acuses!$C$5:$C$3004,AF$5),AF$8)&lt;Resumen!$C$4,"Caducado",IF(EDATE(_xlfn.MAXIFS(Acuses!$D$5:$D$3004,Acuses!$A$5:$A$3004,$A10,Acuses!$B$5:$B$3004,AF$4,Acuses!$C$5:$C$3004,AF$5),AF$8)&lt;Resumen!$C$4+30,"Caduca pronto","OK"))))))</f>
        <v/>
      </c>
      <c r="AG10" s="26" t="str">
        <f aca="false">IF(OR($A10="",AG$4=""),"",IF(NOT(OR(AG$6="Toda la plantilla",ISNUMBER(SEARCH(";"&amp;SUBSTITUTE($C10," ","")&amp;";",";"&amp;SUBSTITUTE(AG$7," ","")&amp;";")))),"—",IF(_xlfn.MAXIFS(Acuses!$C$5:$C$3004,Acuses!$A$5:$A$3004,$A10,Acuses!$B$5:$B$3004,AG$4)&lt;AG$5,"Pendiente",IF(AG$8=0,"OK",IF(EDATE(_xlfn.MAXIFS(Acuses!$D$5:$D$3004,Acuses!$A$5:$A$3004,$A10,Acuses!$B$5:$B$3004,AG$4,Acuses!$C$5:$C$3004,AG$5),AG$8)&lt;Resumen!$C$4,"Caducado",IF(EDATE(_xlfn.MAXIFS(Acuses!$D$5:$D$3004,Acuses!$A$5:$A$3004,$A10,Acuses!$B$5:$B$3004,AG$4,Acuses!$C$5:$C$3004,AG$5),AG$8)&lt;Resumen!$C$4+30,"Caduca pronto","OK"))))))</f>
        <v/>
      </c>
      <c r="AH10" s="26" t="str">
        <f aca="false">IF(OR($A10="",AH$4=""),"",IF(NOT(OR(AH$6="Toda la plantilla",ISNUMBER(SEARCH(";"&amp;SUBSTITUTE($C10," ","")&amp;";",";"&amp;SUBSTITUTE(AH$7," ","")&amp;";")))),"—",IF(_xlfn.MAXIFS(Acuses!$C$5:$C$3004,Acuses!$A$5:$A$3004,$A10,Acuses!$B$5:$B$3004,AH$4)&lt;AH$5,"Pendiente",IF(AH$8=0,"OK",IF(EDATE(_xlfn.MAXIFS(Acuses!$D$5:$D$3004,Acuses!$A$5:$A$3004,$A10,Acuses!$B$5:$B$3004,AH$4,Acuses!$C$5:$C$3004,AH$5),AH$8)&lt;Resumen!$C$4,"Caducado",IF(EDATE(_xlfn.MAXIFS(Acuses!$D$5:$D$3004,Acuses!$A$5:$A$3004,$A10,Acuses!$B$5:$B$3004,AH$4,Acuses!$C$5:$C$3004,AH$5),AH$8)&lt;Resumen!$C$4+30,"Caduca pronto","OK"))))))</f>
        <v/>
      </c>
      <c r="AI10" s="26" t="str">
        <f aca="false">IF(OR($A10="",AI$4=""),"",IF(NOT(OR(AI$6="Toda la plantilla",ISNUMBER(SEARCH(";"&amp;SUBSTITUTE($C10," ","")&amp;";",";"&amp;SUBSTITUTE(AI$7," ","")&amp;";")))),"—",IF(_xlfn.MAXIFS(Acuses!$C$5:$C$3004,Acuses!$A$5:$A$3004,$A10,Acuses!$B$5:$B$3004,AI$4)&lt;AI$5,"Pendiente",IF(AI$8=0,"OK",IF(EDATE(_xlfn.MAXIFS(Acuses!$D$5:$D$3004,Acuses!$A$5:$A$3004,$A10,Acuses!$B$5:$B$3004,AI$4,Acuses!$C$5:$C$3004,AI$5),AI$8)&lt;Resumen!$C$4,"Caducado",IF(EDATE(_xlfn.MAXIFS(Acuses!$D$5:$D$3004,Acuses!$A$5:$A$3004,$A10,Acuses!$B$5:$B$3004,AI$4,Acuses!$C$5:$C$3004,AI$5),AI$8)&lt;Resumen!$C$4+30,"Caduca pronto","OK"))))))</f>
        <v/>
      </c>
      <c r="AJ10" s="26" t="str">
        <f aca="false">IF(OR($A10="",AJ$4=""),"",IF(NOT(OR(AJ$6="Toda la plantilla",ISNUMBER(SEARCH(";"&amp;SUBSTITUTE($C10," ","")&amp;";",";"&amp;SUBSTITUTE(AJ$7," ","")&amp;";")))),"—",IF(_xlfn.MAXIFS(Acuses!$C$5:$C$3004,Acuses!$A$5:$A$3004,$A10,Acuses!$B$5:$B$3004,AJ$4)&lt;AJ$5,"Pendiente",IF(AJ$8=0,"OK",IF(EDATE(_xlfn.MAXIFS(Acuses!$D$5:$D$3004,Acuses!$A$5:$A$3004,$A10,Acuses!$B$5:$B$3004,AJ$4,Acuses!$C$5:$C$3004,AJ$5),AJ$8)&lt;Resumen!$C$4,"Caducado",IF(EDATE(_xlfn.MAXIFS(Acuses!$D$5:$D$3004,Acuses!$A$5:$A$3004,$A10,Acuses!$B$5:$B$3004,AJ$4,Acuses!$C$5:$C$3004,AJ$5),AJ$8)&lt;Resumen!$C$4+30,"Caduca pronto","OK"))))))</f>
        <v/>
      </c>
      <c r="AK10" s="26" t="str">
        <f aca="false">IF(OR($A10="",AK$4=""),"",IF(NOT(OR(AK$6="Toda la plantilla",ISNUMBER(SEARCH(";"&amp;SUBSTITUTE($C10," ","")&amp;";",";"&amp;SUBSTITUTE(AK$7," ","")&amp;";")))),"—",IF(_xlfn.MAXIFS(Acuses!$C$5:$C$3004,Acuses!$A$5:$A$3004,$A10,Acuses!$B$5:$B$3004,AK$4)&lt;AK$5,"Pendiente",IF(AK$8=0,"OK",IF(EDATE(_xlfn.MAXIFS(Acuses!$D$5:$D$3004,Acuses!$A$5:$A$3004,$A10,Acuses!$B$5:$B$3004,AK$4,Acuses!$C$5:$C$3004,AK$5),AK$8)&lt;Resumen!$C$4,"Caducado",IF(EDATE(_xlfn.MAXIFS(Acuses!$D$5:$D$3004,Acuses!$A$5:$A$3004,$A10,Acuses!$B$5:$B$3004,AK$4,Acuses!$C$5:$C$3004,AK$5),AK$8)&lt;Resumen!$C$4+30,"Caduca pronto","OK"))))))</f>
        <v/>
      </c>
      <c r="AL10" s="26" t="str">
        <f aca="false">IF(OR($A10="",AL$4=""),"",IF(NOT(OR(AL$6="Toda la plantilla",ISNUMBER(SEARCH(";"&amp;SUBSTITUTE($C10," ","")&amp;";",";"&amp;SUBSTITUTE(AL$7," ","")&amp;";")))),"—",IF(_xlfn.MAXIFS(Acuses!$C$5:$C$3004,Acuses!$A$5:$A$3004,$A10,Acuses!$B$5:$B$3004,AL$4)&lt;AL$5,"Pendiente",IF(AL$8=0,"OK",IF(EDATE(_xlfn.MAXIFS(Acuses!$D$5:$D$3004,Acuses!$A$5:$A$3004,$A10,Acuses!$B$5:$B$3004,AL$4,Acuses!$C$5:$C$3004,AL$5),AL$8)&lt;Resumen!$C$4,"Caducado",IF(EDATE(_xlfn.MAXIFS(Acuses!$D$5:$D$3004,Acuses!$A$5:$A$3004,$A10,Acuses!$B$5:$B$3004,AL$4,Acuses!$C$5:$C$3004,AL$5),AL$8)&lt;Resumen!$C$4+30,"Caduca pronto","OK"))))))</f>
        <v/>
      </c>
      <c r="AM10" s="26" t="str">
        <f aca="false">IF(OR($A10="",AM$4=""),"",IF(NOT(OR(AM$6="Toda la plantilla",ISNUMBER(SEARCH(";"&amp;SUBSTITUTE($C10," ","")&amp;";",";"&amp;SUBSTITUTE(AM$7," ","")&amp;";")))),"—",IF(_xlfn.MAXIFS(Acuses!$C$5:$C$3004,Acuses!$A$5:$A$3004,$A10,Acuses!$B$5:$B$3004,AM$4)&lt;AM$5,"Pendiente",IF(AM$8=0,"OK",IF(EDATE(_xlfn.MAXIFS(Acuses!$D$5:$D$3004,Acuses!$A$5:$A$3004,$A10,Acuses!$B$5:$B$3004,AM$4,Acuses!$C$5:$C$3004,AM$5),AM$8)&lt;Resumen!$C$4,"Caducado",IF(EDATE(_xlfn.MAXIFS(Acuses!$D$5:$D$3004,Acuses!$A$5:$A$3004,$A10,Acuses!$B$5:$B$3004,AM$4,Acuses!$C$5:$C$3004,AM$5),AM$8)&lt;Resumen!$C$4+30,"Caduca pronto","OK"))))))</f>
        <v/>
      </c>
      <c r="AN10" s="26" t="str">
        <f aca="false">IF(OR($A10="",AN$4=""),"",IF(NOT(OR(AN$6="Toda la plantilla",ISNUMBER(SEARCH(";"&amp;SUBSTITUTE($C10," ","")&amp;";",";"&amp;SUBSTITUTE(AN$7," ","")&amp;";")))),"—",IF(_xlfn.MAXIFS(Acuses!$C$5:$C$3004,Acuses!$A$5:$A$3004,$A10,Acuses!$B$5:$B$3004,AN$4)&lt;AN$5,"Pendiente",IF(AN$8=0,"OK",IF(EDATE(_xlfn.MAXIFS(Acuses!$D$5:$D$3004,Acuses!$A$5:$A$3004,$A10,Acuses!$B$5:$B$3004,AN$4,Acuses!$C$5:$C$3004,AN$5),AN$8)&lt;Resumen!$C$4,"Caducado",IF(EDATE(_xlfn.MAXIFS(Acuses!$D$5:$D$3004,Acuses!$A$5:$A$3004,$A10,Acuses!$B$5:$B$3004,AN$4,Acuses!$C$5:$C$3004,AN$5),AN$8)&lt;Resumen!$C$4+30,"Caduca pronto","OK"))))))</f>
        <v/>
      </c>
      <c r="AO10" s="26" t="str">
        <f aca="false">IF(OR($A10="",AO$4=""),"",IF(NOT(OR(AO$6="Toda la plantilla",ISNUMBER(SEARCH(";"&amp;SUBSTITUTE($C10," ","")&amp;";",";"&amp;SUBSTITUTE(AO$7," ","")&amp;";")))),"—",IF(_xlfn.MAXIFS(Acuses!$C$5:$C$3004,Acuses!$A$5:$A$3004,$A10,Acuses!$B$5:$B$3004,AO$4)&lt;AO$5,"Pendiente",IF(AO$8=0,"OK",IF(EDATE(_xlfn.MAXIFS(Acuses!$D$5:$D$3004,Acuses!$A$5:$A$3004,$A10,Acuses!$B$5:$B$3004,AO$4,Acuses!$C$5:$C$3004,AO$5),AO$8)&lt;Resumen!$C$4,"Caducado",IF(EDATE(_xlfn.MAXIFS(Acuses!$D$5:$D$3004,Acuses!$A$5:$A$3004,$A10,Acuses!$B$5:$B$3004,AO$4,Acuses!$C$5:$C$3004,AO$5),AO$8)&lt;Resumen!$C$4+30,"Caduca pronto","OK"))))))</f>
        <v/>
      </c>
      <c r="AP10" s="26" t="str">
        <f aca="false">IF(OR($A10="",AP$4=""),"",IF(NOT(OR(AP$6="Toda la plantilla",ISNUMBER(SEARCH(";"&amp;SUBSTITUTE($C10," ","")&amp;";",";"&amp;SUBSTITUTE(AP$7," ","")&amp;";")))),"—",IF(_xlfn.MAXIFS(Acuses!$C$5:$C$3004,Acuses!$A$5:$A$3004,$A10,Acuses!$B$5:$B$3004,AP$4)&lt;AP$5,"Pendiente",IF(AP$8=0,"OK",IF(EDATE(_xlfn.MAXIFS(Acuses!$D$5:$D$3004,Acuses!$A$5:$A$3004,$A10,Acuses!$B$5:$B$3004,AP$4,Acuses!$C$5:$C$3004,AP$5),AP$8)&lt;Resumen!$C$4,"Caducado",IF(EDATE(_xlfn.MAXIFS(Acuses!$D$5:$D$3004,Acuses!$A$5:$A$3004,$A10,Acuses!$B$5:$B$3004,AP$4,Acuses!$C$5:$C$3004,AP$5),AP$8)&lt;Resumen!$C$4+30,"Caduca pronto","OK"))))))</f>
        <v/>
      </c>
      <c r="AQ10" s="26" t="str">
        <f aca="false">IF(OR($A10="",AQ$4=""),"",IF(NOT(OR(AQ$6="Toda la plantilla",ISNUMBER(SEARCH(";"&amp;SUBSTITUTE($C10," ","")&amp;";",";"&amp;SUBSTITUTE(AQ$7," ","")&amp;";")))),"—",IF(_xlfn.MAXIFS(Acuses!$C$5:$C$3004,Acuses!$A$5:$A$3004,$A10,Acuses!$B$5:$B$3004,AQ$4)&lt;AQ$5,"Pendiente",IF(AQ$8=0,"OK",IF(EDATE(_xlfn.MAXIFS(Acuses!$D$5:$D$3004,Acuses!$A$5:$A$3004,$A10,Acuses!$B$5:$B$3004,AQ$4,Acuses!$C$5:$C$3004,AQ$5),AQ$8)&lt;Resumen!$C$4,"Caducado",IF(EDATE(_xlfn.MAXIFS(Acuses!$D$5:$D$3004,Acuses!$A$5:$A$3004,$A10,Acuses!$B$5:$B$3004,AQ$4,Acuses!$C$5:$C$3004,AQ$5),AQ$8)&lt;Resumen!$C$4+30,"Caduca pronto","OK"))))))</f>
        <v/>
      </c>
    </row>
    <row r="11" customFormat="false" ht="15" hidden="false" customHeight="false" outlineLevel="0" collapsed="false">
      <c r="A11" s="25" t="str">
        <f aca="false">IF(AND(Trabajadores!$A$6&lt;&gt;"",Trabajadores!$G$6&lt;&gt;"No"),Trabajadores!$A$6,"")</f>
        <v>T002</v>
      </c>
      <c r="B11" s="25" t="str">
        <f aca="false">IF($A11="","",Trabajadores!$B$6)</f>
        <v>Carlos Ruiz</v>
      </c>
      <c r="C11" s="25" t="str">
        <f aca="false">IF($A11="","",Trabajadores!$C$6)</f>
        <v>Producción</v>
      </c>
      <c r="D11" s="26" t="str">
        <f aca="false">IF(OR($A11="",D$4=""),"",IF(NOT(OR(D$6="Toda la plantilla",ISNUMBER(SEARCH(";"&amp;SUBSTITUTE($C11," ","")&amp;";",";"&amp;SUBSTITUTE(D$7," ","")&amp;";")))),"—",IF(_xlfn.MAXIFS(Acuses!$C$5:$C$3004,Acuses!$A$5:$A$3004,$A11,Acuses!$B$5:$B$3004,D$4)&lt;D$5,"Pendiente",IF(D$8=0,"OK",IF(EDATE(_xlfn.MAXIFS(Acuses!$D$5:$D$3004,Acuses!$A$5:$A$3004,$A11,Acuses!$B$5:$B$3004,D$4,Acuses!$C$5:$C$3004,D$5),D$8)&lt;Resumen!$C$4,"Caducado",IF(EDATE(_xlfn.MAXIFS(Acuses!$D$5:$D$3004,Acuses!$A$5:$A$3004,$A11,Acuses!$B$5:$B$3004,D$4,Acuses!$C$5:$C$3004,D$5),D$8)&lt;Resumen!$C$4+30,"Caduca pronto","OK"))))))</f>
        <v>Pendiente</v>
      </c>
      <c r="E11" s="26" t="str">
        <f aca="false">IF(OR($A11="",E$4=""),"",IF(NOT(OR(E$6="Toda la plantilla",ISNUMBER(SEARCH(";"&amp;SUBSTITUTE($C11," ","")&amp;";",";"&amp;SUBSTITUTE(E$7," ","")&amp;";")))),"—",IF(_xlfn.MAXIFS(Acuses!$C$5:$C$3004,Acuses!$A$5:$A$3004,$A11,Acuses!$B$5:$B$3004,E$4)&lt;E$5,"Pendiente",IF(E$8=0,"OK",IF(EDATE(_xlfn.MAXIFS(Acuses!$D$5:$D$3004,Acuses!$A$5:$A$3004,$A11,Acuses!$B$5:$B$3004,E$4,Acuses!$C$5:$C$3004,E$5),E$8)&lt;Resumen!$C$4,"Caducado",IF(EDATE(_xlfn.MAXIFS(Acuses!$D$5:$D$3004,Acuses!$A$5:$A$3004,$A11,Acuses!$B$5:$B$3004,E$4,Acuses!$C$5:$C$3004,E$5),E$8)&lt;Resumen!$C$4+30,"Caduca pronto","OK"))))))</f>
        <v>—</v>
      </c>
      <c r="F11" s="26" t="str">
        <f aca="false">IF(OR($A11="",F$4=""),"",IF(NOT(OR(F$6="Toda la plantilla",ISNUMBER(SEARCH(";"&amp;SUBSTITUTE($C11," ","")&amp;";",";"&amp;SUBSTITUTE(F$7," ","")&amp;";")))),"—",IF(_xlfn.MAXIFS(Acuses!$C$5:$C$3004,Acuses!$A$5:$A$3004,$A11,Acuses!$B$5:$B$3004,F$4)&lt;F$5,"Pendiente",IF(F$8=0,"OK",IF(EDATE(_xlfn.MAXIFS(Acuses!$D$5:$D$3004,Acuses!$A$5:$A$3004,$A11,Acuses!$B$5:$B$3004,F$4,Acuses!$C$5:$C$3004,F$5),F$8)&lt;Resumen!$C$4,"Caducado",IF(EDATE(_xlfn.MAXIFS(Acuses!$D$5:$D$3004,Acuses!$A$5:$A$3004,$A11,Acuses!$B$5:$B$3004,F$4,Acuses!$C$5:$C$3004,F$5),F$8)&lt;Resumen!$C$4+30,"Caduca pronto","OK"))))))</f>
        <v>OK</v>
      </c>
      <c r="G11" s="26" t="str">
        <f aca="false">IF(OR($A11="",G$4=""),"",IF(NOT(OR(G$6="Toda la plantilla",ISNUMBER(SEARCH(";"&amp;SUBSTITUTE($C11," ","")&amp;";",";"&amp;SUBSTITUTE(G$7," ","")&amp;";")))),"—",IF(_xlfn.MAXIFS(Acuses!$C$5:$C$3004,Acuses!$A$5:$A$3004,$A11,Acuses!$B$5:$B$3004,G$4)&lt;G$5,"Pendiente",IF(G$8=0,"OK",IF(EDATE(_xlfn.MAXIFS(Acuses!$D$5:$D$3004,Acuses!$A$5:$A$3004,$A11,Acuses!$B$5:$B$3004,G$4,Acuses!$C$5:$C$3004,G$5),G$8)&lt;Resumen!$C$4,"Caducado",IF(EDATE(_xlfn.MAXIFS(Acuses!$D$5:$D$3004,Acuses!$A$5:$A$3004,$A11,Acuses!$B$5:$B$3004,G$4,Acuses!$C$5:$C$3004,G$5),G$8)&lt;Resumen!$C$4+30,"Caduca pronto","OK"))))))</f>
        <v>Pendiente</v>
      </c>
      <c r="H11" s="26" t="str">
        <f aca="false">IF(OR($A11="",H$4=""),"",IF(NOT(OR(H$6="Toda la plantilla",ISNUMBER(SEARCH(";"&amp;SUBSTITUTE($C11," ","")&amp;";",";"&amp;SUBSTITUTE(H$7," ","")&amp;";")))),"—",IF(_xlfn.MAXIFS(Acuses!$C$5:$C$3004,Acuses!$A$5:$A$3004,$A11,Acuses!$B$5:$B$3004,H$4)&lt;H$5,"Pendiente",IF(H$8=0,"OK",IF(EDATE(_xlfn.MAXIFS(Acuses!$D$5:$D$3004,Acuses!$A$5:$A$3004,$A11,Acuses!$B$5:$B$3004,H$4,Acuses!$C$5:$C$3004,H$5),H$8)&lt;Resumen!$C$4,"Caducado",IF(EDATE(_xlfn.MAXIFS(Acuses!$D$5:$D$3004,Acuses!$A$5:$A$3004,$A11,Acuses!$B$5:$B$3004,H$4,Acuses!$C$5:$C$3004,H$5),H$8)&lt;Resumen!$C$4+30,"Caduca pronto","OK"))))))</f>
        <v>Pendiente</v>
      </c>
      <c r="I11" s="26" t="str">
        <f aca="false">IF(OR($A11="",I$4=""),"",IF(NOT(OR(I$6="Toda la plantilla",ISNUMBER(SEARCH(";"&amp;SUBSTITUTE($C11," ","")&amp;";",";"&amp;SUBSTITUTE(I$7," ","")&amp;";")))),"—",IF(_xlfn.MAXIFS(Acuses!$C$5:$C$3004,Acuses!$A$5:$A$3004,$A11,Acuses!$B$5:$B$3004,I$4)&lt;I$5,"Pendiente",IF(I$8=0,"OK",IF(EDATE(_xlfn.MAXIFS(Acuses!$D$5:$D$3004,Acuses!$A$5:$A$3004,$A11,Acuses!$B$5:$B$3004,I$4,Acuses!$C$5:$C$3004,I$5),I$8)&lt;Resumen!$C$4,"Caducado",IF(EDATE(_xlfn.MAXIFS(Acuses!$D$5:$D$3004,Acuses!$A$5:$A$3004,$A11,Acuses!$B$5:$B$3004,I$4,Acuses!$C$5:$C$3004,I$5),I$8)&lt;Resumen!$C$4+30,"Caduca pronto","OK"))))))</f>
        <v>OK</v>
      </c>
      <c r="J11" s="26" t="str">
        <f aca="false">IF(OR($A11="",J$4=""),"",IF(NOT(OR(J$6="Toda la plantilla",ISNUMBER(SEARCH(";"&amp;SUBSTITUTE($C11," ","")&amp;";",";"&amp;SUBSTITUTE(J$7," ","")&amp;";")))),"—",IF(_xlfn.MAXIFS(Acuses!$C$5:$C$3004,Acuses!$A$5:$A$3004,$A11,Acuses!$B$5:$B$3004,J$4)&lt;J$5,"Pendiente",IF(J$8=0,"OK",IF(EDATE(_xlfn.MAXIFS(Acuses!$D$5:$D$3004,Acuses!$A$5:$A$3004,$A11,Acuses!$B$5:$B$3004,J$4,Acuses!$C$5:$C$3004,J$5),J$8)&lt;Resumen!$C$4,"Caducado",IF(EDATE(_xlfn.MAXIFS(Acuses!$D$5:$D$3004,Acuses!$A$5:$A$3004,$A11,Acuses!$B$5:$B$3004,J$4,Acuses!$C$5:$C$3004,J$5),J$8)&lt;Resumen!$C$4+30,"Caduca pronto","OK"))))))</f>
        <v>Pendiente</v>
      </c>
      <c r="K11" s="26" t="str">
        <f aca="false">IF(OR($A11="",K$4=""),"",IF(NOT(OR(K$6="Toda la plantilla",ISNUMBER(SEARCH(";"&amp;SUBSTITUTE($C11," ","")&amp;";",";"&amp;SUBSTITUTE(K$7," ","")&amp;";")))),"—",IF(_xlfn.MAXIFS(Acuses!$C$5:$C$3004,Acuses!$A$5:$A$3004,$A11,Acuses!$B$5:$B$3004,K$4)&lt;K$5,"Pendiente",IF(K$8=0,"OK",IF(EDATE(_xlfn.MAXIFS(Acuses!$D$5:$D$3004,Acuses!$A$5:$A$3004,$A11,Acuses!$B$5:$B$3004,K$4,Acuses!$C$5:$C$3004,K$5),K$8)&lt;Resumen!$C$4,"Caducado",IF(EDATE(_xlfn.MAXIFS(Acuses!$D$5:$D$3004,Acuses!$A$5:$A$3004,$A11,Acuses!$B$5:$B$3004,K$4,Acuses!$C$5:$C$3004,K$5),K$8)&lt;Resumen!$C$4+30,"Caduca pronto","OK"))))))</f>
        <v>OK</v>
      </c>
      <c r="L11" s="26" t="str">
        <f aca="false">IF(OR($A11="",L$4=""),"",IF(NOT(OR(L$6="Toda la plantilla",ISNUMBER(SEARCH(";"&amp;SUBSTITUTE($C11," ","")&amp;";",";"&amp;SUBSTITUTE(L$7," ","")&amp;";")))),"—",IF(_xlfn.MAXIFS(Acuses!$C$5:$C$3004,Acuses!$A$5:$A$3004,$A11,Acuses!$B$5:$B$3004,L$4)&lt;L$5,"Pendiente",IF(L$8=0,"OK",IF(EDATE(_xlfn.MAXIFS(Acuses!$D$5:$D$3004,Acuses!$A$5:$A$3004,$A11,Acuses!$B$5:$B$3004,L$4,Acuses!$C$5:$C$3004,L$5),L$8)&lt;Resumen!$C$4,"Caducado",IF(EDATE(_xlfn.MAXIFS(Acuses!$D$5:$D$3004,Acuses!$A$5:$A$3004,$A11,Acuses!$B$5:$B$3004,L$4,Acuses!$C$5:$C$3004,L$5),L$8)&lt;Resumen!$C$4+30,"Caduca pronto","OK"))))))</f>
        <v/>
      </c>
      <c r="M11" s="26" t="str">
        <f aca="false">IF(OR($A11="",M$4=""),"",IF(NOT(OR(M$6="Toda la plantilla",ISNUMBER(SEARCH(";"&amp;SUBSTITUTE($C11," ","")&amp;";",";"&amp;SUBSTITUTE(M$7," ","")&amp;";")))),"—",IF(_xlfn.MAXIFS(Acuses!$C$5:$C$3004,Acuses!$A$5:$A$3004,$A11,Acuses!$B$5:$B$3004,M$4)&lt;M$5,"Pendiente",IF(M$8=0,"OK",IF(EDATE(_xlfn.MAXIFS(Acuses!$D$5:$D$3004,Acuses!$A$5:$A$3004,$A11,Acuses!$B$5:$B$3004,M$4,Acuses!$C$5:$C$3004,M$5),M$8)&lt;Resumen!$C$4,"Caducado",IF(EDATE(_xlfn.MAXIFS(Acuses!$D$5:$D$3004,Acuses!$A$5:$A$3004,$A11,Acuses!$B$5:$B$3004,M$4,Acuses!$C$5:$C$3004,M$5),M$8)&lt;Resumen!$C$4+30,"Caduca pronto","OK"))))))</f>
        <v/>
      </c>
      <c r="N11" s="26" t="str">
        <f aca="false">IF(OR($A11="",N$4=""),"",IF(NOT(OR(N$6="Toda la plantilla",ISNUMBER(SEARCH(";"&amp;SUBSTITUTE($C11," ","")&amp;";",";"&amp;SUBSTITUTE(N$7," ","")&amp;";")))),"—",IF(_xlfn.MAXIFS(Acuses!$C$5:$C$3004,Acuses!$A$5:$A$3004,$A11,Acuses!$B$5:$B$3004,N$4)&lt;N$5,"Pendiente",IF(N$8=0,"OK",IF(EDATE(_xlfn.MAXIFS(Acuses!$D$5:$D$3004,Acuses!$A$5:$A$3004,$A11,Acuses!$B$5:$B$3004,N$4,Acuses!$C$5:$C$3004,N$5),N$8)&lt;Resumen!$C$4,"Caducado",IF(EDATE(_xlfn.MAXIFS(Acuses!$D$5:$D$3004,Acuses!$A$5:$A$3004,$A11,Acuses!$B$5:$B$3004,N$4,Acuses!$C$5:$C$3004,N$5),N$8)&lt;Resumen!$C$4+30,"Caduca pronto","OK"))))))</f>
        <v/>
      </c>
      <c r="O11" s="26" t="str">
        <f aca="false">IF(OR($A11="",O$4=""),"",IF(NOT(OR(O$6="Toda la plantilla",ISNUMBER(SEARCH(";"&amp;SUBSTITUTE($C11," ","")&amp;";",";"&amp;SUBSTITUTE(O$7," ","")&amp;";")))),"—",IF(_xlfn.MAXIFS(Acuses!$C$5:$C$3004,Acuses!$A$5:$A$3004,$A11,Acuses!$B$5:$B$3004,O$4)&lt;O$5,"Pendiente",IF(O$8=0,"OK",IF(EDATE(_xlfn.MAXIFS(Acuses!$D$5:$D$3004,Acuses!$A$5:$A$3004,$A11,Acuses!$B$5:$B$3004,O$4,Acuses!$C$5:$C$3004,O$5),O$8)&lt;Resumen!$C$4,"Caducado",IF(EDATE(_xlfn.MAXIFS(Acuses!$D$5:$D$3004,Acuses!$A$5:$A$3004,$A11,Acuses!$B$5:$B$3004,O$4,Acuses!$C$5:$C$3004,O$5),O$8)&lt;Resumen!$C$4+30,"Caduca pronto","OK"))))))</f>
        <v/>
      </c>
      <c r="P11" s="26" t="str">
        <f aca="false">IF(OR($A11="",P$4=""),"",IF(NOT(OR(P$6="Toda la plantilla",ISNUMBER(SEARCH(";"&amp;SUBSTITUTE($C11," ","")&amp;";",";"&amp;SUBSTITUTE(P$7," ","")&amp;";")))),"—",IF(_xlfn.MAXIFS(Acuses!$C$5:$C$3004,Acuses!$A$5:$A$3004,$A11,Acuses!$B$5:$B$3004,P$4)&lt;P$5,"Pendiente",IF(P$8=0,"OK",IF(EDATE(_xlfn.MAXIFS(Acuses!$D$5:$D$3004,Acuses!$A$5:$A$3004,$A11,Acuses!$B$5:$B$3004,P$4,Acuses!$C$5:$C$3004,P$5),P$8)&lt;Resumen!$C$4,"Caducado",IF(EDATE(_xlfn.MAXIFS(Acuses!$D$5:$D$3004,Acuses!$A$5:$A$3004,$A11,Acuses!$B$5:$B$3004,P$4,Acuses!$C$5:$C$3004,P$5),P$8)&lt;Resumen!$C$4+30,"Caduca pronto","OK"))))))</f>
        <v/>
      </c>
      <c r="Q11" s="26" t="str">
        <f aca="false">IF(OR($A11="",Q$4=""),"",IF(NOT(OR(Q$6="Toda la plantilla",ISNUMBER(SEARCH(";"&amp;SUBSTITUTE($C11," ","")&amp;";",";"&amp;SUBSTITUTE(Q$7," ","")&amp;";")))),"—",IF(_xlfn.MAXIFS(Acuses!$C$5:$C$3004,Acuses!$A$5:$A$3004,$A11,Acuses!$B$5:$B$3004,Q$4)&lt;Q$5,"Pendiente",IF(Q$8=0,"OK",IF(EDATE(_xlfn.MAXIFS(Acuses!$D$5:$D$3004,Acuses!$A$5:$A$3004,$A11,Acuses!$B$5:$B$3004,Q$4,Acuses!$C$5:$C$3004,Q$5),Q$8)&lt;Resumen!$C$4,"Caducado",IF(EDATE(_xlfn.MAXIFS(Acuses!$D$5:$D$3004,Acuses!$A$5:$A$3004,$A11,Acuses!$B$5:$B$3004,Q$4,Acuses!$C$5:$C$3004,Q$5),Q$8)&lt;Resumen!$C$4+30,"Caduca pronto","OK"))))))</f>
        <v/>
      </c>
      <c r="R11" s="26" t="str">
        <f aca="false">IF(OR($A11="",R$4=""),"",IF(NOT(OR(R$6="Toda la plantilla",ISNUMBER(SEARCH(";"&amp;SUBSTITUTE($C11," ","")&amp;";",";"&amp;SUBSTITUTE(R$7," ","")&amp;";")))),"—",IF(_xlfn.MAXIFS(Acuses!$C$5:$C$3004,Acuses!$A$5:$A$3004,$A11,Acuses!$B$5:$B$3004,R$4)&lt;R$5,"Pendiente",IF(R$8=0,"OK",IF(EDATE(_xlfn.MAXIFS(Acuses!$D$5:$D$3004,Acuses!$A$5:$A$3004,$A11,Acuses!$B$5:$B$3004,R$4,Acuses!$C$5:$C$3004,R$5),R$8)&lt;Resumen!$C$4,"Caducado",IF(EDATE(_xlfn.MAXIFS(Acuses!$D$5:$D$3004,Acuses!$A$5:$A$3004,$A11,Acuses!$B$5:$B$3004,R$4,Acuses!$C$5:$C$3004,R$5),R$8)&lt;Resumen!$C$4+30,"Caduca pronto","OK"))))))</f>
        <v/>
      </c>
      <c r="S11" s="26" t="str">
        <f aca="false">IF(OR($A11="",S$4=""),"",IF(NOT(OR(S$6="Toda la plantilla",ISNUMBER(SEARCH(";"&amp;SUBSTITUTE($C11," ","")&amp;";",";"&amp;SUBSTITUTE(S$7," ","")&amp;";")))),"—",IF(_xlfn.MAXIFS(Acuses!$C$5:$C$3004,Acuses!$A$5:$A$3004,$A11,Acuses!$B$5:$B$3004,S$4)&lt;S$5,"Pendiente",IF(S$8=0,"OK",IF(EDATE(_xlfn.MAXIFS(Acuses!$D$5:$D$3004,Acuses!$A$5:$A$3004,$A11,Acuses!$B$5:$B$3004,S$4,Acuses!$C$5:$C$3004,S$5),S$8)&lt;Resumen!$C$4,"Caducado",IF(EDATE(_xlfn.MAXIFS(Acuses!$D$5:$D$3004,Acuses!$A$5:$A$3004,$A11,Acuses!$B$5:$B$3004,S$4,Acuses!$C$5:$C$3004,S$5),S$8)&lt;Resumen!$C$4+30,"Caduca pronto","OK"))))))</f>
        <v/>
      </c>
      <c r="T11" s="26" t="str">
        <f aca="false">IF(OR($A11="",T$4=""),"",IF(NOT(OR(T$6="Toda la plantilla",ISNUMBER(SEARCH(";"&amp;SUBSTITUTE($C11," ","")&amp;";",";"&amp;SUBSTITUTE(T$7," ","")&amp;";")))),"—",IF(_xlfn.MAXIFS(Acuses!$C$5:$C$3004,Acuses!$A$5:$A$3004,$A11,Acuses!$B$5:$B$3004,T$4)&lt;T$5,"Pendiente",IF(T$8=0,"OK",IF(EDATE(_xlfn.MAXIFS(Acuses!$D$5:$D$3004,Acuses!$A$5:$A$3004,$A11,Acuses!$B$5:$B$3004,T$4,Acuses!$C$5:$C$3004,T$5),T$8)&lt;Resumen!$C$4,"Caducado",IF(EDATE(_xlfn.MAXIFS(Acuses!$D$5:$D$3004,Acuses!$A$5:$A$3004,$A11,Acuses!$B$5:$B$3004,T$4,Acuses!$C$5:$C$3004,T$5),T$8)&lt;Resumen!$C$4+30,"Caduca pronto","OK"))))))</f>
        <v/>
      </c>
      <c r="U11" s="26" t="str">
        <f aca="false">IF(OR($A11="",U$4=""),"",IF(NOT(OR(U$6="Toda la plantilla",ISNUMBER(SEARCH(";"&amp;SUBSTITUTE($C11," ","")&amp;";",";"&amp;SUBSTITUTE(U$7," ","")&amp;";")))),"—",IF(_xlfn.MAXIFS(Acuses!$C$5:$C$3004,Acuses!$A$5:$A$3004,$A11,Acuses!$B$5:$B$3004,U$4)&lt;U$5,"Pendiente",IF(U$8=0,"OK",IF(EDATE(_xlfn.MAXIFS(Acuses!$D$5:$D$3004,Acuses!$A$5:$A$3004,$A11,Acuses!$B$5:$B$3004,U$4,Acuses!$C$5:$C$3004,U$5),U$8)&lt;Resumen!$C$4,"Caducado",IF(EDATE(_xlfn.MAXIFS(Acuses!$D$5:$D$3004,Acuses!$A$5:$A$3004,$A11,Acuses!$B$5:$B$3004,U$4,Acuses!$C$5:$C$3004,U$5),U$8)&lt;Resumen!$C$4+30,"Caduca pronto","OK"))))))</f>
        <v/>
      </c>
      <c r="V11" s="26" t="str">
        <f aca="false">IF(OR($A11="",V$4=""),"",IF(NOT(OR(V$6="Toda la plantilla",ISNUMBER(SEARCH(";"&amp;SUBSTITUTE($C11," ","")&amp;";",";"&amp;SUBSTITUTE(V$7," ","")&amp;";")))),"—",IF(_xlfn.MAXIFS(Acuses!$C$5:$C$3004,Acuses!$A$5:$A$3004,$A11,Acuses!$B$5:$B$3004,V$4)&lt;V$5,"Pendiente",IF(V$8=0,"OK",IF(EDATE(_xlfn.MAXIFS(Acuses!$D$5:$D$3004,Acuses!$A$5:$A$3004,$A11,Acuses!$B$5:$B$3004,V$4,Acuses!$C$5:$C$3004,V$5),V$8)&lt;Resumen!$C$4,"Caducado",IF(EDATE(_xlfn.MAXIFS(Acuses!$D$5:$D$3004,Acuses!$A$5:$A$3004,$A11,Acuses!$B$5:$B$3004,V$4,Acuses!$C$5:$C$3004,V$5),V$8)&lt;Resumen!$C$4+30,"Caduca pronto","OK"))))))</f>
        <v/>
      </c>
      <c r="W11" s="26" t="str">
        <f aca="false">IF(OR($A11="",W$4=""),"",IF(NOT(OR(W$6="Toda la plantilla",ISNUMBER(SEARCH(";"&amp;SUBSTITUTE($C11," ","")&amp;";",";"&amp;SUBSTITUTE(W$7," ","")&amp;";")))),"—",IF(_xlfn.MAXIFS(Acuses!$C$5:$C$3004,Acuses!$A$5:$A$3004,$A11,Acuses!$B$5:$B$3004,W$4)&lt;W$5,"Pendiente",IF(W$8=0,"OK",IF(EDATE(_xlfn.MAXIFS(Acuses!$D$5:$D$3004,Acuses!$A$5:$A$3004,$A11,Acuses!$B$5:$B$3004,W$4,Acuses!$C$5:$C$3004,W$5),W$8)&lt;Resumen!$C$4,"Caducado",IF(EDATE(_xlfn.MAXIFS(Acuses!$D$5:$D$3004,Acuses!$A$5:$A$3004,$A11,Acuses!$B$5:$B$3004,W$4,Acuses!$C$5:$C$3004,W$5),W$8)&lt;Resumen!$C$4+30,"Caduca pronto","OK"))))))</f>
        <v/>
      </c>
      <c r="X11" s="26" t="str">
        <f aca="false">IF(OR($A11="",X$4=""),"",IF(NOT(OR(X$6="Toda la plantilla",ISNUMBER(SEARCH(";"&amp;SUBSTITUTE($C11," ","")&amp;";",";"&amp;SUBSTITUTE(X$7," ","")&amp;";")))),"—",IF(_xlfn.MAXIFS(Acuses!$C$5:$C$3004,Acuses!$A$5:$A$3004,$A11,Acuses!$B$5:$B$3004,X$4)&lt;X$5,"Pendiente",IF(X$8=0,"OK",IF(EDATE(_xlfn.MAXIFS(Acuses!$D$5:$D$3004,Acuses!$A$5:$A$3004,$A11,Acuses!$B$5:$B$3004,X$4,Acuses!$C$5:$C$3004,X$5),X$8)&lt;Resumen!$C$4,"Caducado",IF(EDATE(_xlfn.MAXIFS(Acuses!$D$5:$D$3004,Acuses!$A$5:$A$3004,$A11,Acuses!$B$5:$B$3004,X$4,Acuses!$C$5:$C$3004,X$5),X$8)&lt;Resumen!$C$4+30,"Caduca pronto","OK"))))))</f>
        <v/>
      </c>
      <c r="Y11" s="26" t="str">
        <f aca="false">IF(OR($A11="",Y$4=""),"",IF(NOT(OR(Y$6="Toda la plantilla",ISNUMBER(SEARCH(";"&amp;SUBSTITUTE($C11," ","")&amp;";",";"&amp;SUBSTITUTE(Y$7," ","")&amp;";")))),"—",IF(_xlfn.MAXIFS(Acuses!$C$5:$C$3004,Acuses!$A$5:$A$3004,$A11,Acuses!$B$5:$B$3004,Y$4)&lt;Y$5,"Pendiente",IF(Y$8=0,"OK",IF(EDATE(_xlfn.MAXIFS(Acuses!$D$5:$D$3004,Acuses!$A$5:$A$3004,$A11,Acuses!$B$5:$B$3004,Y$4,Acuses!$C$5:$C$3004,Y$5),Y$8)&lt;Resumen!$C$4,"Caducado",IF(EDATE(_xlfn.MAXIFS(Acuses!$D$5:$D$3004,Acuses!$A$5:$A$3004,$A11,Acuses!$B$5:$B$3004,Y$4,Acuses!$C$5:$C$3004,Y$5),Y$8)&lt;Resumen!$C$4+30,"Caduca pronto","OK"))))))</f>
        <v/>
      </c>
      <c r="Z11" s="26" t="str">
        <f aca="false">IF(OR($A11="",Z$4=""),"",IF(NOT(OR(Z$6="Toda la plantilla",ISNUMBER(SEARCH(";"&amp;SUBSTITUTE($C11," ","")&amp;";",";"&amp;SUBSTITUTE(Z$7," ","")&amp;";")))),"—",IF(_xlfn.MAXIFS(Acuses!$C$5:$C$3004,Acuses!$A$5:$A$3004,$A11,Acuses!$B$5:$B$3004,Z$4)&lt;Z$5,"Pendiente",IF(Z$8=0,"OK",IF(EDATE(_xlfn.MAXIFS(Acuses!$D$5:$D$3004,Acuses!$A$5:$A$3004,$A11,Acuses!$B$5:$B$3004,Z$4,Acuses!$C$5:$C$3004,Z$5),Z$8)&lt;Resumen!$C$4,"Caducado",IF(EDATE(_xlfn.MAXIFS(Acuses!$D$5:$D$3004,Acuses!$A$5:$A$3004,$A11,Acuses!$B$5:$B$3004,Z$4,Acuses!$C$5:$C$3004,Z$5),Z$8)&lt;Resumen!$C$4+30,"Caduca pronto","OK"))))))</f>
        <v/>
      </c>
      <c r="AA11" s="26" t="str">
        <f aca="false">IF(OR($A11="",AA$4=""),"",IF(NOT(OR(AA$6="Toda la plantilla",ISNUMBER(SEARCH(";"&amp;SUBSTITUTE($C11," ","")&amp;";",";"&amp;SUBSTITUTE(AA$7," ","")&amp;";")))),"—",IF(_xlfn.MAXIFS(Acuses!$C$5:$C$3004,Acuses!$A$5:$A$3004,$A11,Acuses!$B$5:$B$3004,AA$4)&lt;AA$5,"Pendiente",IF(AA$8=0,"OK",IF(EDATE(_xlfn.MAXIFS(Acuses!$D$5:$D$3004,Acuses!$A$5:$A$3004,$A11,Acuses!$B$5:$B$3004,AA$4,Acuses!$C$5:$C$3004,AA$5),AA$8)&lt;Resumen!$C$4,"Caducado",IF(EDATE(_xlfn.MAXIFS(Acuses!$D$5:$D$3004,Acuses!$A$5:$A$3004,$A11,Acuses!$B$5:$B$3004,AA$4,Acuses!$C$5:$C$3004,AA$5),AA$8)&lt;Resumen!$C$4+30,"Caduca pronto","OK"))))))</f>
        <v/>
      </c>
      <c r="AB11" s="26" t="str">
        <f aca="false">IF(OR($A11="",AB$4=""),"",IF(NOT(OR(AB$6="Toda la plantilla",ISNUMBER(SEARCH(";"&amp;SUBSTITUTE($C11," ","")&amp;";",";"&amp;SUBSTITUTE(AB$7," ","")&amp;";")))),"—",IF(_xlfn.MAXIFS(Acuses!$C$5:$C$3004,Acuses!$A$5:$A$3004,$A11,Acuses!$B$5:$B$3004,AB$4)&lt;AB$5,"Pendiente",IF(AB$8=0,"OK",IF(EDATE(_xlfn.MAXIFS(Acuses!$D$5:$D$3004,Acuses!$A$5:$A$3004,$A11,Acuses!$B$5:$B$3004,AB$4,Acuses!$C$5:$C$3004,AB$5),AB$8)&lt;Resumen!$C$4,"Caducado",IF(EDATE(_xlfn.MAXIFS(Acuses!$D$5:$D$3004,Acuses!$A$5:$A$3004,$A11,Acuses!$B$5:$B$3004,AB$4,Acuses!$C$5:$C$3004,AB$5),AB$8)&lt;Resumen!$C$4+30,"Caduca pronto","OK"))))))</f>
        <v/>
      </c>
      <c r="AC11" s="26" t="str">
        <f aca="false">IF(OR($A11="",AC$4=""),"",IF(NOT(OR(AC$6="Toda la plantilla",ISNUMBER(SEARCH(";"&amp;SUBSTITUTE($C11," ","")&amp;";",";"&amp;SUBSTITUTE(AC$7," ","")&amp;";")))),"—",IF(_xlfn.MAXIFS(Acuses!$C$5:$C$3004,Acuses!$A$5:$A$3004,$A11,Acuses!$B$5:$B$3004,AC$4)&lt;AC$5,"Pendiente",IF(AC$8=0,"OK",IF(EDATE(_xlfn.MAXIFS(Acuses!$D$5:$D$3004,Acuses!$A$5:$A$3004,$A11,Acuses!$B$5:$B$3004,AC$4,Acuses!$C$5:$C$3004,AC$5),AC$8)&lt;Resumen!$C$4,"Caducado",IF(EDATE(_xlfn.MAXIFS(Acuses!$D$5:$D$3004,Acuses!$A$5:$A$3004,$A11,Acuses!$B$5:$B$3004,AC$4,Acuses!$C$5:$C$3004,AC$5),AC$8)&lt;Resumen!$C$4+30,"Caduca pronto","OK"))))))</f>
        <v/>
      </c>
      <c r="AD11" s="26" t="str">
        <f aca="false">IF(OR($A11="",AD$4=""),"",IF(NOT(OR(AD$6="Toda la plantilla",ISNUMBER(SEARCH(";"&amp;SUBSTITUTE($C11," ","")&amp;";",";"&amp;SUBSTITUTE(AD$7," ","")&amp;";")))),"—",IF(_xlfn.MAXIFS(Acuses!$C$5:$C$3004,Acuses!$A$5:$A$3004,$A11,Acuses!$B$5:$B$3004,AD$4)&lt;AD$5,"Pendiente",IF(AD$8=0,"OK",IF(EDATE(_xlfn.MAXIFS(Acuses!$D$5:$D$3004,Acuses!$A$5:$A$3004,$A11,Acuses!$B$5:$B$3004,AD$4,Acuses!$C$5:$C$3004,AD$5),AD$8)&lt;Resumen!$C$4,"Caducado",IF(EDATE(_xlfn.MAXIFS(Acuses!$D$5:$D$3004,Acuses!$A$5:$A$3004,$A11,Acuses!$B$5:$B$3004,AD$4,Acuses!$C$5:$C$3004,AD$5),AD$8)&lt;Resumen!$C$4+30,"Caduca pronto","OK"))))))</f>
        <v/>
      </c>
      <c r="AE11" s="26" t="str">
        <f aca="false">IF(OR($A11="",AE$4=""),"",IF(NOT(OR(AE$6="Toda la plantilla",ISNUMBER(SEARCH(";"&amp;SUBSTITUTE($C11," ","")&amp;";",";"&amp;SUBSTITUTE(AE$7," ","")&amp;";")))),"—",IF(_xlfn.MAXIFS(Acuses!$C$5:$C$3004,Acuses!$A$5:$A$3004,$A11,Acuses!$B$5:$B$3004,AE$4)&lt;AE$5,"Pendiente",IF(AE$8=0,"OK",IF(EDATE(_xlfn.MAXIFS(Acuses!$D$5:$D$3004,Acuses!$A$5:$A$3004,$A11,Acuses!$B$5:$B$3004,AE$4,Acuses!$C$5:$C$3004,AE$5),AE$8)&lt;Resumen!$C$4,"Caducado",IF(EDATE(_xlfn.MAXIFS(Acuses!$D$5:$D$3004,Acuses!$A$5:$A$3004,$A11,Acuses!$B$5:$B$3004,AE$4,Acuses!$C$5:$C$3004,AE$5),AE$8)&lt;Resumen!$C$4+30,"Caduca pronto","OK"))))))</f>
        <v/>
      </c>
      <c r="AF11" s="26" t="str">
        <f aca="false">IF(OR($A11="",AF$4=""),"",IF(NOT(OR(AF$6="Toda la plantilla",ISNUMBER(SEARCH(";"&amp;SUBSTITUTE($C11," ","")&amp;";",";"&amp;SUBSTITUTE(AF$7," ","")&amp;";")))),"—",IF(_xlfn.MAXIFS(Acuses!$C$5:$C$3004,Acuses!$A$5:$A$3004,$A11,Acuses!$B$5:$B$3004,AF$4)&lt;AF$5,"Pendiente",IF(AF$8=0,"OK",IF(EDATE(_xlfn.MAXIFS(Acuses!$D$5:$D$3004,Acuses!$A$5:$A$3004,$A11,Acuses!$B$5:$B$3004,AF$4,Acuses!$C$5:$C$3004,AF$5),AF$8)&lt;Resumen!$C$4,"Caducado",IF(EDATE(_xlfn.MAXIFS(Acuses!$D$5:$D$3004,Acuses!$A$5:$A$3004,$A11,Acuses!$B$5:$B$3004,AF$4,Acuses!$C$5:$C$3004,AF$5),AF$8)&lt;Resumen!$C$4+30,"Caduca pronto","OK"))))))</f>
        <v/>
      </c>
      <c r="AG11" s="26" t="str">
        <f aca="false">IF(OR($A11="",AG$4=""),"",IF(NOT(OR(AG$6="Toda la plantilla",ISNUMBER(SEARCH(";"&amp;SUBSTITUTE($C11," ","")&amp;";",";"&amp;SUBSTITUTE(AG$7," ","")&amp;";")))),"—",IF(_xlfn.MAXIFS(Acuses!$C$5:$C$3004,Acuses!$A$5:$A$3004,$A11,Acuses!$B$5:$B$3004,AG$4)&lt;AG$5,"Pendiente",IF(AG$8=0,"OK",IF(EDATE(_xlfn.MAXIFS(Acuses!$D$5:$D$3004,Acuses!$A$5:$A$3004,$A11,Acuses!$B$5:$B$3004,AG$4,Acuses!$C$5:$C$3004,AG$5),AG$8)&lt;Resumen!$C$4,"Caducado",IF(EDATE(_xlfn.MAXIFS(Acuses!$D$5:$D$3004,Acuses!$A$5:$A$3004,$A11,Acuses!$B$5:$B$3004,AG$4,Acuses!$C$5:$C$3004,AG$5),AG$8)&lt;Resumen!$C$4+30,"Caduca pronto","OK"))))))</f>
        <v/>
      </c>
      <c r="AH11" s="26" t="str">
        <f aca="false">IF(OR($A11="",AH$4=""),"",IF(NOT(OR(AH$6="Toda la plantilla",ISNUMBER(SEARCH(";"&amp;SUBSTITUTE($C11," ","")&amp;";",";"&amp;SUBSTITUTE(AH$7," ","")&amp;";")))),"—",IF(_xlfn.MAXIFS(Acuses!$C$5:$C$3004,Acuses!$A$5:$A$3004,$A11,Acuses!$B$5:$B$3004,AH$4)&lt;AH$5,"Pendiente",IF(AH$8=0,"OK",IF(EDATE(_xlfn.MAXIFS(Acuses!$D$5:$D$3004,Acuses!$A$5:$A$3004,$A11,Acuses!$B$5:$B$3004,AH$4,Acuses!$C$5:$C$3004,AH$5),AH$8)&lt;Resumen!$C$4,"Caducado",IF(EDATE(_xlfn.MAXIFS(Acuses!$D$5:$D$3004,Acuses!$A$5:$A$3004,$A11,Acuses!$B$5:$B$3004,AH$4,Acuses!$C$5:$C$3004,AH$5),AH$8)&lt;Resumen!$C$4+30,"Caduca pronto","OK"))))))</f>
        <v/>
      </c>
      <c r="AI11" s="26" t="str">
        <f aca="false">IF(OR($A11="",AI$4=""),"",IF(NOT(OR(AI$6="Toda la plantilla",ISNUMBER(SEARCH(";"&amp;SUBSTITUTE($C11," ","")&amp;";",";"&amp;SUBSTITUTE(AI$7," ","")&amp;";")))),"—",IF(_xlfn.MAXIFS(Acuses!$C$5:$C$3004,Acuses!$A$5:$A$3004,$A11,Acuses!$B$5:$B$3004,AI$4)&lt;AI$5,"Pendiente",IF(AI$8=0,"OK",IF(EDATE(_xlfn.MAXIFS(Acuses!$D$5:$D$3004,Acuses!$A$5:$A$3004,$A11,Acuses!$B$5:$B$3004,AI$4,Acuses!$C$5:$C$3004,AI$5),AI$8)&lt;Resumen!$C$4,"Caducado",IF(EDATE(_xlfn.MAXIFS(Acuses!$D$5:$D$3004,Acuses!$A$5:$A$3004,$A11,Acuses!$B$5:$B$3004,AI$4,Acuses!$C$5:$C$3004,AI$5),AI$8)&lt;Resumen!$C$4+30,"Caduca pronto","OK"))))))</f>
        <v/>
      </c>
      <c r="AJ11" s="26" t="str">
        <f aca="false">IF(OR($A11="",AJ$4=""),"",IF(NOT(OR(AJ$6="Toda la plantilla",ISNUMBER(SEARCH(";"&amp;SUBSTITUTE($C11," ","")&amp;";",";"&amp;SUBSTITUTE(AJ$7," ","")&amp;";")))),"—",IF(_xlfn.MAXIFS(Acuses!$C$5:$C$3004,Acuses!$A$5:$A$3004,$A11,Acuses!$B$5:$B$3004,AJ$4)&lt;AJ$5,"Pendiente",IF(AJ$8=0,"OK",IF(EDATE(_xlfn.MAXIFS(Acuses!$D$5:$D$3004,Acuses!$A$5:$A$3004,$A11,Acuses!$B$5:$B$3004,AJ$4,Acuses!$C$5:$C$3004,AJ$5),AJ$8)&lt;Resumen!$C$4,"Caducado",IF(EDATE(_xlfn.MAXIFS(Acuses!$D$5:$D$3004,Acuses!$A$5:$A$3004,$A11,Acuses!$B$5:$B$3004,AJ$4,Acuses!$C$5:$C$3004,AJ$5),AJ$8)&lt;Resumen!$C$4+30,"Caduca pronto","OK"))))))</f>
        <v/>
      </c>
      <c r="AK11" s="26" t="str">
        <f aca="false">IF(OR($A11="",AK$4=""),"",IF(NOT(OR(AK$6="Toda la plantilla",ISNUMBER(SEARCH(";"&amp;SUBSTITUTE($C11," ","")&amp;";",";"&amp;SUBSTITUTE(AK$7," ","")&amp;";")))),"—",IF(_xlfn.MAXIFS(Acuses!$C$5:$C$3004,Acuses!$A$5:$A$3004,$A11,Acuses!$B$5:$B$3004,AK$4)&lt;AK$5,"Pendiente",IF(AK$8=0,"OK",IF(EDATE(_xlfn.MAXIFS(Acuses!$D$5:$D$3004,Acuses!$A$5:$A$3004,$A11,Acuses!$B$5:$B$3004,AK$4,Acuses!$C$5:$C$3004,AK$5),AK$8)&lt;Resumen!$C$4,"Caducado",IF(EDATE(_xlfn.MAXIFS(Acuses!$D$5:$D$3004,Acuses!$A$5:$A$3004,$A11,Acuses!$B$5:$B$3004,AK$4,Acuses!$C$5:$C$3004,AK$5),AK$8)&lt;Resumen!$C$4+30,"Caduca pronto","OK"))))))</f>
        <v/>
      </c>
      <c r="AL11" s="26" t="str">
        <f aca="false">IF(OR($A11="",AL$4=""),"",IF(NOT(OR(AL$6="Toda la plantilla",ISNUMBER(SEARCH(";"&amp;SUBSTITUTE($C11," ","")&amp;";",";"&amp;SUBSTITUTE(AL$7," ","")&amp;";")))),"—",IF(_xlfn.MAXIFS(Acuses!$C$5:$C$3004,Acuses!$A$5:$A$3004,$A11,Acuses!$B$5:$B$3004,AL$4)&lt;AL$5,"Pendiente",IF(AL$8=0,"OK",IF(EDATE(_xlfn.MAXIFS(Acuses!$D$5:$D$3004,Acuses!$A$5:$A$3004,$A11,Acuses!$B$5:$B$3004,AL$4,Acuses!$C$5:$C$3004,AL$5),AL$8)&lt;Resumen!$C$4,"Caducado",IF(EDATE(_xlfn.MAXIFS(Acuses!$D$5:$D$3004,Acuses!$A$5:$A$3004,$A11,Acuses!$B$5:$B$3004,AL$4,Acuses!$C$5:$C$3004,AL$5),AL$8)&lt;Resumen!$C$4+30,"Caduca pronto","OK"))))))</f>
        <v/>
      </c>
      <c r="AM11" s="26" t="str">
        <f aca="false">IF(OR($A11="",AM$4=""),"",IF(NOT(OR(AM$6="Toda la plantilla",ISNUMBER(SEARCH(";"&amp;SUBSTITUTE($C11," ","")&amp;";",";"&amp;SUBSTITUTE(AM$7," ","")&amp;";")))),"—",IF(_xlfn.MAXIFS(Acuses!$C$5:$C$3004,Acuses!$A$5:$A$3004,$A11,Acuses!$B$5:$B$3004,AM$4)&lt;AM$5,"Pendiente",IF(AM$8=0,"OK",IF(EDATE(_xlfn.MAXIFS(Acuses!$D$5:$D$3004,Acuses!$A$5:$A$3004,$A11,Acuses!$B$5:$B$3004,AM$4,Acuses!$C$5:$C$3004,AM$5),AM$8)&lt;Resumen!$C$4,"Caducado",IF(EDATE(_xlfn.MAXIFS(Acuses!$D$5:$D$3004,Acuses!$A$5:$A$3004,$A11,Acuses!$B$5:$B$3004,AM$4,Acuses!$C$5:$C$3004,AM$5),AM$8)&lt;Resumen!$C$4+30,"Caduca pronto","OK"))))))</f>
        <v/>
      </c>
      <c r="AN11" s="26" t="str">
        <f aca="false">IF(OR($A11="",AN$4=""),"",IF(NOT(OR(AN$6="Toda la plantilla",ISNUMBER(SEARCH(";"&amp;SUBSTITUTE($C11," ","")&amp;";",";"&amp;SUBSTITUTE(AN$7," ","")&amp;";")))),"—",IF(_xlfn.MAXIFS(Acuses!$C$5:$C$3004,Acuses!$A$5:$A$3004,$A11,Acuses!$B$5:$B$3004,AN$4)&lt;AN$5,"Pendiente",IF(AN$8=0,"OK",IF(EDATE(_xlfn.MAXIFS(Acuses!$D$5:$D$3004,Acuses!$A$5:$A$3004,$A11,Acuses!$B$5:$B$3004,AN$4,Acuses!$C$5:$C$3004,AN$5),AN$8)&lt;Resumen!$C$4,"Caducado",IF(EDATE(_xlfn.MAXIFS(Acuses!$D$5:$D$3004,Acuses!$A$5:$A$3004,$A11,Acuses!$B$5:$B$3004,AN$4,Acuses!$C$5:$C$3004,AN$5),AN$8)&lt;Resumen!$C$4+30,"Caduca pronto","OK"))))))</f>
        <v/>
      </c>
      <c r="AO11" s="26" t="str">
        <f aca="false">IF(OR($A11="",AO$4=""),"",IF(NOT(OR(AO$6="Toda la plantilla",ISNUMBER(SEARCH(";"&amp;SUBSTITUTE($C11," ","")&amp;";",";"&amp;SUBSTITUTE(AO$7," ","")&amp;";")))),"—",IF(_xlfn.MAXIFS(Acuses!$C$5:$C$3004,Acuses!$A$5:$A$3004,$A11,Acuses!$B$5:$B$3004,AO$4)&lt;AO$5,"Pendiente",IF(AO$8=0,"OK",IF(EDATE(_xlfn.MAXIFS(Acuses!$D$5:$D$3004,Acuses!$A$5:$A$3004,$A11,Acuses!$B$5:$B$3004,AO$4,Acuses!$C$5:$C$3004,AO$5),AO$8)&lt;Resumen!$C$4,"Caducado",IF(EDATE(_xlfn.MAXIFS(Acuses!$D$5:$D$3004,Acuses!$A$5:$A$3004,$A11,Acuses!$B$5:$B$3004,AO$4,Acuses!$C$5:$C$3004,AO$5),AO$8)&lt;Resumen!$C$4+30,"Caduca pronto","OK"))))))</f>
        <v/>
      </c>
      <c r="AP11" s="26" t="str">
        <f aca="false">IF(OR($A11="",AP$4=""),"",IF(NOT(OR(AP$6="Toda la plantilla",ISNUMBER(SEARCH(";"&amp;SUBSTITUTE($C11," ","")&amp;";",";"&amp;SUBSTITUTE(AP$7," ","")&amp;";")))),"—",IF(_xlfn.MAXIFS(Acuses!$C$5:$C$3004,Acuses!$A$5:$A$3004,$A11,Acuses!$B$5:$B$3004,AP$4)&lt;AP$5,"Pendiente",IF(AP$8=0,"OK",IF(EDATE(_xlfn.MAXIFS(Acuses!$D$5:$D$3004,Acuses!$A$5:$A$3004,$A11,Acuses!$B$5:$B$3004,AP$4,Acuses!$C$5:$C$3004,AP$5),AP$8)&lt;Resumen!$C$4,"Caducado",IF(EDATE(_xlfn.MAXIFS(Acuses!$D$5:$D$3004,Acuses!$A$5:$A$3004,$A11,Acuses!$B$5:$B$3004,AP$4,Acuses!$C$5:$C$3004,AP$5),AP$8)&lt;Resumen!$C$4+30,"Caduca pronto","OK"))))))</f>
        <v/>
      </c>
      <c r="AQ11" s="26" t="str">
        <f aca="false">IF(OR($A11="",AQ$4=""),"",IF(NOT(OR(AQ$6="Toda la plantilla",ISNUMBER(SEARCH(";"&amp;SUBSTITUTE($C11," ","")&amp;";",";"&amp;SUBSTITUTE(AQ$7," ","")&amp;";")))),"—",IF(_xlfn.MAXIFS(Acuses!$C$5:$C$3004,Acuses!$A$5:$A$3004,$A11,Acuses!$B$5:$B$3004,AQ$4)&lt;AQ$5,"Pendiente",IF(AQ$8=0,"OK",IF(EDATE(_xlfn.MAXIFS(Acuses!$D$5:$D$3004,Acuses!$A$5:$A$3004,$A11,Acuses!$B$5:$B$3004,AQ$4,Acuses!$C$5:$C$3004,AQ$5),AQ$8)&lt;Resumen!$C$4,"Caducado",IF(EDATE(_xlfn.MAXIFS(Acuses!$D$5:$D$3004,Acuses!$A$5:$A$3004,$A11,Acuses!$B$5:$B$3004,AQ$4,Acuses!$C$5:$C$3004,AQ$5),AQ$8)&lt;Resumen!$C$4+30,"Caduca pronto","OK"))))))</f>
        <v/>
      </c>
    </row>
    <row r="12" customFormat="false" ht="15" hidden="false" customHeight="false" outlineLevel="0" collapsed="false">
      <c r="A12" s="25" t="str">
        <f aca="false">IF(AND(Trabajadores!$A$7&lt;&gt;"",Trabajadores!$G$7&lt;&gt;"No"),Trabajadores!$A$7,"")</f>
        <v>T003</v>
      </c>
      <c r="B12" s="25" t="str">
        <f aca="false">IF($A12="","",Trabajadores!$B$7)</f>
        <v>Marta Gil</v>
      </c>
      <c r="C12" s="25" t="str">
        <f aca="false">IF($A12="","",Trabajadores!$C$7)</f>
        <v>Producción</v>
      </c>
      <c r="D12" s="26" t="str">
        <f aca="false">IF(OR($A12="",D$4=""),"",IF(NOT(OR(D$6="Toda la plantilla",ISNUMBER(SEARCH(";"&amp;SUBSTITUTE($C12," ","")&amp;";",";"&amp;SUBSTITUTE(D$7," ","")&amp;";")))),"—",IF(_xlfn.MAXIFS(Acuses!$C$5:$C$3004,Acuses!$A$5:$A$3004,$A12,Acuses!$B$5:$B$3004,D$4)&lt;D$5,"Pendiente",IF(D$8=0,"OK",IF(EDATE(_xlfn.MAXIFS(Acuses!$D$5:$D$3004,Acuses!$A$5:$A$3004,$A12,Acuses!$B$5:$B$3004,D$4,Acuses!$C$5:$C$3004,D$5),D$8)&lt;Resumen!$C$4,"Caducado",IF(EDATE(_xlfn.MAXIFS(Acuses!$D$5:$D$3004,Acuses!$A$5:$A$3004,$A12,Acuses!$B$5:$B$3004,D$4,Acuses!$C$5:$C$3004,D$5),D$8)&lt;Resumen!$C$4+30,"Caduca pronto","OK"))))))</f>
        <v>OK</v>
      </c>
      <c r="E12" s="26" t="str">
        <f aca="false">IF(OR($A12="",E$4=""),"",IF(NOT(OR(E$6="Toda la plantilla",ISNUMBER(SEARCH(";"&amp;SUBSTITUTE($C12," ","")&amp;";",";"&amp;SUBSTITUTE(E$7," ","")&amp;";")))),"—",IF(_xlfn.MAXIFS(Acuses!$C$5:$C$3004,Acuses!$A$5:$A$3004,$A12,Acuses!$B$5:$B$3004,E$4)&lt;E$5,"Pendiente",IF(E$8=0,"OK",IF(EDATE(_xlfn.MAXIFS(Acuses!$D$5:$D$3004,Acuses!$A$5:$A$3004,$A12,Acuses!$B$5:$B$3004,E$4,Acuses!$C$5:$C$3004,E$5),E$8)&lt;Resumen!$C$4,"Caducado",IF(EDATE(_xlfn.MAXIFS(Acuses!$D$5:$D$3004,Acuses!$A$5:$A$3004,$A12,Acuses!$B$5:$B$3004,E$4,Acuses!$C$5:$C$3004,E$5),E$8)&lt;Resumen!$C$4+30,"Caduca pronto","OK"))))))</f>
        <v>—</v>
      </c>
      <c r="F12" s="26" t="str">
        <f aca="false">IF(OR($A12="",F$4=""),"",IF(NOT(OR(F$6="Toda la plantilla",ISNUMBER(SEARCH(";"&amp;SUBSTITUTE($C12," ","")&amp;";",";"&amp;SUBSTITUTE(F$7," ","")&amp;";")))),"—",IF(_xlfn.MAXIFS(Acuses!$C$5:$C$3004,Acuses!$A$5:$A$3004,$A12,Acuses!$B$5:$B$3004,F$4)&lt;F$5,"Pendiente",IF(F$8=0,"OK",IF(EDATE(_xlfn.MAXIFS(Acuses!$D$5:$D$3004,Acuses!$A$5:$A$3004,$A12,Acuses!$B$5:$B$3004,F$4,Acuses!$C$5:$C$3004,F$5),F$8)&lt;Resumen!$C$4,"Caducado",IF(EDATE(_xlfn.MAXIFS(Acuses!$D$5:$D$3004,Acuses!$A$5:$A$3004,$A12,Acuses!$B$5:$B$3004,F$4,Acuses!$C$5:$C$3004,F$5),F$8)&lt;Resumen!$C$4+30,"Caduca pronto","OK"))))))</f>
        <v>Pendiente</v>
      </c>
      <c r="G12" s="26" t="str">
        <f aca="false">IF(OR($A12="",G$4=""),"",IF(NOT(OR(G$6="Toda la plantilla",ISNUMBER(SEARCH(";"&amp;SUBSTITUTE($C12," ","")&amp;";",";"&amp;SUBSTITUTE(G$7," ","")&amp;";")))),"—",IF(_xlfn.MAXIFS(Acuses!$C$5:$C$3004,Acuses!$A$5:$A$3004,$A12,Acuses!$B$5:$B$3004,G$4)&lt;G$5,"Pendiente",IF(G$8=0,"OK",IF(EDATE(_xlfn.MAXIFS(Acuses!$D$5:$D$3004,Acuses!$A$5:$A$3004,$A12,Acuses!$B$5:$B$3004,G$4,Acuses!$C$5:$C$3004,G$5),G$8)&lt;Resumen!$C$4,"Caducado",IF(EDATE(_xlfn.MAXIFS(Acuses!$D$5:$D$3004,Acuses!$A$5:$A$3004,$A12,Acuses!$B$5:$B$3004,G$4,Acuses!$C$5:$C$3004,G$5),G$8)&lt;Resumen!$C$4+30,"Caduca pronto","OK"))))))</f>
        <v>OK</v>
      </c>
      <c r="H12" s="26" t="str">
        <f aca="false">IF(OR($A12="",H$4=""),"",IF(NOT(OR(H$6="Toda la plantilla",ISNUMBER(SEARCH(";"&amp;SUBSTITUTE($C12," ","")&amp;";",";"&amp;SUBSTITUTE(H$7," ","")&amp;";")))),"—",IF(_xlfn.MAXIFS(Acuses!$C$5:$C$3004,Acuses!$A$5:$A$3004,$A12,Acuses!$B$5:$B$3004,H$4)&lt;H$5,"Pendiente",IF(H$8=0,"OK",IF(EDATE(_xlfn.MAXIFS(Acuses!$D$5:$D$3004,Acuses!$A$5:$A$3004,$A12,Acuses!$B$5:$B$3004,H$4,Acuses!$C$5:$C$3004,H$5),H$8)&lt;Resumen!$C$4,"Caducado",IF(EDATE(_xlfn.MAXIFS(Acuses!$D$5:$D$3004,Acuses!$A$5:$A$3004,$A12,Acuses!$B$5:$B$3004,H$4,Acuses!$C$5:$C$3004,H$5),H$8)&lt;Resumen!$C$4+30,"Caduca pronto","OK"))))))</f>
        <v>Pendiente</v>
      </c>
      <c r="I12" s="26" t="str">
        <f aca="false">IF(OR($A12="",I$4=""),"",IF(NOT(OR(I$6="Toda la plantilla",ISNUMBER(SEARCH(";"&amp;SUBSTITUTE($C12," ","")&amp;";",";"&amp;SUBSTITUTE(I$7," ","")&amp;";")))),"—",IF(_xlfn.MAXIFS(Acuses!$C$5:$C$3004,Acuses!$A$5:$A$3004,$A12,Acuses!$B$5:$B$3004,I$4)&lt;I$5,"Pendiente",IF(I$8=0,"OK",IF(EDATE(_xlfn.MAXIFS(Acuses!$D$5:$D$3004,Acuses!$A$5:$A$3004,$A12,Acuses!$B$5:$B$3004,I$4,Acuses!$C$5:$C$3004,I$5),I$8)&lt;Resumen!$C$4,"Caducado",IF(EDATE(_xlfn.MAXIFS(Acuses!$D$5:$D$3004,Acuses!$A$5:$A$3004,$A12,Acuses!$B$5:$B$3004,I$4,Acuses!$C$5:$C$3004,I$5),I$8)&lt;Resumen!$C$4+30,"Caduca pronto","OK"))))))</f>
        <v>OK</v>
      </c>
      <c r="J12" s="26" t="str">
        <f aca="false">IF(OR($A12="",J$4=""),"",IF(NOT(OR(J$6="Toda la plantilla",ISNUMBER(SEARCH(";"&amp;SUBSTITUTE($C12," ","")&amp;";",";"&amp;SUBSTITUTE(J$7," ","")&amp;";")))),"—",IF(_xlfn.MAXIFS(Acuses!$C$5:$C$3004,Acuses!$A$5:$A$3004,$A12,Acuses!$B$5:$B$3004,J$4)&lt;J$5,"Pendiente",IF(J$8=0,"OK",IF(EDATE(_xlfn.MAXIFS(Acuses!$D$5:$D$3004,Acuses!$A$5:$A$3004,$A12,Acuses!$B$5:$B$3004,J$4,Acuses!$C$5:$C$3004,J$5),J$8)&lt;Resumen!$C$4,"Caducado",IF(EDATE(_xlfn.MAXIFS(Acuses!$D$5:$D$3004,Acuses!$A$5:$A$3004,$A12,Acuses!$B$5:$B$3004,J$4,Acuses!$C$5:$C$3004,J$5),J$8)&lt;Resumen!$C$4+30,"Caduca pronto","OK"))))))</f>
        <v>Pendiente</v>
      </c>
      <c r="K12" s="26" t="str">
        <f aca="false">IF(OR($A12="",K$4=""),"",IF(NOT(OR(K$6="Toda la plantilla",ISNUMBER(SEARCH(";"&amp;SUBSTITUTE($C12," ","")&amp;";",";"&amp;SUBSTITUTE(K$7," ","")&amp;";")))),"—",IF(_xlfn.MAXIFS(Acuses!$C$5:$C$3004,Acuses!$A$5:$A$3004,$A12,Acuses!$B$5:$B$3004,K$4)&lt;K$5,"Pendiente",IF(K$8=0,"OK",IF(EDATE(_xlfn.MAXIFS(Acuses!$D$5:$D$3004,Acuses!$A$5:$A$3004,$A12,Acuses!$B$5:$B$3004,K$4,Acuses!$C$5:$C$3004,K$5),K$8)&lt;Resumen!$C$4,"Caducado",IF(EDATE(_xlfn.MAXIFS(Acuses!$D$5:$D$3004,Acuses!$A$5:$A$3004,$A12,Acuses!$B$5:$B$3004,K$4,Acuses!$C$5:$C$3004,K$5),K$8)&lt;Resumen!$C$4+30,"Caduca pronto","OK"))))))</f>
        <v>Pendiente</v>
      </c>
      <c r="L12" s="26" t="str">
        <f aca="false">IF(OR($A12="",L$4=""),"",IF(NOT(OR(L$6="Toda la plantilla",ISNUMBER(SEARCH(";"&amp;SUBSTITUTE($C12," ","")&amp;";",";"&amp;SUBSTITUTE(L$7," ","")&amp;";")))),"—",IF(_xlfn.MAXIFS(Acuses!$C$5:$C$3004,Acuses!$A$5:$A$3004,$A12,Acuses!$B$5:$B$3004,L$4)&lt;L$5,"Pendiente",IF(L$8=0,"OK",IF(EDATE(_xlfn.MAXIFS(Acuses!$D$5:$D$3004,Acuses!$A$5:$A$3004,$A12,Acuses!$B$5:$B$3004,L$4,Acuses!$C$5:$C$3004,L$5),L$8)&lt;Resumen!$C$4,"Caducado",IF(EDATE(_xlfn.MAXIFS(Acuses!$D$5:$D$3004,Acuses!$A$5:$A$3004,$A12,Acuses!$B$5:$B$3004,L$4,Acuses!$C$5:$C$3004,L$5),L$8)&lt;Resumen!$C$4+30,"Caduca pronto","OK"))))))</f>
        <v/>
      </c>
      <c r="M12" s="26" t="str">
        <f aca="false">IF(OR($A12="",M$4=""),"",IF(NOT(OR(M$6="Toda la plantilla",ISNUMBER(SEARCH(";"&amp;SUBSTITUTE($C12," ","")&amp;";",";"&amp;SUBSTITUTE(M$7," ","")&amp;";")))),"—",IF(_xlfn.MAXIFS(Acuses!$C$5:$C$3004,Acuses!$A$5:$A$3004,$A12,Acuses!$B$5:$B$3004,M$4)&lt;M$5,"Pendiente",IF(M$8=0,"OK",IF(EDATE(_xlfn.MAXIFS(Acuses!$D$5:$D$3004,Acuses!$A$5:$A$3004,$A12,Acuses!$B$5:$B$3004,M$4,Acuses!$C$5:$C$3004,M$5),M$8)&lt;Resumen!$C$4,"Caducado",IF(EDATE(_xlfn.MAXIFS(Acuses!$D$5:$D$3004,Acuses!$A$5:$A$3004,$A12,Acuses!$B$5:$B$3004,M$4,Acuses!$C$5:$C$3004,M$5),M$8)&lt;Resumen!$C$4+30,"Caduca pronto","OK"))))))</f>
        <v/>
      </c>
      <c r="N12" s="26" t="str">
        <f aca="false">IF(OR($A12="",N$4=""),"",IF(NOT(OR(N$6="Toda la plantilla",ISNUMBER(SEARCH(";"&amp;SUBSTITUTE($C12," ","")&amp;";",";"&amp;SUBSTITUTE(N$7," ","")&amp;";")))),"—",IF(_xlfn.MAXIFS(Acuses!$C$5:$C$3004,Acuses!$A$5:$A$3004,$A12,Acuses!$B$5:$B$3004,N$4)&lt;N$5,"Pendiente",IF(N$8=0,"OK",IF(EDATE(_xlfn.MAXIFS(Acuses!$D$5:$D$3004,Acuses!$A$5:$A$3004,$A12,Acuses!$B$5:$B$3004,N$4,Acuses!$C$5:$C$3004,N$5),N$8)&lt;Resumen!$C$4,"Caducado",IF(EDATE(_xlfn.MAXIFS(Acuses!$D$5:$D$3004,Acuses!$A$5:$A$3004,$A12,Acuses!$B$5:$B$3004,N$4,Acuses!$C$5:$C$3004,N$5),N$8)&lt;Resumen!$C$4+30,"Caduca pronto","OK"))))))</f>
        <v/>
      </c>
      <c r="O12" s="26" t="str">
        <f aca="false">IF(OR($A12="",O$4=""),"",IF(NOT(OR(O$6="Toda la plantilla",ISNUMBER(SEARCH(";"&amp;SUBSTITUTE($C12," ","")&amp;";",";"&amp;SUBSTITUTE(O$7," ","")&amp;";")))),"—",IF(_xlfn.MAXIFS(Acuses!$C$5:$C$3004,Acuses!$A$5:$A$3004,$A12,Acuses!$B$5:$B$3004,O$4)&lt;O$5,"Pendiente",IF(O$8=0,"OK",IF(EDATE(_xlfn.MAXIFS(Acuses!$D$5:$D$3004,Acuses!$A$5:$A$3004,$A12,Acuses!$B$5:$B$3004,O$4,Acuses!$C$5:$C$3004,O$5),O$8)&lt;Resumen!$C$4,"Caducado",IF(EDATE(_xlfn.MAXIFS(Acuses!$D$5:$D$3004,Acuses!$A$5:$A$3004,$A12,Acuses!$B$5:$B$3004,O$4,Acuses!$C$5:$C$3004,O$5),O$8)&lt;Resumen!$C$4+30,"Caduca pronto","OK"))))))</f>
        <v/>
      </c>
      <c r="P12" s="26" t="str">
        <f aca="false">IF(OR($A12="",P$4=""),"",IF(NOT(OR(P$6="Toda la plantilla",ISNUMBER(SEARCH(";"&amp;SUBSTITUTE($C12," ","")&amp;";",";"&amp;SUBSTITUTE(P$7," ","")&amp;";")))),"—",IF(_xlfn.MAXIFS(Acuses!$C$5:$C$3004,Acuses!$A$5:$A$3004,$A12,Acuses!$B$5:$B$3004,P$4)&lt;P$5,"Pendiente",IF(P$8=0,"OK",IF(EDATE(_xlfn.MAXIFS(Acuses!$D$5:$D$3004,Acuses!$A$5:$A$3004,$A12,Acuses!$B$5:$B$3004,P$4,Acuses!$C$5:$C$3004,P$5),P$8)&lt;Resumen!$C$4,"Caducado",IF(EDATE(_xlfn.MAXIFS(Acuses!$D$5:$D$3004,Acuses!$A$5:$A$3004,$A12,Acuses!$B$5:$B$3004,P$4,Acuses!$C$5:$C$3004,P$5),P$8)&lt;Resumen!$C$4+30,"Caduca pronto","OK"))))))</f>
        <v/>
      </c>
      <c r="Q12" s="26" t="str">
        <f aca="false">IF(OR($A12="",Q$4=""),"",IF(NOT(OR(Q$6="Toda la plantilla",ISNUMBER(SEARCH(";"&amp;SUBSTITUTE($C12," ","")&amp;";",";"&amp;SUBSTITUTE(Q$7," ","")&amp;";")))),"—",IF(_xlfn.MAXIFS(Acuses!$C$5:$C$3004,Acuses!$A$5:$A$3004,$A12,Acuses!$B$5:$B$3004,Q$4)&lt;Q$5,"Pendiente",IF(Q$8=0,"OK",IF(EDATE(_xlfn.MAXIFS(Acuses!$D$5:$D$3004,Acuses!$A$5:$A$3004,$A12,Acuses!$B$5:$B$3004,Q$4,Acuses!$C$5:$C$3004,Q$5),Q$8)&lt;Resumen!$C$4,"Caducado",IF(EDATE(_xlfn.MAXIFS(Acuses!$D$5:$D$3004,Acuses!$A$5:$A$3004,$A12,Acuses!$B$5:$B$3004,Q$4,Acuses!$C$5:$C$3004,Q$5),Q$8)&lt;Resumen!$C$4+30,"Caduca pronto","OK"))))))</f>
        <v/>
      </c>
      <c r="R12" s="26" t="str">
        <f aca="false">IF(OR($A12="",R$4=""),"",IF(NOT(OR(R$6="Toda la plantilla",ISNUMBER(SEARCH(";"&amp;SUBSTITUTE($C12," ","")&amp;";",";"&amp;SUBSTITUTE(R$7," ","")&amp;";")))),"—",IF(_xlfn.MAXIFS(Acuses!$C$5:$C$3004,Acuses!$A$5:$A$3004,$A12,Acuses!$B$5:$B$3004,R$4)&lt;R$5,"Pendiente",IF(R$8=0,"OK",IF(EDATE(_xlfn.MAXIFS(Acuses!$D$5:$D$3004,Acuses!$A$5:$A$3004,$A12,Acuses!$B$5:$B$3004,R$4,Acuses!$C$5:$C$3004,R$5),R$8)&lt;Resumen!$C$4,"Caducado",IF(EDATE(_xlfn.MAXIFS(Acuses!$D$5:$D$3004,Acuses!$A$5:$A$3004,$A12,Acuses!$B$5:$B$3004,R$4,Acuses!$C$5:$C$3004,R$5),R$8)&lt;Resumen!$C$4+30,"Caduca pronto","OK"))))))</f>
        <v/>
      </c>
      <c r="S12" s="26" t="str">
        <f aca="false">IF(OR($A12="",S$4=""),"",IF(NOT(OR(S$6="Toda la plantilla",ISNUMBER(SEARCH(";"&amp;SUBSTITUTE($C12," ","")&amp;";",";"&amp;SUBSTITUTE(S$7," ","")&amp;";")))),"—",IF(_xlfn.MAXIFS(Acuses!$C$5:$C$3004,Acuses!$A$5:$A$3004,$A12,Acuses!$B$5:$B$3004,S$4)&lt;S$5,"Pendiente",IF(S$8=0,"OK",IF(EDATE(_xlfn.MAXIFS(Acuses!$D$5:$D$3004,Acuses!$A$5:$A$3004,$A12,Acuses!$B$5:$B$3004,S$4,Acuses!$C$5:$C$3004,S$5),S$8)&lt;Resumen!$C$4,"Caducado",IF(EDATE(_xlfn.MAXIFS(Acuses!$D$5:$D$3004,Acuses!$A$5:$A$3004,$A12,Acuses!$B$5:$B$3004,S$4,Acuses!$C$5:$C$3004,S$5),S$8)&lt;Resumen!$C$4+30,"Caduca pronto","OK"))))))</f>
        <v/>
      </c>
      <c r="T12" s="26" t="str">
        <f aca="false">IF(OR($A12="",T$4=""),"",IF(NOT(OR(T$6="Toda la plantilla",ISNUMBER(SEARCH(";"&amp;SUBSTITUTE($C12," ","")&amp;";",";"&amp;SUBSTITUTE(T$7," ","")&amp;";")))),"—",IF(_xlfn.MAXIFS(Acuses!$C$5:$C$3004,Acuses!$A$5:$A$3004,$A12,Acuses!$B$5:$B$3004,T$4)&lt;T$5,"Pendiente",IF(T$8=0,"OK",IF(EDATE(_xlfn.MAXIFS(Acuses!$D$5:$D$3004,Acuses!$A$5:$A$3004,$A12,Acuses!$B$5:$B$3004,T$4,Acuses!$C$5:$C$3004,T$5),T$8)&lt;Resumen!$C$4,"Caducado",IF(EDATE(_xlfn.MAXIFS(Acuses!$D$5:$D$3004,Acuses!$A$5:$A$3004,$A12,Acuses!$B$5:$B$3004,T$4,Acuses!$C$5:$C$3004,T$5),T$8)&lt;Resumen!$C$4+30,"Caduca pronto","OK"))))))</f>
        <v/>
      </c>
      <c r="U12" s="26" t="str">
        <f aca="false">IF(OR($A12="",U$4=""),"",IF(NOT(OR(U$6="Toda la plantilla",ISNUMBER(SEARCH(";"&amp;SUBSTITUTE($C12," ","")&amp;";",";"&amp;SUBSTITUTE(U$7," ","")&amp;";")))),"—",IF(_xlfn.MAXIFS(Acuses!$C$5:$C$3004,Acuses!$A$5:$A$3004,$A12,Acuses!$B$5:$B$3004,U$4)&lt;U$5,"Pendiente",IF(U$8=0,"OK",IF(EDATE(_xlfn.MAXIFS(Acuses!$D$5:$D$3004,Acuses!$A$5:$A$3004,$A12,Acuses!$B$5:$B$3004,U$4,Acuses!$C$5:$C$3004,U$5),U$8)&lt;Resumen!$C$4,"Caducado",IF(EDATE(_xlfn.MAXIFS(Acuses!$D$5:$D$3004,Acuses!$A$5:$A$3004,$A12,Acuses!$B$5:$B$3004,U$4,Acuses!$C$5:$C$3004,U$5),U$8)&lt;Resumen!$C$4+30,"Caduca pronto","OK"))))))</f>
        <v/>
      </c>
      <c r="V12" s="26" t="str">
        <f aca="false">IF(OR($A12="",V$4=""),"",IF(NOT(OR(V$6="Toda la plantilla",ISNUMBER(SEARCH(";"&amp;SUBSTITUTE($C12," ","")&amp;";",";"&amp;SUBSTITUTE(V$7," ","")&amp;";")))),"—",IF(_xlfn.MAXIFS(Acuses!$C$5:$C$3004,Acuses!$A$5:$A$3004,$A12,Acuses!$B$5:$B$3004,V$4)&lt;V$5,"Pendiente",IF(V$8=0,"OK",IF(EDATE(_xlfn.MAXIFS(Acuses!$D$5:$D$3004,Acuses!$A$5:$A$3004,$A12,Acuses!$B$5:$B$3004,V$4,Acuses!$C$5:$C$3004,V$5),V$8)&lt;Resumen!$C$4,"Caducado",IF(EDATE(_xlfn.MAXIFS(Acuses!$D$5:$D$3004,Acuses!$A$5:$A$3004,$A12,Acuses!$B$5:$B$3004,V$4,Acuses!$C$5:$C$3004,V$5),V$8)&lt;Resumen!$C$4+30,"Caduca pronto","OK"))))))</f>
        <v/>
      </c>
      <c r="W12" s="26" t="str">
        <f aca="false">IF(OR($A12="",W$4=""),"",IF(NOT(OR(W$6="Toda la plantilla",ISNUMBER(SEARCH(";"&amp;SUBSTITUTE($C12," ","")&amp;";",";"&amp;SUBSTITUTE(W$7," ","")&amp;";")))),"—",IF(_xlfn.MAXIFS(Acuses!$C$5:$C$3004,Acuses!$A$5:$A$3004,$A12,Acuses!$B$5:$B$3004,W$4)&lt;W$5,"Pendiente",IF(W$8=0,"OK",IF(EDATE(_xlfn.MAXIFS(Acuses!$D$5:$D$3004,Acuses!$A$5:$A$3004,$A12,Acuses!$B$5:$B$3004,W$4,Acuses!$C$5:$C$3004,W$5),W$8)&lt;Resumen!$C$4,"Caducado",IF(EDATE(_xlfn.MAXIFS(Acuses!$D$5:$D$3004,Acuses!$A$5:$A$3004,$A12,Acuses!$B$5:$B$3004,W$4,Acuses!$C$5:$C$3004,W$5),W$8)&lt;Resumen!$C$4+30,"Caduca pronto","OK"))))))</f>
        <v/>
      </c>
      <c r="X12" s="26" t="str">
        <f aca="false">IF(OR($A12="",X$4=""),"",IF(NOT(OR(X$6="Toda la plantilla",ISNUMBER(SEARCH(";"&amp;SUBSTITUTE($C12," ","")&amp;";",";"&amp;SUBSTITUTE(X$7," ","")&amp;";")))),"—",IF(_xlfn.MAXIFS(Acuses!$C$5:$C$3004,Acuses!$A$5:$A$3004,$A12,Acuses!$B$5:$B$3004,X$4)&lt;X$5,"Pendiente",IF(X$8=0,"OK",IF(EDATE(_xlfn.MAXIFS(Acuses!$D$5:$D$3004,Acuses!$A$5:$A$3004,$A12,Acuses!$B$5:$B$3004,X$4,Acuses!$C$5:$C$3004,X$5),X$8)&lt;Resumen!$C$4,"Caducado",IF(EDATE(_xlfn.MAXIFS(Acuses!$D$5:$D$3004,Acuses!$A$5:$A$3004,$A12,Acuses!$B$5:$B$3004,X$4,Acuses!$C$5:$C$3004,X$5),X$8)&lt;Resumen!$C$4+30,"Caduca pronto","OK"))))))</f>
        <v/>
      </c>
      <c r="Y12" s="26" t="str">
        <f aca="false">IF(OR($A12="",Y$4=""),"",IF(NOT(OR(Y$6="Toda la plantilla",ISNUMBER(SEARCH(";"&amp;SUBSTITUTE($C12," ","")&amp;";",";"&amp;SUBSTITUTE(Y$7," ","")&amp;";")))),"—",IF(_xlfn.MAXIFS(Acuses!$C$5:$C$3004,Acuses!$A$5:$A$3004,$A12,Acuses!$B$5:$B$3004,Y$4)&lt;Y$5,"Pendiente",IF(Y$8=0,"OK",IF(EDATE(_xlfn.MAXIFS(Acuses!$D$5:$D$3004,Acuses!$A$5:$A$3004,$A12,Acuses!$B$5:$B$3004,Y$4,Acuses!$C$5:$C$3004,Y$5),Y$8)&lt;Resumen!$C$4,"Caducado",IF(EDATE(_xlfn.MAXIFS(Acuses!$D$5:$D$3004,Acuses!$A$5:$A$3004,$A12,Acuses!$B$5:$B$3004,Y$4,Acuses!$C$5:$C$3004,Y$5),Y$8)&lt;Resumen!$C$4+30,"Caduca pronto","OK"))))))</f>
        <v/>
      </c>
      <c r="Z12" s="26" t="str">
        <f aca="false">IF(OR($A12="",Z$4=""),"",IF(NOT(OR(Z$6="Toda la plantilla",ISNUMBER(SEARCH(";"&amp;SUBSTITUTE($C12," ","")&amp;";",";"&amp;SUBSTITUTE(Z$7," ","")&amp;";")))),"—",IF(_xlfn.MAXIFS(Acuses!$C$5:$C$3004,Acuses!$A$5:$A$3004,$A12,Acuses!$B$5:$B$3004,Z$4)&lt;Z$5,"Pendiente",IF(Z$8=0,"OK",IF(EDATE(_xlfn.MAXIFS(Acuses!$D$5:$D$3004,Acuses!$A$5:$A$3004,$A12,Acuses!$B$5:$B$3004,Z$4,Acuses!$C$5:$C$3004,Z$5),Z$8)&lt;Resumen!$C$4,"Caducado",IF(EDATE(_xlfn.MAXIFS(Acuses!$D$5:$D$3004,Acuses!$A$5:$A$3004,$A12,Acuses!$B$5:$B$3004,Z$4,Acuses!$C$5:$C$3004,Z$5),Z$8)&lt;Resumen!$C$4+30,"Caduca pronto","OK"))))))</f>
        <v/>
      </c>
      <c r="AA12" s="26" t="str">
        <f aca="false">IF(OR($A12="",AA$4=""),"",IF(NOT(OR(AA$6="Toda la plantilla",ISNUMBER(SEARCH(";"&amp;SUBSTITUTE($C12," ","")&amp;";",";"&amp;SUBSTITUTE(AA$7," ","")&amp;";")))),"—",IF(_xlfn.MAXIFS(Acuses!$C$5:$C$3004,Acuses!$A$5:$A$3004,$A12,Acuses!$B$5:$B$3004,AA$4)&lt;AA$5,"Pendiente",IF(AA$8=0,"OK",IF(EDATE(_xlfn.MAXIFS(Acuses!$D$5:$D$3004,Acuses!$A$5:$A$3004,$A12,Acuses!$B$5:$B$3004,AA$4,Acuses!$C$5:$C$3004,AA$5),AA$8)&lt;Resumen!$C$4,"Caducado",IF(EDATE(_xlfn.MAXIFS(Acuses!$D$5:$D$3004,Acuses!$A$5:$A$3004,$A12,Acuses!$B$5:$B$3004,AA$4,Acuses!$C$5:$C$3004,AA$5),AA$8)&lt;Resumen!$C$4+30,"Caduca pronto","OK"))))))</f>
        <v/>
      </c>
      <c r="AB12" s="26" t="str">
        <f aca="false">IF(OR($A12="",AB$4=""),"",IF(NOT(OR(AB$6="Toda la plantilla",ISNUMBER(SEARCH(";"&amp;SUBSTITUTE($C12," ","")&amp;";",";"&amp;SUBSTITUTE(AB$7," ","")&amp;";")))),"—",IF(_xlfn.MAXIFS(Acuses!$C$5:$C$3004,Acuses!$A$5:$A$3004,$A12,Acuses!$B$5:$B$3004,AB$4)&lt;AB$5,"Pendiente",IF(AB$8=0,"OK",IF(EDATE(_xlfn.MAXIFS(Acuses!$D$5:$D$3004,Acuses!$A$5:$A$3004,$A12,Acuses!$B$5:$B$3004,AB$4,Acuses!$C$5:$C$3004,AB$5),AB$8)&lt;Resumen!$C$4,"Caducado",IF(EDATE(_xlfn.MAXIFS(Acuses!$D$5:$D$3004,Acuses!$A$5:$A$3004,$A12,Acuses!$B$5:$B$3004,AB$4,Acuses!$C$5:$C$3004,AB$5),AB$8)&lt;Resumen!$C$4+30,"Caduca pronto","OK"))))))</f>
        <v/>
      </c>
      <c r="AC12" s="26" t="str">
        <f aca="false">IF(OR($A12="",AC$4=""),"",IF(NOT(OR(AC$6="Toda la plantilla",ISNUMBER(SEARCH(";"&amp;SUBSTITUTE($C12," ","")&amp;";",";"&amp;SUBSTITUTE(AC$7," ","")&amp;";")))),"—",IF(_xlfn.MAXIFS(Acuses!$C$5:$C$3004,Acuses!$A$5:$A$3004,$A12,Acuses!$B$5:$B$3004,AC$4)&lt;AC$5,"Pendiente",IF(AC$8=0,"OK",IF(EDATE(_xlfn.MAXIFS(Acuses!$D$5:$D$3004,Acuses!$A$5:$A$3004,$A12,Acuses!$B$5:$B$3004,AC$4,Acuses!$C$5:$C$3004,AC$5),AC$8)&lt;Resumen!$C$4,"Caducado",IF(EDATE(_xlfn.MAXIFS(Acuses!$D$5:$D$3004,Acuses!$A$5:$A$3004,$A12,Acuses!$B$5:$B$3004,AC$4,Acuses!$C$5:$C$3004,AC$5),AC$8)&lt;Resumen!$C$4+30,"Caduca pronto","OK"))))))</f>
        <v/>
      </c>
      <c r="AD12" s="26" t="str">
        <f aca="false">IF(OR($A12="",AD$4=""),"",IF(NOT(OR(AD$6="Toda la plantilla",ISNUMBER(SEARCH(";"&amp;SUBSTITUTE($C12," ","")&amp;";",";"&amp;SUBSTITUTE(AD$7," ","")&amp;";")))),"—",IF(_xlfn.MAXIFS(Acuses!$C$5:$C$3004,Acuses!$A$5:$A$3004,$A12,Acuses!$B$5:$B$3004,AD$4)&lt;AD$5,"Pendiente",IF(AD$8=0,"OK",IF(EDATE(_xlfn.MAXIFS(Acuses!$D$5:$D$3004,Acuses!$A$5:$A$3004,$A12,Acuses!$B$5:$B$3004,AD$4,Acuses!$C$5:$C$3004,AD$5),AD$8)&lt;Resumen!$C$4,"Caducado",IF(EDATE(_xlfn.MAXIFS(Acuses!$D$5:$D$3004,Acuses!$A$5:$A$3004,$A12,Acuses!$B$5:$B$3004,AD$4,Acuses!$C$5:$C$3004,AD$5),AD$8)&lt;Resumen!$C$4+30,"Caduca pronto","OK"))))))</f>
        <v/>
      </c>
      <c r="AE12" s="26" t="str">
        <f aca="false">IF(OR($A12="",AE$4=""),"",IF(NOT(OR(AE$6="Toda la plantilla",ISNUMBER(SEARCH(";"&amp;SUBSTITUTE($C12," ","")&amp;";",";"&amp;SUBSTITUTE(AE$7," ","")&amp;";")))),"—",IF(_xlfn.MAXIFS(Acuses!$C$5:$C$3004,Acuses!$A$5:$A$3004,$A12,Acuses!$B$5:$B$3004,AE$4)&lt;AE$5,"Pendiente",IF(AE$8=0,"OK",IF(EDATE(_xlfn.MAXIFS(Acuses!$D$5:$D$3004,Acuses!$A$5:$A$3004,$A12,Acuses!$B$5:$B$3004,AE$4,Acuses!$C$5:$C$3004,AE$5),AE$8)&lt;Resumen!$C$4,"Caducado",IF(EDATE(_xlfn.MAXIFS(Acuses!$D$5:$D$3004,Acuses!$A$5:$A$3004,$A12,Acuses!$B$5:$B$3004,AE$4,Acuses!$C$5:$C$3004,AE$5),AE$8)&lt;Resumen!$C$4+30,"Caduca pronto","OK"))))))</f>
        <v/>
      </c>
      <c r="AF12" s="26" t="str">
        <f aca="false">IF(OR($A12="",AF$4=""),"",IF(NOT(OR(AF$6="Toda la plantilla",ISNUMBER(SEARCH(";"&amp;SUBSTITUTE($C12," ","")&amp;";",";"&amp;SUBSTITUTE(AF$7," ","")&amp;";")))),"—",IF(_xlfn.MAXIFS(Acuses!$C$5:$C$3004,Acuses!$A$5:$A$3004,$A12,Acuses!$B$5:$B$3004,AF$4)&lt;AF$5,"Pendiente",IF(AF$8=0,"OK",IF(EDATE(_xlfn.MAXIFS(Acuses!$D$5:$D$3004,Acuses!$A$5:$A$3004,$A12,Acuses!$B$5:$B$3004,AF$4,Acuses!$C$5:$C$3004,AF$5),AF$8)&lt;Resumen!$C$4,"Caducado",IF(EDATE(_xlfn.MAXIFS(Acuses!$D$5:$D$3004,Acuses!$A$5:$A$3004,$A12,Acuses!$B$5:$B$3004,AF$4,Acuses!$C$5:$C$3004,AF$5),AF$8)&lt;Resumen!$C$4+30,"Caduca pronto","OK"))))))</f>
        <v/>
      </c>
      <c r="AG12" s="26" t="str">
        <f aca="false">IF(OR($A12="",AG$4=""),"",IF(NOT(OR(AG$6="Toda la plantilla",ISNUMBER(SEARCH(";"&amp;SUBSTITUTE($C12," ","")&amp;";",";"&amp;SUBSTITUTE(AG$7," ","")&amp;";")))),"—",IF(_xlfn.MAXIFS(Acuses!$C$5:$C$3004,Acuses!$A$5:$A$3004,$A12,Acuses!$B$5:$B$3004,AG$4)&lt;AG$5,"Pendiente",IF(AG$8=0,"OK",IF(EDATE(_xlfn.MAXIFS(Acuses!$D$5:$D$3004,Acuses!$A$5:$A$3004,$A12,Acuses!$B$5:$B$3004,AG$4,Acuses!$C$5:$C$3004,AG$5),AG$8)&lt;Resumen!$C$4,"Caducado",IF(EDATE(_xlfn.MAXIFS(Acuses!$D$5:$D$3004,Acuses!$A$5:$A$3004,$A12,Acuses!$B$5:$B$3004,AG$4,Acuses!$C$5:$C$3004,AG$5),AG$8)&lt;Resumen!$C$4+30,"Caduca pronto","OK"))))))</f>
        <v/>
      </c>
      <c r="AH12" s="26" t="str">
        <f aca="false">IF(OR($A12="",AH$4=""),"",IF(NOT(OR(AH$6="Toda la plantilla",ISNUMBER(SEARCH(";"&amp;SUBSTITUTE($C12," ","")&amp;";",";"&amp;SUBSTITUTE(AH$7," ","")&amp;";")))),"—",IF(_xlfn.MAXIFS(Acuses!$C$5:$C$3004,Acuses!$A$5:$A$3004,$A12,Acuses!$B$5:$B$3004,AH$4)&lt;AH$5,"Pendiente",IF(AH$8=0,"OK",IF(EDATE(_xlfn.MAXIFS(Acuses!$D$5:$D$3004,Acuses!$A$5:$A$3004,$A12,Acuses!$B$5:$B$3004,AH$4,Acuses!$C$5:$C$3004,AH$5),AH$8)&lt;Resumen!$C$4,"Caducado",IF(EDATE(_xlfn.MAXIFS(Acuses!$D$5:$D$3004,Acuses!$A$5:$A$3004,$A12,Acuses!$B$5:$B$3004,AH$4,Acuses!$C$5:$C$3004,AH$5),AH$8)&lt;Resumen!$C$4+30,"Caduca pronto","OK"))))))</f>
        <v/>
      </c>
      <c r="AI12" s="26" t="str">
        <f aca="false">IF(OR($A12="",AI$4=""),"",IF(NOT(OR(AI$6="Toda la plantilla",ISNUMBER(SEARCH(";"&amp;SUBSTITUTE($C12," ","")&amp;";",";"&amp;SUBSTITUTE(AI$7," ","")&amp;";")))),"—",IF(_xlfn.MAXIFS(Acuses!$C$5:$C$3004,Acuses!$A$5:$A$3004,$A12,Acuses!$B$5:$B$3004,AI$4)&lt;AI$5,"Pendiente",IF(AI$8=0,"OK",IF(EDATE(_xlfn.MAXIFS(Acuses!$D$5:$D$3004,Acuses!$A$5:$A$3004,$A12,Acuses!$B$5:$B$3004,AI$4,Acuses!$C$5:$C$3004,AI$5),AI$8)&lt;Resumen!$C$4,"Caducado",IF(EDATE(_xlfn.MAXIFS(Acuses!$D$5:$D$3004,Acuses!$A$5:$A$3004,$A12,Acuses!$B$5:$B$3004,AI$4,Acuses!$C$5:$C$3004,AI$5),AI$8)&lt;Resumen!$C$4+30,"Caduca pronto","OK"))))))</f>
        <v/>
      </c>
      <c r="AJ12" s="26" t="str">
        <f aca="false">IF(OR($A12="",AJ$4=""),"",IF(NOT(OR(AJ$6="Toda la plantilla",ISNUMBER(SEARCH(";"&amp;SUBSTITUTE($C12," ","")&amp;";",";"&amp;SUBSTITUTE(AJ$7," ","")&amp;";")))),"—",IF(_xlfn.MAXIFS(Acuses!$C$5:$C$3004,Acuses!$A$5:$A$3004,$A12,Acuses!$B$5:$B$3004,AJ$4)&lt;AJ$5,"Pendiente",IF(AJ$8=0,"OK",IF(EDATE(_xlfn.MAXIFS(Acuses!$D$5:$D$3004,Acuses!$A$5:$A$3004,$A12,Acuses!$B$5:$B$3004,AJ$4,Acuses!$C$5:$C$3004,AJ$5),AJ$8)&lt;Resumen!$C$4,"Caducado",IF(EDATE(_xlfn.MAXIFS(Acuses!$D$5:$D$3004,Acuses!$A$5:$A$3004,$A12,Acuses!$B$5:$B$3004,AJ$4,Acuses!$C$5:$C$3004,AJ$5),AJ$8)&lt;Resumen!$C$4+30,"Caduca pronto","OK"))))))</f>
        <v/>
      </c>
      <c r="AK12" s="26" t="str">
        <f aca="false">IF(OR($A12="",AK$4=""),"",IF(NOT(OR(AK$6="Toda la plantilla",ISNUMBER(SEARCH(";"&amp;SUBSTITUTE($C12," ","")&amp;";",";"&amp;SUBSTITUTE(AK$7," ","")&amp;";")))),"—",IF(_xlfn.MAXIFS(Acuses!$C$5:$C$3004,Acuses!$A$5:$A$3004,$A12,Acuses!$B$5:$B$3004,AK$4)&lt;AK$5,"Pendiente",IF(AK$8=0,"OK",IF(EDATE(_xlfn.MAXIFS(Acuses!$D$5:$D$3004,Acuses!$A$5:$A$3004,$A12,Acuses!$B$5:$B$3004,AK$4,Acuses!$C$5:$C$3004,AK$5),AK$8)&lt;Resumen!$C$4,"Caducado",IF(EDATE(_xlfn.MAXIFS(Acuses!$D$5:$D$3004,Acuses!$A$5:$A$3004,$A12,Acuses!$B$5:$B$3004,AK$4,Acuses!$C$5:$C$3004,AK$5),AK$8)&lt;Resumen!$C$4+30,"Caduca pronto","OK"))))))</f>
        <v/>
      </c>
      <c r="AL12" s="26" t="str">
        <f aca="false">IF(OR($A12="",AL$4=""),"",IF(NOT(OR(AL$6="Toda la plantilla",ISNUMBER(SEARCH(";"&amp;SUBSTITUTE($C12," ","")&amp;";",";"&amp;SUBSTITUTE(AL$7," ","")&amp;";")))),"—",IF(_xlfn.MAXIFS(Acuses!$C$5:$C$3004,Acuses!$A$5:$A$3004,$A12,Acuses!$B$5:$B$3004,AL$4)&lt;AL$5,"Pendiente",IF(AL$8=0,"OK",IF(EDATE(_xlfn.MAXIFS(Acuses!$D$5:$D$3004,Acuses!$A$5:$A$3004,$A12,Acuses!$B$5:$B$3004,AL$4,Acuses!$C$5:$C$3004,AL$5),AL$8)&lt;Resumen!$C$4,"Caducado",IF(EDATE(_xlfn.MAXIFS(Acuses!$D$5:$D$3004,Acuses!$A$5:$A$3004,$A12,Acuses!$B$5:$B$3004,AL$4,Acuses!$C$5:$C$3004,AL$5),AL$8)&lt;Resumen!$C$4+30,"Caduca pronto","OK"))))))</f>
        <v/>
      </c>
      <c r="AM12" s="26" t="str">
        <f aca="false">IF(OR($A12="",AM$4=""),"",IF(NOT(OR(AM$6="Toda la plantilla",ISNUMBER(SEARCH(";"&amp;SUBSTITUTE($C12," ","")&amp;";",";"&amp;SUBSTITUTE(AM$7," ","")&amp;";")))),"—",IF(_xlfn.MAXIFS(Acuses!$C$5:$C$3004,Acuses!$A$5:$A$3004,$A12,Acuses!$B$5:$B$3004,AM$4)&lt;AM$5,"Pendiente",IF(AM$8=0,"OK",IF(EDATE(_xlfn.MAXIFS(Acuses!$D$5:$D$3004,Acuses!$A$5:$A$3004,$A12,Acuses!$B$5:$B$3004,AM$4,Acuses!$C$5:$C$3004,AM$5),AM$8)&lt;Resumen!$C$4,"Caducado",IF(EDATE(_xlfn.MAXIFS(Acuses!$D$5:$D$3004,Acuses!$A$5:$A$3004,$A12,Acuses!$B$5:$B$3004,AM$4,Acuses!$C$5:$C$3004,AM$5),AM$8)&lt;Resumen!$C$4+30,"Caduca pronto","OK"))))))</f>
        <v/>
      </c>
      <c r="AN12" s="26" t="str">
        <f aca="false">IF(OR($A12="",AN$4=""),"",IF(NOT(OR(AN$6="Toda la plantilla",ISNUMBER(SEARCH(";"&amp;SUBSTITUTE($C12," ","")&amp;";",";"&amp;SUBSTITUTE(AN$7," ","")&amp;";")))),"—",IF(_xlfn.MAXIFS(Acuses!$C$5:$C$3004,Acuses!$A$5:$A$3004,$A12,Acuses!$B$5:$B$3004,AN$4)&lt;AN$5,"Pendiente",IF(AN$8=0,"OK",IF(EDATE(_xlfn.MAXIFS(Acuses!$D$5:$D$3004,Acuses!$A$5:$A$3004,$A12,Acuses!$B$5:$B$3004,AN$4,Acuses!$C$5:$C$3004,AN$5),AN$8)&lt;Resumen!$C$4,"Caducado",IF(EDATE(_xlfn.MAXIFS(Acuses!$D$5:$D$3004,Acuses!$A$5:$A$3004,$A12,Acuses!$B$5:$B$3004,AN$4,Acuses!$C$5:$C$3004,AN$5),AN$8)&lt;Resumen!$C$4+30,"Caduca pronto","OK"))))))</f>
        <v/>
      </c>
      <c r="AO12" s="26" t="str">
        <f aca="false">IF(OR($A12="",AO$4=""),"",IF(NOT(OR(AO$6="Toda la plantilla",ISNUMBER(SEARCH(";"&amp;SUBSTITUTE($C12," ","")&amp;";",";"&amp;SUBSTITUTE(AO$7," ","")&amp;";")))),"—",IF(_xlfn.MAXIFS(Acuses!$C$5:$C$3004,Acuses!$A$5:$A$3004,$A12,Acuses!$B$5:$B$3004,AO$4)&lt;AO$5,"Pendiente",IF(AO$8=0,"OK",IF(EDATE(_xlfn.MAXIFS(Acuses!$D$5:$D$3004,Acuses!$A$5:$A$3004,$A12,Acuses!$B$5:$B$3004,AO$4,Acuses!$C$5:$C$3004,AO$5),AO$8)&lt;Resumen!$C$4,"Caducado",IF(EDATE(_xlfn.MAXIFS(Acuses!$D$5:$D$3004,Acuses!$A$5:$A$3004,$A12,Acuses!$B$5:$B$3004,AO$4,Acuses!$C$5:$C$3004,AO$5),AO$8)&lt;Resumen!$C$4+30,"Caduca pronto","OK"))))))</f>
        <v/>
      </c>
      <c r="AP12" s="26" t="str">
        <f aca="false">IF(OR($A12="",AP$4=""),"",IF(NOT(OR(AP$6="Toda la plantilla",ISNUMBER(SEARCH(";"&amp;SUBSTITUTE($C12," ","")&amp;";",";"&amp;SUBSTITUTE(AP$7," ","")&amp;";")))),"—",IF(_xlfn.MAXIFS(Acuses!$C$5:$C$3004,Acuses!$A$5:$A$3004,$A12,Acuses!$B$5:$B$3004,AP$4)&lt;AP$5,"Pendiente",IF(AP$8=0,"OK",IF(EDATE(_xlfn.MAXIFS(Acuses!$D$5:$D$3004,Acuses!$A$5:$A$3004,$A12,Acuses!$B$5:$B$3004,AP$4,Acuses!$C$5:$C$3004,AP$5),AP$8)&lt;Resumen!$C$4,"Caducado",IF(EDATE(_xlfn.MAXIFS(Acuses!$D$5:$D$3004,Acuses!$A$5:$A$3004,$A12,Acuses!$B$5:$B$3004,AP$4,Acuses!$C$5:$C$3004,AP$5),AP$8)&lt;Resumen!$C$4+30,"Caduca pronto","OK"))))))</f>
        <v/>
      </c>
      <c r="AQ12" s="26" t="str">
        <f aca="false">IF(OR($A12="",AQ$4=""),"",IF(NOT(OR(AQ$6="Toda la plantilla",ISNUMBER(SEARCH(";"&amp;SUBSTITUTE($C12," ","")&amp;";",";"&amp;SUBSTITUTE(AQ$7," ","")&amp;";")))),"—",IF(_xlfn.MAXIFS(Acuses!$C$5:$C$3004,Acuses!$A$5:$A$3004,$A12,Acuses!$B$5:$B$3004,AQ$4)&lt;AQ$5,"Pendiente",IF(AQ$8=0,"OK",IF(EDATE(_xlfn.MAXIFS(Acuses!$D$5:$D$3004,Acuses!$A$5:$A$3004,$A12,Acuses!$B$5:$B$3004,AQ$4,Acuses!$C$5:$C$3004,AQ$5),AQ$8)&lt;Resumen!$C$4,"Caducado",IF(EDATE(_xlfn.MAXIFS(Acuses!$D$5:$D$3004,Acuses!$A$5:$A$3004,$A12,Acuses!$B$5:$B$3004,AQ$4,Acuses!$C$5:$C$3004,AQ$5),AQ$8)&lt;Resumen!$C$4+30,"Caduca pronto","OK"))))))</f>
        <v/>
      </c>
    </row>
    <row r="13" customFormat="false" ht="22.35" hidden="false" customHeight="false" outlineLevel="0" collapsed="false">
      <c r="A13" s="25" t="str">
        <f aca="false">IF(AND(Trabajadores!$A$8&lt;&gt;"",Trabajadores!$G$8&lt;&gt;"No"),Trabajadores!$A$8,"")</f>
        <v>T004</v>
      </c>
      <c r="B13" s="25" t="str">
        <f aca="false">IF($A13="","",Trabajadores!$B$8)</f>
        <v>Luis Pardo</v>
      </c>
      <c r="C13" s="25" t="str">
        <f aca="false">IF($A13="","",Trabajadores!$C$8)</f>
        <v>Mantenimiento</v>
      </c>
      <c r="D13" s="26" t="str">
        <f aca="false">IF(OR($A13="",D$4=""),"",IF(NOT(OR(D$6="Toda la plantilla",ISNUMBER(SEARCH(";"&amp;SUBSTITUTE($C13," ","")&amp;";",";"&amp;SUBSTITUTE(D$7," ","")&amp;";")))),"—",IF(_xlfn.MAXIFS(Acuses!$C$5:$C$3004,Acuses!$A$5:$A$3004,$A13,Acuses!$B$5:$B$3004,D$4)&lt;D$5,"Pendiente",IF(D$8=0,"OK",IF(EDATE(_xlfn.MAXIFS(Acuses!$D$5:$D$3004,Acuses!$A$5:$A$3004,$A13,Acuses!$B$5:$B$3004,D$4,Acuses!$C$5:$C$3004,D$5),D$8)&lt;Resumen!$C$4,"Caducado",IF(EDATE(_xlfn.MAXIFS(Acuses!$D$5:$D$3004,Acuses!$A$5:$A$3004,$A13,Acuses!$B$5:$B$3004,D$4,Acuses!$C$5:$C$3004,D$5),D$8)&lt;Resumen!$C$4+30,"Caduca pronto","OK"))))))</f>
        <v>OK</v>
      </c>
      <c r="E13" s="26" t="str">
        <f aca="false">IF(OR($A13="",E$4=""),"",IF(NOT(OR(E$6="Toda la plantilla",ISNUMBER(SEARCH(";"&amp;SUBSTITUTE($C13," ","")&amp;";",";"&amp;SUBSTITUTE(E$7," ","")&amp;";")))),"—",IF(_xlfn.MAXIFS(Acuses!$C$5:$C$3004,Acuses!$A$5:$A$3004,$A13,Acuses!$B$5:$B$3004,E$4)&lt;E$5,"Pendiente",IF(E$8=0,"OK",IF(EDATE(_xlfn.MAXIFS(Acuses!$D$5:$D$3004,Acuses!$A$5:$A$3004,$A13,Acuses!$B$5:$B$3004,E$4,Acuses!$C$5:$C$3004,E$5),E$8)&lt;Resumen!$C$4,"Caducado",IF(EDATE(_xlfn.MAXIFS(Acuses!$D$5:$D$3004,Acuses!$A$5:$A$3004,$A13,Acuses!$B$5:$B$3004,E$4,Acuses!$C$5:$C$3004,E$5),E$8)&lt;Resumen!$C$4+30,"Caduca pronto","OK"))))))</f>
        <v>—</v>
      </c>
      <c r="F13" s="26" t="str">
        <f aca="false">IF(OR($A13="",F$4=""),"",IF(NOT(OR(F$6="Toda la plantilla",ISNUMBER(SEARCH(";"&amp;SUBSTITUTE($C13," ","")&amp;";",";"&amp;SUBSTITUTE(F$7," ","")&amp;";")))),"—",IF(_xlfn.MAXIFS(Acuses!$C$5:$C$3004,Acuses!$A$5:$A$3004,$A13,Acuses!$B$5:$B$3004,F$4)&lt;F$5,"Pendiente",IF(F$8=0,"OK",IF(EDATE(_xlfn.MAXIFS(Acuses!$D$5:$D$3004,Acuses!$A$5:$A$3004,$A13,Acuses!$B$5:$B$3004,F$4,Acuses!$C$5:$C$3004,F$5),F$8)&lt;Resumen!$C$4,"Caducado",IF(EDATE(_xlfn.MAXIFS(Acuses!$D$5:$D$3004,Acuses!$A$5:$A$3004,$A13,Acuses!$B$5:$B$3004,F$4,Acuses!$C$5:$C$3004,F$5),F$8)&lt;Resumen!$C$4+30,"Caduca pronto","OK"))))))</f>
        <v>Caduca pronto</v>
      </c>
      <c r="G13" s="26" t="str">
        <f aca="false">IF(OR($A13="",G$4=""),"",IF(NOT(OR(G$6="Toda la plantilla",ISNUMBER(SEARCH(";"&amp;SUBSTITUTE($C13," ","")&amp;";",";"&amp;SUBSTITUTE(G$7," ","")&amp;";")))),"—",IF(_xlfn.MAXIFS(Acuses!$C$5:$C$3004,Acuses!$A$5:$A$3004,$A13,Acuses!$B$5:$B$3004,G$4)&lt;G$5,"Pendiente",IF(G$8=0,"OK",IF(EDATE(_xlfn.MAXIFS(Acuses!$D$5:$D$3004,Acuses!$A$5:$A$3004,$A13,Acuses!$B$5:$B$3004,G$4,Acuses!$C$5:$C$3004,G$5),G$8)&lt;Resumen!$C$4,"Caducado",IF(EDATE(_xlfn.MAXIFS(Acuses!$D$5:$D$3004,Acuses!$A$5:$A$3004,$A13,Acuses!$B$5:$B$3004,G$4,Acuses!$C$5:$C$3004,G$5),G$8)&lt;Resumen!$C$4+30,"Caduca pronto","OK"))))))</f>
        <v>—</v>
      </c>
      <c r="H13" s="26" t="str">
        <f aca="false">IF(OR($A13="",H$4=""),"",IF(NOT(OR(H$6="Toda la plantilla",ISNUMBER(SEARCH(";"&amp;SUBSTITUTE($C13," ","")&amp;";",";"&amp;SUBSTITUTE(H$7," ","")&amp;";")))),"—",IF(_xlfn.MAXIFS(Acuses!$C$5:$C$3004,Acuses!$A$5:$A$3004,$A13,Acuses!$B$5:$B$3004,H$4)&lt;H$5,"Pendiente",IF(H$8=0,"OK",IF(EDATE(_xlfn.MAXIFS(Acuses!$D$5:$D$3004,Acuses!$A$5:$A$3004,$A13,Acuses!$B$5:$B$3004,H$4,Acuses!$C$5:$C$3004,H$5),H$8)&lt;Resumen!$C$4,"Caducado",IF(EDATE(_xlfn.MAXIFS(Acuses!$D$5:$D$3004,Acuses!$A$5:$A$3004,$A13,Acuses!$B$5:$B$3004,H$4,Acuses!$C$5:$C$3004,H$5),H$8)&lt;Resumen!$C$4+30,"Caduca pronto","OK"))))))</f>
        <v>—</v>
      </c>
      <c r="I13" s="26" t="str">
        <f aca="false">IF(OR($A13="",I$4=""),"",IF(NOT(OR(I$6="Toda la plantilla",ISNUMBER(SEARCH(";"&amp;SUBSTITUTE($C13," ","")&amp;";",";"&amp;SUBSTITUTE(I$7," ","")&amp;";")))),"—",IF(_xlfn.MAXIFS(Acuses!$C$5:$C$3004,Acuses!$A$5:$A$3004,$A13,Acuses!$B$5:$B$3004,I$4)&lt;I$5,"Pendiente",IF(I$8=0,"OK",IF(EDATE(_xlfn.MAXIFS(Acuses!$D$5:$D$3004,Acuses!$A$5:$A$3004,$A13,Acuses!$B$5:$B$3004,I$4,Acuses!$C$5:$C$3004,I$5),I$8)&lt;Resumen!$C$4,"Caducado",IF(EDATE(_xlfn.MAXIFS(Acuses!$D$5:$D$3004,Acuses!$A$5:$A$3004,$A13,Acuses!$B$5:$B$3004,I$4,Acuses!$C$5:$C$3004,I$5),I$8)&lt;Resumen!$C$4+30,"Caduca pronto","OK"))))))</f>
        <v>—</v>
      </c>
      <c r="J13" s="26" t="str">
        <f aca="false">IF(OR($A13="",J$4=""),"",IF(NOT(OR(J$6="Toda la plantilla",ISNUMBER(SEARCH(";"&amp;SUBSTITUTE($C13," ","")&amp;";",";"&amp;SUBSTITUTE(J$7," ","")&amp;";")))),"—",IF(_xlfn.MAXIFS(Acuses!$C$5:$C$3004,Acuses!$A$5:$A$3004,$A13,Acuses!$B$5:$B$3004,J$4)&lt;J$5,"Pendiente",IF(J$8=0,"OK",IF(EDATE(_xlfn.MAXIFS(Acuses!$D$5:$D$3004,Acuses!$A$5:$A$3004,$A13,Acuses!$B$5:$B$3004,J$4,Acuses!$C$5:$C$3004,J$5),J$8)&lt;Resumen!$C$4,"Caducado",IF(EDATE(_xlfn.MAXIFS(Acuses!$D$5:$D$3004,Acuses!$A$5:$A$3004,$A13,Acuses!$B$5:$B$3004,J$4,Acuses!$C$5:$C$3004,J$5),J$8)&lt;Resumen!$C$4+30,"Caduca pronto","OK"))))))</f>
        <v>—</v>
      </c>
      <c r="K13" s="26" t="str">
        <f aca="false">IF(OR($A13="",K$4=""),"",IF(NOT(OR(K$6="Toda la plantilla",ISNUMBER(SEARCH(";"&amp;SUBSTITUTE($C13," ","")&amp;";",";"&amp;SUBSTITUTE(K$7," ","")&amp;";")))),"—",IF(_xlfn.MAXIFS(Acuses!$C$5:$C$3004,Acuses!$A$5:$A$3004,$A13,Acuses!$B$5:$B$3004,K$4)&lt;K$5,"Pendiente",IF(K$8=0,"OK",IF(EDATE(_xlfn.MAXIFS(Acuses!$D$5:$D$3004,Acuses!$A$5:$A$3004,$A13,Acuses!$B$5:$B$3004,K$4,Acuses!$C$5:$C$3004,K$5),K$8)&lt;Resumen!$C$4,"Caducado",IF(EDATE(_xlfn.MAXIFS(Acuses!$D$5:$D$3004,Acuses!$A$5:$A$3004,$A13,Acuses!$B$5:$B$3004,K$4,Acuses!$C$5:$C$3004,K$5),K$8)&lt;Resumen!$C$4+30,"Caduca pronto","OK"))))))</f>
        <v>OK</v>
      </c>
      <c r="L13" s="26" t="str">
        <f aca="false">IF(OR($A13="",L$4=""),"",IF(NOT(OR(L$6="Toda la plantilla",ISNUMBER(SEARCH(";"&amp;SUBSTITUTE($C13," ","")&amp;";",";"&amp;SUBSTITUTE(L$7," ","")&amp;";")))),"—",IF(_xlfn.MAXIFS(Acuses!$C$5:$C$3004,Acuses!$A$5:$A$3004,$A13,Acuses!$B$5:$B$3004,L$4)&lt;L$5,"Pendiente",IF(L$8=0,"OK",IF(EDATE(_xlfn.MAXIFS(Acuses!$D$5:$D$3004,Acuses!$A$5:$A$3004,$A13,Acuses!$B$5:$B$3004,L$4,Acuses!$C$5:$C$3004,L$5),L$8)&lt;Resumen!$C$4,"Caducado",IF(EDATE(_xlfn.MAXIFS(Acuses!$D$5:$D$3004,Acuses!$A$5:$A$3004,$A13,Acuses!$B$5:$B$3004,L$4,Acuses!$C$5:$C$3004,L$5),L$8)&lt;Resumen!$C$4+30,"Caduca pronto","OK"))))))</f>
        <v/>
      </c>
      <c r="M13" s="26" t="str">
        <f aca="false">IF(OR($A13="",M$4=""),"",IF(NOT(OR(M$6="Toda la plantilla",ISNUMBER(SEARCH(";"&amp;SUBSTITUTE($C13," ","")&amp;";",";"&amp;SUBSTITUTE(M$7," ","")&amp;";")))),"—",IF(_xlfn.MAXIFS(Acuses!$C$5:$C$3004,Acuses!$A$5:$A$3004,$A13,Acuses!$B$5:$B$3004,M$4)&lt;M$5,"Pendiente",IF(M$8=0,"OK",IF(EDATE(_xlfn.MAXIFS(Acuses!$D$5:$D$3004,Acuses!$A$5:$A$3004,$A13,Acuses!$B$5:$B$3004,M$4,Acuses!$C$5:$C$3004,M$5),M$8)&lt;Resumen!$C$4,"Caducado",IF(EDATE(_xlfn.MAXIFS(Acuses!$D$5:$D$3004,Acuses!$A$5:$A$3004,$A13,Acuses!$B$5:$B$3004,M$4,Acuses!$C$5:$C$3004,M$5),M$8)&lt;Resumen!$C$4+30,"Caduca pronto","OK"))))))</f>
        <v/>
      </c>
      <c r="N13" s="26" t="str">
        <f aca="false">IF(OR($A13="",N$4=""),"",IF(NOT(OR(N$6="Toda la plantilla",ISNUMBER(SEARCH(";"&amp;SUBSTITUTE($C13," ","")&amp;";",";"&amp;SUBSTITUTE(N$7," ","")&amp;";")))),"—",IF(_xlfn.MAXIFS(Acuses!$C$5:$C$3004,Acuses!$A$5:$A$3004,$A13,Acuses!$B$5:$B$3004,N$4)&lt;N$5,"Pendiente",IF(N$8=0,"OK",IF(EDATE(_xlfn.MAXIFS(Acuses!$D$5:$D$3004,Acuses!$A$5:$A$3004,$A13,Acuses!$B$5:$B$3004,N$4,Acuses!$C$5:$C$3004,N$5),N$8)&lt;Resumen!$C$4,"Caducado",IF(EDATE(_xlfn.MAXIFS(Acuses!$D$5:$D$3004,Acuses!$A$5:$A$3004,$A13,Acuses!$B$5:$B$3004,N$4,Acuses!$C$5:$C$3004,N$5),N$8)&lt;Resumen!$C$4+30,"Caduca pronto","OK"))))))</f>
        <v/>
      </c>
      <c r="O13" s="26" t="str">
        <f aca="false">IF(OR($A13="",O$4=""),"",IF(NOT(OR(O$6="Toda la plantilla",ISNUMBER(SEARCH(";"&amp;SUBSTITUTE($C13," ","")&amp;";",";"&amp;SUBSTITUTE(O$7," ","")&amp;";")))),"—",IF(_xlfn.MAXIFS(Acuses!$C$5:$C$3004,Acuses!$A$5:$A$3004,$A13,Acuses!$B$5:$B$3004,O$4)&lt;O$5,"Pendiente",IF(O$8=0,"OK",IF(EDATE(_xlfn.MAXIFS(Acuses!$D$5:$D$3004,Acuses!$A$5:$A$3004,$A13,Acuses!$B$5:$B$3004,O$4,Acuses!$C$5:$C$3004,O$5),O$8)&lt;Resumen!$C$4,"Caducado",IF(EDATE(_xlfn.MAXIFS(Acuses!$D$5:$D$3004,Acuses!$A$5:$A$3004,$A13,Acuses!$B$5:$B$3004,O$4,Acuses!$C$5:$C$3004,O$5),O$8)&lt;Resumen!$C$4+30,"Caduca pronto","OK"))))))</f>
        <v/>
      </c>
      <c r="P13" s="26" t="str">
        <f aca="false">IF(OR($A13="",P$4=""),"",IF(NOT(OR(P$6="Toda la plantilla",ISNUMBER(SEARCH(";"&amp;SUBSTITUTE($C13," ","")&amp;";",";"&amp;SUBSTITUTE(P$7," ","")&amp;";")))),"—",IF(_xlfn.MAXIFS(Acuses!$C$5:$C$3004,Acuses!$A$5:$A$3004,$A13,Acuses!$B$5:$B$3004,P$4)&lt;P$5,"Pendiente",IF(P$8=0,"OK",IF(EDATE(_xlfn.MAXIFS(Acuses!$D$5:$D$3004,Acuses!$A$5:$A$3004,$A13,Acuses!$B$5:$B$3004,P$4,Acuses!$C$5:$C$3004,P$5),P$8)&lt;Resumen!$C$4,"Caducado",IF(EDATE(_xlfn.MAXIFS(Acuses!$D$5:$D$3004,Acuses!$A$5:$A$3004,$A13,Acuses!$B$5:$B$3004,P$4,Acuses!$C$5:$C$3004,P$5),P$8)&lt;Resumen!$C$4+30,"Caduca pronto","OK"))))))</f>
        <v/>
      </c>
      <c r="Q13" s="26" t="str">
        <f aca="false">IF(OR($A13="",Q$4=""),"",IF(NOT(OR(Q$6="Toda la plantilla",ISNUMBER(SEARCH(";"&amp;SUBSTITUTE($C13," ","")&amp;";",";"&amp;SUBSTITUTE(Q$7," ","")&amp;";")))),"—",IF(_xlfn.MAXIFS(Acuses!$C$5:$C$3004,Acuses!$A$5:$A$3004,$A13,Acuses!$B$5:$B$3004,Q$4)&lt;Q$5,"Pendiente",IF(Q$8=0,"OK",IF(EDATE(_xlfn.MAXIFS(Acuses!$D$5:$D$3004,Acuses!$A$5:$A$3004,$A13,Acuses!$B$5:$B$3004,Q$4,Acuses!$C$5:$C$3004,Q$5),Q$8)&lt;Resumen!$C$4,"Caducado",IF(EDATE(_xlfn.MAXIFS(Acuses!$D$5:$D$3004,Acuses!$A$5:$A$3004,$A13,Acuses!$B$5:$B$3004,Q$4,Acuses!$C$5:$C$3004,Q$5),Q$8)&lt;Resumen!$C$4+30,"Caduca pronto","OK"))))))</f>
        <v/>
      </c>
      <c r="R13" s="26" t="str">
        <f aca="false">IF(OR($A13="",R$4=""),"",IF(NOT(OR(R$6="Toda la plantilla",ISNUMBER(SEARCH(";"&amp;SUBSTITUTE($C13," ","")&amp;";",";"&amp;SUBSTITUTE(R$7," ","")&amp;";")))),"—",IF(_xlfn.MAXIFS(Acuses!$C$5:$C$3004,Acuses!$A$5:$A$3004,$A13,Acuses!$B$5:$B$3004,R$4)&lt;R$5,"Pendiente",IF(R$8=0,"OK",IF(EDATE(_xlfn.MAXIFS(Acuses!$D$5:$D$3004,Acuses!$A$5:$A$3004,$A13,Acuses!$B$5:$B$3004,R$4,Acuses!$C$5:$C$3004,R$5),R$8)&lt;Resumen!$C$4,"Caducado",IF(EDATE(_xlfn.MAXIFS(Acuses!$D$5:$D$3004,Acuses!$A$5:$A$3004,$A13,Acuses!$B$5:$B$3004,R$4,Acuses!$C$5:$C$3004,R$5),R$8)&lt;Resumen!$C$4+30,"Caduca pronto","OK"))))))</f>
        <v/>
      </c>
      <c r="S13" s="26" t="str">
        <f aca="false">IF(OR($A13="",S$4=""),"",IF(NOT(OR(S$6="Toda la plantilla",ISNUMBER(SEARCH(";"&amp;SUBSTITUTE($C13," ","")&amp;";",";"&amp;SUBSTITUTE(S$7," ","")&amp;";")))),"—",IF(_xlfn.MAXIFS(Acuses!$C$5:$C$3004,Acuses!$A$5:$A$3004,$A13,Acuses!$B$5:$B$3004,S$4)&lt;S$5,"Pendiente",IF(S$8=0,"OK",IF(EDATE(_xlfn.MAXIFS(Acuses!$D$5:$D$3004,Acuses!$A$5:$A$3004,$A13,Acuses!$B$5:$B$3004,S$4,Acuses!$C$5:$C$3004,S$5),S$8)&lt;Resumen!$C$4,"Caducado",IF(EDATE(_xlfn.MAXIFS(Acuses!$D$5:$D$3004,Acuses!$A$5:$A$3004,$A13,Acuses!$B$5:$B$3004,S$4,Acuses!$C$5:$C$3004,S$5),S$8)&lt;Resumen!$C$4+30,"Caduca pronto","OK"))))))</f>
        <v/>
      </c>
      <c r="T13" s="26" t="str">
        <f aca="false">IF(OR($A13="",T$4=""),"",IF(NOT(OR(T$6="Toda la plantilla",ISNUMBER(SEARCH(";"&amp;SUBSTITUTE($C13," ","")&amp;";",";"&amp;SUBSTITUTE(T$7," ","")&amp;";")))),"—",IF(_xlfn.MAXIFS(Acuses!$C$5:$C$3004,Acuses!$A$5:$A$3004,$A13,Acuses!$B$5:$B$3004,T$4)&lt;T$5,"Pendiente",IF(T$8=0,"OK",IF(EDATE(_xlfn.MAXIFS(Acuses!$D$5:$D$3004,Acuses!$A$5:$A$3004,$A13,Acuses!$B$5:$B$3004,T$4,Acuses!$C$5:$C$3004,T$5),T$8)&lt;Resumen!$C$4,"Caducado",IF(EDATE(_xlfn.MAXIFS(Acuses!$D$5:$D$3004,Acuses!$A$5:$A$3004,$A13,Acuses!$B$5:$B$3004,T$4,Acuses!$C$5:$C$3004,T$5),T$8)&lt;Resumen!$C$4+30,"Caduca pronto","OK"))))))</f>
        <v/>
      </c>
      <c r="U13" s="26" t="str">
        <f aca="false">IF(OR($A13="",U$4=""),"",IF(NOT(OR(U$6="Toda la plantilla",ISNUMBER(SEARCH(";"&amp;SUBSTITUTE($C13," ","")&amp;";",";"&amp;SUBSTITUTE(U$7," ","")&amp;";")))),"—",IF(_xlfn.MAXIFS(Acuses!$C$5:$C$3004,Acuses!$A$5:$A$3004,$A13,Acuses!$B$5:$B$3004,U$4)&lt;U$5,"Pendiente",IF(U$8=0,"OK",IF(EDATE(_xlfn.MAXIFS(Acuses!$D$5:$D$3004,Acuses!$A$5:$A$3004,$A13,Acuses!$B$5:$B$3004,U$4,Acuses!$C$5:$C$3004,U$5),U$8)&lt;Resumen!$C$4,"Caducado",IF(EDATE(_xlfn.MAXIFS(Acuses!$D$5:$D$3004,Acuses!$A$5:$A$3004,$A13,Acuses!$B$5:$B$3004,U$4,Acuses!$C$5:$C$3004,U$5),U$8)&lt;Resumen!$C$4+30,"Caduca pronto","OK"))))))</f>
        <v/>
      </c>
      <c r="V13" s="26" t="str">
        <f aca="false">IF(OR($A13="",V$4=""),"",IF(NOT(OR(V$6="Toda la plantilla",ISNUMBER(SEARCH(";"&amp;SUBSTITUTE($C13," ","")&amp;";",";"&amp;SUBSTITUTE(V$7," ","")&amp;";")))),"—",IF(_xlfn.MAXIFS(Acuses!$C$5:$C$3004,Acuses!$A$5:$A$3004,$A13,Acuses!$B$5:$B$3004,V$4)&lt;V$5,"Pendiente",IF(V$8=0,"OK",IF(EDATE(_xlfn.MAXIFS(Acuses!$D$5:$D$3004,Acuses!$A$5:$A$3004,$A13,Acuses!$B$5:$B$3004,V$4,Acuses!$C$5:$C$3004,V$5),V$8)&lt;Resumen!$C$4,"Caducado",IF(EDATE(_xlfn.MAXIFS(Acuses!$D$5:$D$3004,Acuses!$A$5:$A$3004,$A13,Acuses!$B$5:$B$3004,V$4,Acuses!$C$5:$C$3004,V$5),V$8)&lt;Resumen!$C$4+30,"Caduca pronto","OK"))))))</f>
        <v/>
      </c>
      <c r="W13" s="26" t="str">
        <f aca="false">IF(OR($A13="",W$4=""),"",IF(NOT(OR(W$6="Toda la plantilla",ISNUMBER(SEARCH(";"&amp;SUBSTITUTE($C13," ","")&amp;";",";"&amp;SUBSTITUTE(W$7," ","")&amp;";")))),"—",IF(_xlfn.MAXIFS(Acuses!$C$5:$C$3004,Acuses!$A$5:$A$3004,$A13,Acuses!$B$5:$B$3004,W$4)&lt;W$5,"Pendiente",IF(W$8=0,"OK",IF(EDATE(_xlfn.MAXIFS(Acuses!$D$5:$D$3004,Acuses!$A$5:$A$3004,$A13,Acuses!$B$5:$B$3004,W$4,Acuses!$C$5:$C$3004,W$5),W$8)&lt;Resumen!$C$4,"Caducado",IF(EDATE(_xlfn.MAXIFS(Acuses!$D$5:$D$3004,Acuses!$A$5:$A$3004,$A13,Acuses!$B$5:$B$3004,W$4,Acuses!$C$5:$C$3004,W$5),W$8)&lt;Resumen!$C$4+30,"Caduca pronto","OK"))))))</f>
        <v/>
      </c>
      <c r="X13" s="26" t="str">
        <f aca="false">IF(OR($A13="",X$4=""),"",IF(NOT(OR(X$6="Toda la plantilla",ISNUMBER(SEARCH(";"&amp;SUBSTITUTE($C13," ","")&amp;";",";"&amp;SUBSTITUTE(X$7," ","")&amp;";")))),"—",IF(_xlfn.MAXIFS(Acuses!$C$5:$C$3004,Acuses!$A$5:$A$3004,$A13,Acuses!$B$5:$B$3004,X$4)&lt;X$5,"Pendiente",IF(X$8=0,"OK",IF(EDATE(_xlfn.MAXIFS(Acuses!$D$5:$D$3004,Acuses!$A$5:$A$3004,$A13,Acuses!$B$5:$B$3004,X$4,Acuses!$C$5:$C$3004,X$5),X$8)&lt;Resumen!$C$4,"Caducado",IF(EDATE(_xlfn.MAXIFS(Acuses!$D$5:$D$3004,Acuses!$A$5:$A$3004,$A13,Acuses!$B$5:$B$3004,X$4,Acuses!$C$5:$C$3004,X$5),X$8)&lt;Resumen!$C$4+30,"Caduca pronto","OK"))))))</f>
        <v/>
      </c>
      <c r="Y13" s="26" t="str">
        <f aca="false">IF(OR($A13="",Y$4=""),"",IF(NOT(OR(Y$6="Toda la plantilla",ISNUMBER(SEARCH(";"&amp;SUBSTITUTE($C13," ","")&amp;";",";"&amp;SUBSTITUTE(Y$7," ","")&amp;";")))),"—",IF(_xlfn.MAXIFS(Acuses!$C$5:$C$3004,Acuses!$A$5:$A$3004,$A13,Acuses!$B$5:$B$3004,Y$4)&lt;Y$5,"Pendiente",IF(Y$8=0,"OK",IF(EDATE(_xlfn.MAXIFS(Acuses!$D$5:$D$3004,Acuses!$A$5:$A$3004,$A13,Acuses!$B$5:$B$3004,Y$4,Acuses!$C$5:$C$3004,Y$5),Y$8)&lt;Resumen!$C$4,"Caducado",IF(EDATE(_xlfn.MAXIFS(Acuses!$D$5:$D$3004,Acuses!$A$5:$A$3004,$A13,Acuses!$B$5:$B$3004,Y$4,Acuses!$C$5:$C$3004,Y$5),Y$8)&lt;Resumen!$C$4+30,"Caduca pronto","OK"))))))</f>
        <v/>
      </c>
      <c r="Z13" s="26" t="str">
        <f aca="false">IF(OR($A13="",Z$4=""),"",IF(NOT(OR(Z$6="Toda la plantilla",ISNUMBER(SEARCH(";"&amp;SUBSTITUTE($C13," ","")&amp;";",";"&amp;SUBSTITUTE(Z$7," ","")&amp;";")))),"—",IF(_xlfn.MAXIFS(Acuses!$C$5:$C$3004,Acuses!$A$5:$A$3004,$A13,Acuses!$B$5:$B$3004,Z$4)&lt;Z$5,"Pendiente",IF(Z$8=0,"OK",IF(EDATE(_xlfn.MAXIFS(Acuses!$D$5:$D$3004,Acuses!$A$5:$A$3004,$A13,Acuses!$B$5:$B$3004,Z$4,Acuses!$C$5:$C$3004,Z$5),Z$8)&lt;Resumen!$C$4,"Caducado",IF(EDATE(_xlfn.MAXIFS(Acuses!$D$5:$D$3004,Acuses!$A$5:$A$3004,$A13,Acuses!$B$5:$B$3004,Z$4,Acuses!$C$5:$C$3004,Z$5),Z$8)&lt;Resumen!$C$4+30,"Caduca pronto","OK"))))))</f>
        <v/>
      </c>
      <c r="AA13" s="26" t="str">
        <f aca="false">IF(OR($A13="",AA$4=""),"",IF(NOT(OR(AA$6="Toda la plantilla",ISNUMBER(SEARCH(";"&amp;SUBSTITUTE($C13," ","")&amp;";",";"&amp;SUBSTITUTE(AA$7," ","")&amp;";")))),"—",IF(_xlfn.MAXIFS(Acuses!$C$5:$C$3004,Acuses!$A$5:$A$3004,$A13,Acuses!$B$5:$B$3004,AA$4)&lt;AA$5,"Pendiente",IF(AA$8=0,"OK",IF(EDATE(_xlfn.MAXIFS(Acuses!$D$5:$D$3004,Acuses!$A$5:$A$3004,$A13,Acuses!$B$5:$B$3004,AA$4,Acuses!$C$5:$C$3004,AA$5),AA$8)&lt;Resumen!$C$4,"Caducado",IF(EDATE(_xlfn.MAXIFS(Acuses!$D$5:$D$3004,Acuses!$A$5:$A$3004,$A13,Acuses!$B$5:$B$3004,AA$4,Acuses!$C$5:$C$3004,AA$5),AA$8)&lt;Resumen!$C$4+30,"Caduca pronto","OK"))))))</f>
        <v/>
      </c>
      <c r="AB13" s="26" t="str">
        <f aca="false">IF(OR($A13="",AB$4=""),"",IF(NOT(OR(AB$6="Toda la plantilla",ISNUMBER(SEARCH(";"&amp;SUBSTITUTE($C13," ","")&amp;";",";"&amp;SUBSTITUTE(AB$7," ","")&amp;";")))),"—",IF(_xlfn.MAXIFS(Acuses!$C$5:$C$3004,Acuses!$A$5:$A$3004,$A13,Acuses!$B$5:$B$3004,AB$4)&lt;AB$5,"Pendiente",IF(AB$8=0,"OK",IF(EDATE(_xlfn.MAXIFS(Acuses!$D$5:$D$3004,Acuses!$A$5:$A$3004,$A13,Acuses!$B$5:$B$3004,AB$4,Acuses!$C$5:$C$3004,AB$5),AB$8)&lt;Resumen!$C$4,"Caducado",IF(EDATE(_xlfn.MAXIFS(Acuses!$D$5:$D$3004,Acuses!$A$5:$A$3004,$A13,Acuses!$B$5:$B$3004,AB$4,Acuses!$C$5:$C$3004,AB$5),AB$8)&lt;Resumen!$C$4+30,"Caduca pronto","OK"))))))</f>
        <v/>
      </c>
      <c r="AC13" s="26" t="str">
        <f aca="false">IF(OR($A13="",AC$4=""),"",IF(NOT(OR(AC$6="Toda la plantilla",ISNUMBER(SEARCH(";"&amp;SUBSTITUTE($C13," ","")&amp;";",";"&amp;SUBSTITUTE(AC$7," ","")&amp;";")))),"—",IF(_xlfn.MAXIFS(Acuses!$C$5:$C$3004,Acuses!$A$5:$A$3004,$A13,Acuses!$B$5:$B$3004,AC$4)&lt;AC$5,"Pendiente",IF(AC$8=0,"OK",IF(EDATE(_xlfn.MAXIFS(Acuses!$D$5:$D$3004,Acuses!$A$5:$A$3004,$A13,Acuses!$B$5:$B$3004,AC$4,Acuses!$C$5:$C$3004,AC$5),AC$8)&lt;Resumen!$C$4,"Caducado",IF(EDATE(_xlfn.MAXIFS(Acuses!$D$5:$D$3004,Acuses!$A$5:$A$3004,$A13,Acuses!$B$5:$B$3004,AC$4,Acuses!$C$5:$C$3004,AC$5),AC$8)&lt;Resumen!$C$4+30,"Caduca pronto","OK"))))))</f>
        <v/>
      </c>
      <c r="AD13" s="26" t="str">
        <f aca="false">IF(OR($A13="",AD$4=""),"",IF(NOT(OR(AD$6="Toda la plantilla",ISNUMBER(SEARCH(";"&amp;SUBSTITUTE($C13," ","")&amp;";",";"&amp;SUBSTITUTE(AD$7," ","")&amp;";")))),"—",IF(_xlfn.MAXIFS(Acuses!$C$5:$C$3004,Acuses!$A$5:$A$3004,$A13,Acuses!$B$5:$B$3004,AD$4)&lt;AD$5,"Pendiente",IF(AD$8=0,"OK",IF(EDATE(_xlfn.MAXIFS(Acuses!$D$5:$D$3004,Acuses!$A$5:$A$3004,$A13,Acuses!$B$5:$B$3004,AD$4,Acuses!$C$5:$C$3004,AD$5),AD$8)&lt;Resumen!$C$4,"Caducado",IF(EDATE(_xlfn.MAXIFS(Acuses!$D$5:$D$3004,Acuses!$A$5:$A$3004,$A13,Acuses!$B$5:$B$3004,AD$4,Acuses!$C$5:$C$3004,AD$5),AD$8)&lt;Resumen!$C$4+30,"Caduca pronto","OK"))))))</f>
        <v/>
      </c>
      <c r="AE13" s="26" t="str">
        <f aca="false">IF(OR($A13="",AE$4=""),"",IF(NOT(OR(AE$6="Toda la plantilla",ISNUMBER(SEARCH(";"&amp;SUBSTITUTE($C13," ","")&amp;";",";"&amp;SUBSTITUTE(AE$7," ","")&amp;";")))),"—",IF(_xlfn.MAXIFS(Acuses!$C$5:$C$3004,Acuses!$A$5:$A$3004,$A13,Acuses!$B$5:$B$3004,AE$4)&lt;AE$5,"Pendiente",IF(AE$8=0,"OK",IF(EDATE(_xlfn.MAXIFS(Acuses!$D$5:$D$3004,Acuses!$A$5:$A$3004,$A13,Acuses!$B$5:$B$3004,AE$4,Acuses!$C$5:$C$3004,AE$5),AE$8)&lt;Resumen!$C$4,"Caducado",IF(EDATE(_xlfn.MAXIFS(Acuses!$D$5:$D$3004,Acuses!$A$5:$A$3004,$A13,Acuses!$B$5:$B$3004,AE$4,Acuses!$C$5:$C$3004,AE$5),AE$8)&lt;Resumen!$C$4+30,"Caduca pronto","OK"))))))</f>
        <v/>
      </c>
      <c r="AF13" s="26" t="str">
        <f aca="false">IF(OR($A13="",AF$4=""),"",IF(NOT(OR(AF$6="Toda la plantilla",ISNUMBER(SEARCH(";"&amp;SUBSTITUTE($C13," ","")&amp;";",";"&amp;SUBSTITUTE(AF$7," ","")&amp;";")))),"—",IF(_xlfn.MAXIFS(Acuses!$C$5:$C$3004,Acuses!$A$5:$A$3004,$A13,Acuses!$B$5:$B$3004,AF$4)&lt;AF$5,"Pendiente",IF(AF$8=0,"OK",IF(EDATE(_xlfn.MAXIFS(Acuses!$D$5:$D$3004,Acuses!$A$5:$A$3004,$A13,Acuses!$B$5:$B$3004,AF$4,Acuses!$C$5:$C$3004,AF$5),AF$8)&lt;Resumen!$C$4,"Caducado",IF(EDATE(_xlfn.MAXIFS(Acuses!$D$5:$D$3004,Acuses!$A$5:$A$3004,$A13,Acuses!$B$5:$B$3004,AF$4,Acuses!$C$5:$C$3004,AF$5),AF$8)&lt;Resumen!$C$4+30,"Caduca pronto","OK"))))))</f>
        <v/>
      </c>
      <c r="AG13" s="26" t="str">
        <f aca="false">IF(OR($A13="",AG$4=""),"",IF(NOT(OR(AG$6="Toda la plantilla",ISNUMBER(SEARCH(";"&amp;SUBSTITUTE($C13," ","")&amp;";",";"&amp;SUBSTITUTE(AG$7," ","")&amp;";")))),"—",IF(_xlfn.MAXIFS(Acuses!$C$5:$C$3004,Acuses!$A$5:$A$3004,$A13,Acuses!$B$5:$B$3004,AG$4)&lt;AG$5,"Pendiente",IF(AG$8=0,"OK",IF(EDATE(_xlfn.MAXIFS(Acuses!$D$5:$D$3004,Acuses!$A$5:$A$3004,$A13,Acuses!$B$5:$B$3004,AG$4,Acuses!$C$5:$C$3004,AG$5),AG$8)&lt;Resumen!$C$4,"Caducado",IF(EDATE(_xlfn.MAXIFS(Acuses!$D$5:$D$3004,Acuses!$A$5:$A$3004,$A13,Acuses!$B$5:$B$3004,AG$4,Acuses!$C$5:$C$3004,AG$5),AG$8)&lt;Resumen!$C$4+30,"Caduca pronto","OK"))))))</f>
        <v/>
      </c>
      <c r="AH13" s="26" t="str">
        <f aca="false">IF(OR($A13="",AH$4=""),"",IF(NOT(OR(AH$6="Toda la plantilla",ISNUMBER(SEARCH(";"&amp;SUBSTITUTE($C13," ","")&amp;";",";"&amp;SUBSTITUTE(AH$7," ","")&amp;";")))),"—",IF(_xlfn.MAXIFS(Acuses!$C$5:$C$3004,Acuses!$A$5:$A$3004,$A13,Acuses!$B$5:$B$3004,AH$4)&lt;AH$5,"Pendiente",IF(AH$8=0,"OK",IF(EDATE(_xlfn.MAXIFS(Acuses!$D$5:$D$3004,Acuses!$A$5:$A$3004,$A13,Acuses!$B$5:$B$3004,AH$4,Acuses!$C$5:$C$3004,AH$5),AH$8)&lt;Resumen!$C$4,"Caducado",IF(EDATE(_xlfn.MAXIFS(Acuses!$D$5:$D$3004,Acuses!$A$5:$A$3004,$A13,Acuses!$B$5:$B$3004,AH$4,Acuses!$C$5:$C$3004,AH$5),AH$8)&lt;Resumen!$C$4+30,"Caduca pronto","OK"))))))</f>
        <v/>
      </c>
      <c r="AI13" s="26" t="str">
        <f aca="false">IF(OR($A13="",AI$4=""),"",IF(NOT(OR(AI$6="Toda la plantilla",ISNUMBER(SEARCH(";"&amp;SUBSTITUTE($C13," ","")&amp;";",";"&amp;SUBSTITUTE(AI$7," ","")&amp;";")))),"—",IF(_xlfn.MAXIFS(Acuses!$C$5:$C$3004,Acuses!$A$5:$A$3004,$A13,Acuses!$B$5:$B$3004,AI$4)&lt;AI$5,"Pendiente",IF(AI$8=0,"OK",IF(EDATE(_xlfn.MAXIFS(Acuses!$D$5:$D$3004,Acuses!$A$5:$A$3004,$A13,Acuses!$B$5:$B$3004,AI$4,Acuses!$C$5:$C$3004,AI$5),AI$8)&lt;Resumen!$C$4,"Caducado",IF(EDATE(_xlfn.MAXIFS(Acuses!$D$5:$D$3004,Acuses!$A$5:$A$3004,$A13,Acuses!$B$5:$B$3004,AI$4,Acuses!$C$5:$C$3004,AI$5),AI$8)&lt;Resumen!$C$4+30,"Caduca pronto","OK"))))))</f>
        <v/>
      </c>
      <c r="AJ13" s="26" t="str">
        <f aca="false">IF(OR($A13="",AJ$4=""),"",IF(NOT(OR(AJ$6="Toda la plantilla",ISNUMBER(SEARCH(";"&amp;SUBSTITUTE($C13," ","")&amp;";",";"&amp;SUBSTITUTE(AJ$7," ","")&amp;";")))),"—",IF(_xlfn.MAXIFS(Acuses!$C$5:$C$3004,Acuses!$A$5:$A$3004,$A13,Acuses!$B$5:$B$3004,AJ$4)&lt;AJ$5,"Pendiente",IF(AJ$8=0,"OK",IF(EDATE(_xlfn.MAXIFS(Acuses!$D$5:$D$3004,Acuses!$A$5:$A$3004,$A13,Acuses!$B$5:$B$3004,AJ$4,Acuses!$C$5:$C$3004,AJ$5),AJ$8)&lt;Resumen!$C$4,"Caducado",IF(EDATE(_xlfn.MAXIFS(Acuses!$D$5:$D$3004,Acuses!$A$5:$A$3004,$A13,Acuses!$B$5:$B$3004,AJ$4,Acuses!$C$5:$C$3004,AJ$5),AJ$8)&lt;Resumen!$C$4+30,"Caduca pronto","OK"))))))</f>
        <v/>
      </c>
      <c r="AK13" s="26" t="str">
        <f aca="false">IF(OR($A13="",AK$4=""),"",IF(NOT(OR(AK$6="Toda la plantilla",ISNUMBER(SEARCH(";"&amp;SUBSTITUTE($C13," ","")&amp;";",";"&amp;SUBSTITUTE(AK$7," ","")&amp;";")))),"—",IF(_xlfn.MAXIFS(Acuses!$C$5:$C$3004,Acuses!$A$5:$A$3004,$A13,Acuses!$B$5:$B$3004,AK$4)&lt;AK$5,"Pendiente",IF(AK$8=0,"OK",IF(EDATE(_xlfn.MAXIFS(Acuses!$D$5:$D$3004,Acuses!$A$5:$A$3004,$A13,Acuses!$B$5:$B$3004,AK$4,Acuses!$C$5:$C$3004,AK$5),AK$8)&lt;Resumen!$C$4,"Caducado",IF(EDATE(_xlfn.MAXIFS(Acuses!$D$5:$D$3004,Acuses!$A$5:$A$3004,$A13,Acuses!$B$5:$B$3004,AK$4,Acuses!$C$5:$C$3004,AK$5),AK$8)&lt;Resumen!$C$4+30,"Caduca pronto","OK"))))))</f>
        <v/>
      </c>
      <c r="AL13" s="26" t="str">
        <f aca="false">IF(OR($A13="",AL$4=""),"",IF(NOT(OR(AL$6="Toda la plantilla",ISNUMBER(SEARCH(";"&amp;SUBSTITUTE($C13," ","")&amp;";",";"&amp;SUBSTITUTE(AL$7," ","")&amp;";")))),"—",IF(_xlfn.MAXIFS(Acuses!$C$5:$C$3004,Acuses!$A$5:$A$3004,$A13,Acuses!$B$5:$B$3004,AL$4)&lt;AL$5,"Pendiente",IF(AL$8=0,"OK",IF(EDATE(_xlfn.MAXIFS(Acuses!$D$5:$D$3004,Acuses!$A$5:$A$3004,$A13,Acuses!$B$5:$B$3004,AL$4,Acuses!$C$5:$C$3004,AL$5),AL$8)&lt;Resumen!$C$4,"Caducado",IF(EDATE(_xlfn.MAXIFS(Acuses!$D$5:$D$3004,Acuses!$A$5:$A$3004,$A13,Acuses!$B$5:$B$3004,AL$4,Acuses!$C$5:$C$3004,AL$5),AL$8)&lt;Resumen!$C$4+30,"Caduca pronto","OK"))))))</f>
        <v/>
      </c>
      <c r="AM13" s="26" t="str">
        <f aca="false">IF(OR($A13="",AM$4=""),"",IF(NOT(OR(AM$6="Toda la plantilla",ISNUMBER(SEARCH(";"&amp;SUBSTITUTE($C13," ","")&amp;";",";"&amp;SUBSTITUTE(AM$7," ","")&amp;";")))),"—",IF(_xlfn.MAXIFS(Acuses!$C$5:$C$3004,Acuses!$A$5:$A$3004,$A13,Acuses!$B$5:$B$3004,AM$4)&lt;AM$5,"Pendiente",IF(AM$8=0,"OK",IF(EDATE(_xlfn.MAXIFS(Acuses!$D$5:$D$3004,Acuses!$A$5:$A$3004,$A13,Acuses!$B$5:$B$3004,AM$4,Acuses!$C$5:$C$3004,AM$5),AM$8)&lt;Resumen!$C$4,"Caducado",IF(EDATE(_xlfn.MAXIFS(Acuses!$D$5:$D$3004,Acuses!$A$5:$A$3004,$A13,Acuses!$B$5:$B$3004,AM$4,Acuses!$C$5:$C$3004,AM$5),AM$8)&lt;Resumen!$C$4+30,"Caduca pronto","OK"))))))</f>
        <v/>
      </c>
      <c r="AN13" s="26" t="str">
        <f aca="false">IF(OR($A13="",AN$4=""),"",IF(NOT(OR(AN$6="Toda la plantilla",ISNUMBER(SEARCH(";"&amp;SUBSTITUTE($C13," ","")&amp;";",";"&amp;SUBSTITUTE(AN$7," ","")&amp;";")))),"—",IF(_xlfn.MAXIFS(Acuses!$C$5:$C$3004,Acuses!$A$5:$A$3004,$A13,Acuses!$B$5:$B$3004,AN$4)&lt;AN$5,"Pendiente",IF(AN$8=0,"OK",IF(EDATE(_xlfn.MAXIFS(Acuses!$D$5:$D$3004,Acuses!$A$5:$A$3004,$A13,Acuses!$B$5:$B$3004,AN$4,Acuses!$C$5:$C$3004,AN$5),AN$8)&lt;Resumen!$C$4,"Caducado",IF(EDATE(_xlfn.MAXIFS(Acuses!$D$5:$D$3004,Acuses!$A$5:$A$3004,$A13,Acuses!$B$5:$B$3004,AN$4,Acuses!$C$5:$C$3004,AN$5),AN$8)&lt;Resumen!$C$4+30,"Caduca pronto","OK"))))))</f>
        <v/>
      </c>
      <c r="AO13" s="26" t="str">
        <f aca="false">IF(OR($A13="",AO$4=""),"",IF(NOT(OR(AO$6="Toda la plantilla",ISNUMBER(SEARCH(";"&amp;SUBSTITUTE($C13," ","")&amp;";",";"&amp;SUBSTITUTE(AO$7," ","")&amp;";")))),"—",IF(_xlfn.MAXIFS(Acuses!$C$5:$C$3004,Acuses!$A$5:$A$3004,$A13,Acuses!$B$5:$B$3004,AO$4)&lt;AO$5,"Pendiente",IF(AO$8=0,"OK",IF(EDATE(_xlfn.MAXIFS(Acuses!$D$5:$D$3004,Acuses!$A$5:$A$3004,$A13,Acuses!$B$5:$B$3004,AO$4,Acuses!$C$5:$C$3004,AO$5),AO$8)&lt;Resumen!$C$4,"Caducado",IF(EDATE(_xlfn.MAXIFS(Acuses!$D$5:$D$3004,Acuses!$A$5:$A$3004,$A13,Acuses!$B$5:$B$3004,AO$4,Acuses!$C$5:$C$3004,AO$5),AO$8)&lt;Resumen!$C$4+30,"Caduca pronto","OK"))))))</f>
        <v/>
      </c>
      <c r="AP13" s="26" t="str">
        <f aca="false">IF(OR($A13="",AP$4=""),"",IF(NOT(OR(AP$6="Toda la plantilla",ISNUMBER(SEARCH(";"&amp;SUBSTITUTE($C13," ","")&amp;";",";"&amp;SUBSTITUTE(AP$7," ","")&amp;";")))),"—",IF(_xlfn.MAXIFS(Acuses!$C$5:$C$3004,Acuses!$A$5:$A$3004,$A13,Acuses!$B$5:$B$3004,AP$4)&lt;AP$5,"Pendiente",IF(AP$8=0,"OK",IF(EDATE(_xlfn.MAXIFS(Acuses!$D$5:$D$3004,Acuses!$A$5:$A$3004,$A13,Acuses!$B$5:$B$3004,AP$4,Acuses!$C$5:$C$3004,AP$5),AP$8)&lt;Resumen!$C$4,"Caducado",IF(EDATE(_xlfn.MAXIFS(Acuses!$D$5:$D$3004,Acuses!$A$5:$A$3004,$A13,Acuses!$B$5:$B$3004,AP$4,Acuses!$C$5:$C$3004,AP$5),AP$8)&lt;Resumen!$C$4+30,"Caduca pronto","OK"))))))</f>
        <v/>
      </c>
      <c r="AQ13" s="26" t="str">
        <f aca="false">IF(OR($A13="",AQ$4=""),"",IF(NOT(OR(AQ$6="Toda la plantilla",ISNUMBER(SEARCH(";"&amp;SUBSTITUTE($C13," ","")&amp;";",";"&amp;SUBSTITUTE(AQ$7," ","")&amp;";")))),"—",IF(_xlfn.MAXIFS(Acuses!$C$5:$C$3004,Acuses!$A$5:$A$3004,$A13,Acuses!$B$5:$B$3004,AQ$4)&lt;AQ$5,"Pendiente",IF(AQ$8=0,"OK",IF(EDATE(_xlfn.MAXIFS(Acuses!$D$5:$D$3004,Acuses!$A$5:$A$3004,$A13,Acuses!$B$5:$B$3004,AQ$4,Acuses!$C$5:$C$3004,AQ$5),AQ$8)&lt;Resumen!$C$4,"Caducado",IF(EDATE(_xlfn.MAXIFS(Acuses!$D$5:$D$3004,Acuses!$A$5:$A$3004,$A13,Acuses!$B$5:$B$3004,AQ$4,Acuses!$C$5:$C$3004,AQ$5),AQ$8)&lt;Resumen!$C$4+30,"Caduca pronto","OK"))))))</f>
        <v/>
      </c>
    </row>
    <row r="14" customFormat="false" ht="15" hidden="false" customHeight="false" outlineLevel="0" collapsed="false">
      <c r="A14" s="25" t="str">
        <f aca="false">IF(AND(Trabajadores!$A$9&lt;&gt;"",Trabajadores!$G$9&lt;&gt;"No"),Trabajadores!$A$9,"")</f>
        <v>T005</v>
      </c>
      <c r="B14" s="25" t="str">
        <f aca="false">IF($A14="","",Trabajadores!$B$9)</f>
        <v>Sara Vidal</v>
      </c>
      <c r="C14" s="25" t="str">
        <f aca="false">IF($A14="","",Trabajadores!$C$9)</f>
        <v>Calidad</v>
      </c>
      <c r="D14" s="26" t="str">
        <f aca="false">IF(OR($A14="",D$4=""),"",IF(NOT(OR(D$6="Toda la plantilla",ISNUMBER(SEARCH(";"&amp;SUBSTITUTE($C14," ","")&amp;";",";"&amp;SUBSTITUTE(D$7," ","")&amp;";")))),"—",IF(_xlfn.MAXIFS(Acuses!$C$5:$C$3004,Acuses!$A$5:$A$3004,$A14,Acuses!$B$5:$B$3004,D$4)&lt;D$5,"Pendiente",IF(D$8=0,"OK",IF(EDATE(_xlfn.MAXIFS(Acuses!$D$5:$D$3004,Acuses!$A$5:$A$3004,$A14,Acuses!$B$5:$B$3004,D$4,Acuses!$C$5:$C$3004,D$5),D$8)&lt;Resumen!$C$4,"Caducado",IF(EDATE(_xlfn.MAXIFS(Acuses!$D$5:$D$3004,Acuses!$A$5:$A$3004,$A14,Acuses!$B$5:$B$3004,D$4,Acuses!$C$5:$C$3004,D$5),D$8)&lt;Resumen!$C$4+30,"Caduca pronto","OK"))))))</f>
        <v>OK</v>
      </c>
      <c r="E14" s="26" t="str">
        <f aca="false">IF(OR($A14="",E$4=""),"",IF(NOT(OR(E$6="Toda la plantilla",ISNUMBER(SEARCH(";"&amp;SUBSTITUTE($C14," ","")&amp;";",";"&amp;SUBSTITUTE(E$7," ","")&amp;";")))),"—",IF(_xlfn.MAXIFS(Acuses!$C$5:$C$3004,Acuses!$A$5:$A$3004,$A14,Acuses!$B$5:$B$3004,E$4)&lt;E$5,"Pendiente",IF(E$8=0,"OK",IF(EDATE(_xlfn.MAXIFS(Acuses!$D$5:$D$3004,Acuses!$A$5:$A$3004,$A14,Acuses!$B$5:$B$3004,E$4,Acuses!$C$5:$C$3004,E$5),E$8)&lt;Resumen!$C$4,"Caducado",IF(EDATE(_xlfn.MAXIFS(Acuses!$D$5:$D$3004,Acuses!$A$5:$A$3004,$A14,Acuses!$B$5:$B$3004,E$4,Acuses!$C$5:$C$3004,E$5),E$8)&lt;Resumen!$C$4+30,"Caduca pronto","OK"))))))</f>
        <v>—</v>
      </c>
      <c r="F14" s="26" t="str">
        <f aca="false">IF(OR($A14="",F$4=""),"",IF(NOT(OR(F$6="Toda la plantilla",ISNUMBER(SEARCH(";"&amp;SUBSTITUTE($C14," ","")&amp;";",";"&amp;SUBSTITUTE(F$7," ","")&amp;";")))),"—",IF(_xlfn.MAXIFS(Acuses!$C$5:$C$3004,Acuses!$A$5:$A$3004,$A14,Acuses!$B$5:$B$3004,F$4)&lt;F$5,"Pendiente",IF(F$8=0,"OK",IF(EDATE(_xlfn.MAXIFS(Acuses!$D$5:$D$3004,Acuses!$A$5:$A$3004,$A14,Acuses!$B$5:$B$3004,F$4,Acuses!$C$5:$C$3004,F$5),F$8)&lt;Resumen!$C$4,"Caducado",IF(EDATE(_xlfn.MAXIFS(Acuses!$D$5:$D$3004,Acuses!$A$5:$A$3004,$A14,Acuses!$B$5:$B$3004,F$4,Acuses!$C$5:$C$3004,F$5),F$8)&lt;Resumen!$C$4+30,"Caduca pronto","OK"))))))</f>
        <v>—</v>
      </c>
      <c r="G14" s="26" t="str">
        <f aca="false">IF(OR($A14="",G$4=""),"",IF(NOT(OR(G$6="Toda la plantilla",ISNUMBER(SEARCH(";"&amp;SUBSTITUTE($C14," ","")&amp;";",";"&amp;SUBSTITUTE(G$7," ","")&amp;";")))),"—",IF(_xlfn.MAXIFS(Acuses!$C$5:$C$3004,Acuses!$A$5:$A$3004,$A14,Acuses!$B$5:$B$3004,G$4)&lt;G$5,"Pendiente",IF(G$8=0,"OK",IF(EDATE(_xlfn.MAXIFS(Acuses!$D$5:$D$3004,Acuses!$A$5:$A$3004,$A14,Acuses!$B$5:$B$3004,G$4,Acuses!$C$5:$C$3004,G$5),G$8)&lt;Resumen!$C$4,"Caducado",IF(EDATE(_xlfn.MAXIFS(Acuses!$D$5:$D$3004,Acuses!$A$5:$A$3004,$A14,Acuses!$B$5:$B$3004,G$4,Acuses!$C$5:$C$3004,G$5),G$8)&lt;Resumen!$C$4+30,"Caduca pronto","OK"))))))</f>
        <v>—</v>
      </c>
      <c r="H14" s="26" t="str">
        <f aca="false">IF(OR($A14="",H$4=""),"",IF(NOT(OR(H$6="Toda la plantilla",ISNUMBER(SEARCH(";"&amp;SUBSTITUTE($C14," ","")&amp;";",";"&amp;SUBSTITUTE(H$7," ","")&amp;";")))),"—",IF(_xlfn.MAXIFS(Acuses!$C$5:$C$3004,Acuses!$A$5:$A$3004,$A14,Acuses!$B$5:$B$3004,H$4)&lt;H$5,"Pendiente",IF(H$8=0,"OK",IF(EDATE(_xlfn.MAXIFS(Acuses!$D$5:$D$3004,Acuses!$A$5:$A$3004,$A14,Acuses!$B$5:$B$3004,H$4,Acuses!$C$5:$C$3004,H$5),H$8)&lt;Resumen!$C$4,"Caducado",IF(EDATE(_xlfn.MAXIFS(Acuses!$D$5:$D$3004,Acuses!$A$5:$A$3004,$A14,Acuses!$B$5:$B$3004,H$4,Acuses!$C$5:$C$3004,H$5),H$8)&lt;Resumen!$C$4+30,"Caduca pronto","OK"))))))</f>
        <v>—</v>
      </c>
      <c r="I14" s="26" t="str">
        <f aca="false">IF(OR($A14="",I$4=""),"",IF(NOT(OR(I$6="Toda la plantilla",ISNUMBER(SEARCH(";"&amp;SUBSTITUTE($C14," ","")&amp;";",";"&amp;SUBSTITUTE(I$7," ","")&amp;";")))),"—",IF(_xlfn.MAXIFS(Acuses!$C$5:$C$3004,Acuses!$A$5:$A$3004,$A14,Acuses!$B$5:$B$3004,I$4)&lt;I$5,"Pendiente",IF(I$8=0,"OK",IF(EDATE(_xlfn.MAXIFS(Acuses!$D$5:$D$3004,Acuses!$A$5:$A$3004,$A14,Acuses!$B$5:$B$3004,I$4,Acuses!$C$5:$C$3004,I$5),I$8)&lt;Resumen!$C$4,"Caducado",IF(EDATE(_xlfn.MAXIFS(Acuses!$D$5:$D$3004,Acuses!$A$5:$A$3004,$A14,Acuses!$B$5:$B$3004,I$4,Acuses!$C$5:$C$3004,I$5),I$8)&lt;Resumen!$C$4+30,"Caduca pronto","OK"))))))</f>
        <v>—</v>
      </c>
      <c r="J14" s="26" t="str">
        <f aca="false">IF(OR($A14="",J$4=""),"",IF(NOT(OR(J$6="Toda la plantilla",ISNUMBER(SEARCH(";"&amp;SUBSTITUTE($C14," ","")&amp;";",";"&amp;SUBSTITUTE(J$7," ","")&amp;";")))),"—",IF(_xlfn.MAXIFS(Acuses!$C$5:$C$3004,Acuses!$A$5:$A$3004,$A14,Acuses!$B$5:$B$3004,J$4)&lt;J$5,"Pendiente",IF(J$8=0,"OK",IF(EDATE(_xlfn.MAXIFS(Acuses!$D$5:$D$3004,Acuses!$A$5:$A$3004,$A14,Acuses!$B$5:$B$3004,J$4,Acuses!$C$5:$C$3004,J$5),J$8)&lt;Resumen!$C$4,"Caducado",IF(EDATE(_xlfn.MAXIFS(Acuses!$D$5:$D$3004,Acuses!$A$5:$A$3004,$A14,Acuses!$B$5:$B$3004,J$4,Acuses!$C$5:$C$3004,J$5),J$8)&lt;Resumen!$C$4+30,"Caduca pronto","OK"))))))</f>
        <v>OK</v>
      </c>
      <c r="K14" s="26" t="str">
        <f aca="false">IF(OR($A14="",K$4=""),"",IF(NOT(OR(K$6="Toda la plantilla",ISNUMBER(SEARCH(";"&amp;SUBSTITUTE($C14," ","")&amp;";",";"&amp;SUBSTITUTE(K$7," ","")&amp;";")))),"—",IF(_xlfn.MAXIFS(Acuses!$C$5:$C$3004,Acuses!$A$5:$A$3004,$A14,Acuses!$B$5:$B$3004,K$4)&lt;K$5,"Pendiente",IF(K$8=0,"OK",IF(EDATE(_xlfn.MAXIFS(Acuses!$D$5:$D$3004,Acuses!$A$5:$A$3004,$A14,Acuses!$B$5:$B$3004,K$4,Acuses!$C$5:$C$3004,K$5),K$8)&lt;Resumen!$C$4,"Caducado",IF(EDATE(_xlfn.MAXIFS(Acuses!$D$5:$D$3004,Acuses!$A$5:$A$3004,$A14,Acuses!$B$5:$B$3004,K$4,Acuses!$C$5:$C$3004,K$5),K$8)&lt;Resumen!$C$4+30,"Caduca pronto","OK"))))))</f>
        <v>OK</v>
      </c>
      <c r="L14" s="26" t="str">
        <f aca="false">IF(OR($A14="",L$4=""),"",IF(NOT(OR(L$6="Toda la plantilla",ISNUMBER(SEARCH(";"&amp;SUBSTITUTE($C14," ","")&amp;";",";"&amp;SUBSTITUTE(L$7," ","")&amp;";")))),"—",IF(_xlfn.MAXIFS(Acuses!$C$5:$C$3004,Acuses!$A$5:$A$3004,$A14,Acuses!$B$5:$B$3004,L$4)&lt;L$5,"Pendiente",IF(L$8=0,"OK",IF(EDATE(_xlfn.MAXIFS(Acuses!$D$5:$D$3004,Acuses!$A$5:$A$3004,$A14,Acuses!$B$5:$B$3004,L$4,Acuses!$C$5:$C$3004,L$5),L$8)&lt;Resumen!$C$4,"Caducado",IF(EDATE(_xlfn.MAXIFS(Acuses!$D$5:$D$3004,Acuses!$A$5:$A$3004,$A14,Acuses!$B$5:$B$3004,L$4,Acuses!$C$5:$C$3004,L$5),L$8)&lt;Resumen!$C$4+30,"Caduca pronto","OK"))))))</f>
        <v/>
      </c>
      <c r="M14" s="26" t="str">
        <f aca="false">IF(OR($A14="",M$4=""),"",IF(NOT(OR(M$6="Toda la plantilla",ISNUMBER(SEARCH(";"&amp;SUBSTITUTE($C14," ","")&amp;";",";"&amp;SUBSTITUTE(M$7," ","")&amp;";")))),"—",IF(_xlfn.MAXIFS(Acuses!$C$5:$C$3004,Acuses!$A$5:$A$3004,$A14,Acuses!$B$5:$B$3004,M$4)&lt;M$5,"Pendiente",IF(M$8=0,"OK",IF(EDATE(_xlfn.MAXIFS(Acuses!$D$5:$D$3004,Acuses!$A$5:$A$3004,$A14,Acuses!$B$5:$B$3004,M$4,Acuses!$C$5:$C$3004,M$5),M$8)&lt;Resumen!$C$4,"Caducado",IF(EDATE(_xlfn.MAXIFS(Acuses!$D$5:$D$3004,Acuses!$A$5:$A$3004,$A14,Acuses!$B$5:$B$3004,M$4,Acuses!$C$5:$C$3004,M$5),M$8)&lt;Resumen!$C$4+30,"Caduca pronto","OK"))))))</f>
        <v/>
      </c>
      <c r="N14" s="26" t="str">
        <f aca="false">IF(OR($A14="",N$4=""),"",IF(NOT(OR(N$6="Toda la plantilla",ISNUMBER(SEARCH(";"&amp;SUBSTITUTE($C14," ","")&amp;";",";"&amp;SUBSTITUTE(N$7," ","")&amp;";")))),"—",IF(_xlfn.MAXIFS(Acuses!$C$5:$C$3004,Acuses!$A$5:$A$3004,$A14,Acuses!$B$5:$B$3004,N$4)&lt;N$5,"Pendiente",IF(N$8=0,"OK",IF(EDATE(_xlfn.MAXIFS(Acuses!$D$5:$D$3004,Acuses!$A$5:$A$3004,$A14,Acuses!$B$5:$B$3004,N$4,Acuses!$C$5:$C$3004,N$5),N$8)&lt;Resumen!$C$4,"Caducado",IF(EDATE(_xlfn.MAXIFS(Acuses!$D$5:$D$3004,Acuses!$A$5:$A$3004,$A14,Acuses!$B$5:$B$3004,N$4,Acuses!$C$5:$C$3004,N$5),N$8)&lt;Resumen!$C$4+30,"Caduca pronto","OK"))))))</f>
        <v/>
      </c>
      <c r="O14" s="26" t="str">
        <f aca="false">IF(OR($A14="",O$4=""),"",IF(NOT(OR(O$6="Toda la plantilla",ISNUMBER(SEARCH(";"&amp;SUBSTITUTE($C14," ","")&amp;";",";"&amp;SUBSTITUTE(O$7," ","")&amp;";")))),"—",IF(_xlfn.MAXIFS(Acuses!$C$5:$C$3004,Acuses!$A$5:$A$3004,$A14,Acuses!$B$5:$B$3004,O$4)&lt;O$5,"Pendiente",IF(O$8=0,"OK",IF(EDATE(_xlfn.MAXIFS(Acuses!$D$5:$D$3004,Acuses!$A$5:$A$3004,$A14,Acuses!$B$5:$B$3004,O$4,Acuses!$C$5:$C$3004,O$5),O$8)&lt;Resumen!$C$4,"Caducado",IF(EDATE(_xlfn.MAXIFS(Acuses!$D$5:$D$3004,Acuses!$A$5:$A$3004,$A14,Acuses!$B$5:$B$3004,O$4,Acuses!$C$5:$C$3004,O$5),O$8)&lt;Resumen!$C$4+30,"Caduca pronto","OK"))))))</f>
        <v/>
      </c>
      <c r="P14" s="26" t="str">
        <f aca="false">IF(OR($A14="",P$4=""),"",IF(NOT(OR(P$6="Toda la plantilla",ISNUMBER(SEARCH(";"&amp;SUBSTITUTE($C14," ","")&amp;";",";"&amp;SUBSTITUTE(P$7," ","")&amp;";")))),"—",IF(_xlfn.MAXIFS(Acuses!$C$5:$C$3004,Acuses!$A$5:$A$3004,$A14,Acuses!$B$5:$B$3004,P$4)&lt;P$5,"Pendiente",IF(P$8=0,"OK",IF(EDATE(_xlfn.MAXIFS(Acuses!$D$5:$D$3004,Acuses!$A$5:$A$3004,$A14,Acuses!$B$5:$B$3004,P$4,Acuses!$C$5:$C$3004,P$5),P$8)&lt;Resumen!$C$4,"Caducado",IF(EDATE(_xlfn.MAXIFS(Acuses!$D$5:$D$3004,Acuses!$A$5:$A$3004,$A14,Acuses!$B$5:$B$3004,P$4,Acuses!$C$5:$C$3004,P$5),P$8)&lt;Resumen!$C$4+30,"Caduca pronto","OK"))))))</f>
        <v/>
      </c>
      <c r="Q14" s="26" t="str">
        <f aca="false">IF(OR($A14="",Q$4=""),"",IF(NOT(OR(Q$6="Toda la plantilla",ISNUMBER(SEARCH(";"&amp;SUBSTITUTE($C14," ","")&amp;";",";"&amp;SUBSTITUTE(Q$7," ","")&amp;";")))),"—",IF(_xlfn.MAXIFS(Acuses!$C$5:$C$3004,Acuses!$A$5:$A$3004,$A14,Acuses!$B$5:$B$3004,Q$4)&lt;Q$5,"Pendiente",IF(Q$8=0,"OK",IF(EDATE(_xlfn.MAXIFS(Acuses!$D$5:$D$3004,Acuses!$A$5:$A$3004,$A14,Acuses!$B$5:$B$3004,Q$4,Acuses!$C$5:$C$3004,Q$5),Q$8)&lt;Resumen!$C$4,"Caducado",IF(EDATE(_xlfn.MAXIFS(Acuses!$D$5:$D$3004,Acuses!$A$5:$A$3004,$A14,Acuses!$B$5:$B$3004,Q$4,Acuses!$C$5:$C$3004,Q$5),Q$8)&lt;Resumen!$C$4+30,"Caduca pronto","OK"))))))</f>
        <v/>
      </c>
      <c r="R14" s="26" t="str">
        <f aca="false">IF(OR($A14="",R$4=""),"",IF(NOT(OR(R$6="Toda la plantilla",ISNUMBER(SEARCH(";"&amp;SUBSTITUTE($C14," ","")&amp;";",";"&amp;SUBSTITUTE(R$7," ","")&amp;";")))),"—",IF(_xlfn.MAXIFS(Acuses!$C$5:$C$3004,Acuses!$A$5:$A$3004,$A14,Acuses!$B$5:$B$3004,R$4)&lt;R$5,"Pendiente",IF(R$8=0,"OK",IF(EDATE(_xlfn.MAXIFS(Acuses!$D$5:$D$3004,Acuses!$A$5:$A$3004,$A14,Acuses!$B$5:$B$3004,R$4,Acuses!$C$5:$C$3004,R$5),R$8)&lt;Resumen!$C$4,"Caducado",IF(EDATE(_xlfn.MAXIFS(Acuses!$D$5:$D$3004,Acuses!$A$5:$A$3004,$A14,Acuses!$B$5:$B$3004,R$4,Acuses!$C$5:$C$3004,R$5),R$8)&lt;Resumen!$C$4+30,"Caduca pronto","OK"))))))</f>
        <v/>
      </c>
      <c r="S14" s="26" t="str">
        <f aca="false">IF(OR($A14="",S$4=""),"",IF(NOT(OR(S$6="Toda la plantilla",ISNUMBER(SEARCH(";"&amp;SUBSTITUTE($C14," ","")&amp;";",";"&amp;SUBSTITUTE(S$7," ","")&amp;";")))),"—",IF(_xlfn.MAXIFS(Acuses!$C$5:$C$3004,Acuses!$A$5:$A$3004,$A14,Acuses!$B$5:$B$3004,S$4)&lt;S$5,"Pendiente",IF(S$8=0,"OK",IF(EDATE(_xlfn.MAXIFS(Acuses!$D$5:$D$3004,Acuses!$A$5:$A$3004,$A14,Acuses!$B$5:$B$3004,S$4,Acuses!$C$5:$C$3004,S$5),S$8)&lt;Resumen!$C$4,"Caducado",IF(EDATE(_xlfn.MAXIFS(Acuses!$D$5:$D$3004,Acuses!$A$5:$A$3004,$A14,Acuses!$B$5:$B$3004,S$4,Acuses!$C$5:$C$3004,S$5),S$8)&lt;Resumen!$C$4+30,"Caduca pronto","OK"))))))</f>
        <v/>
      </c>
      <c r="T14" s="26" t="str">
        <f aca="false">IF(OR($A14="",T$4=""),"",IF(NOT(OR(T$6="Toda la plantilla",ISNUMBER(SEARCH(";"&amp;SUBSTITUTE($C14," ","")&amp;";",";"&amp;SUBSTITUTE(T$7," ","")&amp;";")))),"—",IF(_xlfn.MAXIFS(Acuses!$C$5:$C$3004,Acuses!$A$5:$A$3004,$A14,Acuses!$B$5:$B$3004,T$4)&lt;T$5,"Pendiente",IF(T$8=0,"OK",IF(EDATE(_xlfn.MAXIFS(Acuses!$D$5:$D$3004,Acuses!$A$5:$A$3004,$A14,Acuses!$B$5:$B$3004,T$4,Acuses!$C$5:$C$3004,T$5),T$8)&lt;Resumen!$C$4,"Caducado",IF(EDATE(_xlfn.MAXIFS(Acuses!$D$5:$D$3004,Acuses!$A$5:$A$3004,$A14,Acuses!$B$5:$B$3004,T$4,Acuses!$C$5:$C$3004,T$5),T$8)&lt;Resumen!$C$4+30,"Caduca pronto","OK"))))))</f>
        <v/>
      </c>
      <c r="U14" s="26" t="str">
        <f aca="false">IF(OR($A14="",U$4=""),"",IF(NOT(OR(U$6="Toda la plantilla",ISNUMBER(SEARCH(";"&amp;SUBSTITUTE($C14," ","")&amp;";",";"&amp;SUBSTITUTE(U$7," ","")&amp;";")))),"—",IF(_xlfn.MAXIFS(Acuses!$C$5:$C$3004,Acuses!$A$5:$A$3004,$A14,Acuses!$B$5:$B$3004,U$4)&lt;U$5,"Pendiente",IF(U$8=0,"OK",IF(EDATE(_xlfn.MAXIFS(Acuses!$D$5:$D$3004,Acuses!$A$5:$A$3004,$A14,Acuses!$B$5:$B$3004,U$4,Acuses!$C$5:$C$3004,U$5),U$8)&lt;Resumen!$C$4,"Caducado",IF(EDATE(_xlfn.MAXIFS(Acuses!$D$5:$D$3004,Acuses!$A$5:$A$3004,$A14,Acuses!$B$5:$B$3004,U$4,Acuses!$C$5:$C$3004,U$5),U$8)&lt;Resumen!$C$4+30,"Caduca pronto","OK"))))))</f>
        <v/>
      </c>
      <c r="V14" s="26" t="str">
        <f aca="false">IF(OR($A14="",V$4=""),"",IF(NOT(OR(V$6="Toda la plantilla",ISNUMBER(SEARCH(";"&amp;SUBSTITUTE($C14," ","")&amp;";",";"&amp;SUBSTITUTE(V$7," ","")&amp;";")))),"—",IF(_xlfn.MAXIFS(Acuses!$C$5:$C$3004,Acuses!$A$5:$A$3004,$A14,Acuses!$B$5:$B$3004,V$4)&lt;V$5,"Pendiente",IF(V$8=0,"OK",IF(EDATE(_xlfn.MAXIFS(Acuses!$D$5:$D$3004,Acuses!$A$5:$A$3004,$A14,Acuses!$B$5:$B$3004,V$4,Acuses!$C$5:$C$3004,V$5),V$8)&lt;Resumen!$C$4,"Caducado",IF(EDATE(_xlfn.MAXIFS(Acuses!$D$5:$D$3004,Acuses!$A$5:$A$3004,$A14,Acuses!$B$5:$B$3004,V$4,Acuses!$C$5:$C$3004,V$5),V$8)&lt;Resumen!$C$4+30,"Caduca pronto","OK"))))))</f>
        <v/>
      </c>
      <c r="W14" s="26" t="str">
        <f aca="false">IF(OR($A14="",W$4=""),"",IF(NOT(OR(W$6="Toda la plantilla",ISNUMBER(SEARCH(";"&amp;SUBSTITUTE($C14," ","")&amp;";",";"&amp;SUBSTITUTE(W$7," ","")&amp;";")))),"—",IF(_xlfn.MAXIFS(Acuses!$C$5:$C$3004,Acuses!$A$5:$A$3004,$A14,Acuses!$B$5:$B$3004,W$4)&lt;W$5,"Pendiente",IF(W$8=0,"OK",IF(EDATE(_xlfn.MAXIFS(Acuses!$D$5:$D$3004,Acuses!$A$5:$A$3004,$A14,Acuses!$B$5:$B$3004,W$4,Acuses!$C$5:$C$3004,W$5),W$8)&lt;Resumen!$C$4,"Caducado",IF(EDATE(_xlfn.MAXIFS(Acuses!$D$5:$D$3004,Acuses!$A$5:$A$3004,$A14,Acuses!$B$5:$B$3004,W$4,Acuses!$C$5:$C$3004,W$5),W$8)&lt;Resumen!$C$4+30,"Caduca pronto","OK"))))))</f>
        <v/>
      </c>
      <c r="X14" s="26" t="str">
        <f aca="false">IF(OR($A14="",X$4=""),"",IF(NOT(OR(X$6="Toda la plantilla",ISNUMBER(SEARCH(";"&amp;SUBSTITUTE($C14," ","")&amp;";",";"&amp;SUBSTITUTE(X$7," ","")&amp;";")))),"—",IF(_xlfn.MAXIFS(Acuses!$C$5:$C$3004,Acuses!$A$5:$A$3004,$A14,Acuses!$B$5:$B$3004,X$4)&lt;X$5,"Pendiente",IF(X$8=0,"OK",IF(EDATE(_xlfn.MAXIFS(Acuses!$D$5:$D$3004,Acuses!$A$5:$A$3004,$A14,Acuses!$B$5:$B$3004,X$4,Acuses!$C$5:$C$3004,X$5),X$8)&lt;Resumen!$C$4,"Caducado",IF(EDATE(_xlfn.MAXIFS(Acuses!$D$5:$D$3004,Acuses!$A$5:$A$3004,$A14,Acuses!$B$5:$B$3004,X$4,Acuses!$C$5:$C$3004,X$5),X$8)&lt;Resumen!$C$4+30,"Caduca pronto","OK"))))))</f>
        <v/>
      </c>
      <c r="Y14" s="26" t="str">
        <f aca="false">IF(OR($A14="",Y$4=""),"",IF(NOT(OR(Y$6="Toda la plantilla",ISNUMBER(SEARCH(";"&amp;SUBSTITUTE($C14," ","")&amp;";",";"&amp;SUBSTITUTE(Y$7," ","")&amp;";")))),"—",IF(_xlfn.MAXIFS(Acuses!$C$5:$C$3004,Acuses!$A$5:$A$3004,$A14,Acuses!$B$5:$B$3004,Y$4)&lt;Y$5,"Pendiente",IF(Y$8=0,"OK",IF(EDATE(_xlfn.MAXIFS(Acuses!$D$5:$D$3004,Acuses!$A$5:$A$3004,$A14,Acuses!$B$5:$B$3004,Y$4,Acuses!$C$5:$C$3004,Y$5),Y$8)&lt;Resumen!$C$4,"Caducado",IF(EDATE(_xlfn.MAXIFS(Acuses!$D$5:$D$3004,Acuses!$A$5:$A$3004,$A14,Acuses!$B$5:$B$3004,Y$4,Acuses!$C$5:$C$3004,Y$5),Y$8)&lt;Resumen!$C$4+30,"Caduca pronto","OK"))))))</f>
        <v/>
      </c>
      <c r="Z14" s="26" t="str">
        <f aca="false">IF(OR($A14="",Z$4=""),"",IF(NOT(OR(Z$6="Toda la plantilla",ISNUMBER(SEARCH(";"&amp;SUBSTITUTE($C14," ","")&amp;";",";"&amp;SUBSTITUTE(Z$7," ","")&amp;";")))),"—",IF(_xlfn.MAXIFS(Acuses!$C$5:$C$3004,Acuses!$A$5:$A$3004,$A14,Acuses!$B$5:$B$3004,Z$4)&lt;Z$5,"Pendiente",IF(Z$8=0,"OK",IF(EDATE(_xlfn.MAXIFS(Acuses!$D$5:$D$3004,Acuses!$A$5:$A$3004,$A14,Acuses!$B$5:$B$3004,Z$4,Acuses!$C$5:$C$3004,Z$5),Z$8)&lt;Resumen!$C$4,"Caducado",IF(EDATE(_xlfn.MAXIFS(Acuses!$D$5:$D$3004,Acuses!$A$5:$A$3004,$A14,Acuses!$B$5:$B$3004,Z$4,Acuses!$C$5:$C$3004,Z$5),Z$8)&lt;Resumen!$C$4+30,"Caduca pronto","OK"))))))</f>
        <v/>
      </c>
      <c r="AA14" s="26" t="str">
        <f aca="false">IF(OR($A14="",AA$4=""),"",IF(NOT(OR(AA$6="Toda la plantilla",ISNUMBER(SEARCH(";"&amp;SUBSTITUTE($C14," ","")&amp;";",";"&amp;SUBSTITUTE(AA$7," ","")&amp;";")))),"—",IF(_xlfn.MAXIFS(Acuses!$C$5:$C$3004,Acuses!$A$5:$A$3004,$A14,Acuses!$B$5:$B$3004,AA$4)&lt;AA$5,"Pendiente",IF(AA$8=0,"OK",IF(EDATE(_xlfn.MAXIFS(Acuses!$D$5:$D$3004,Acuses!$A$5:$A$3004,$A14,Acuses!$B$5:$B$3004,AA$4,Acuses!$C$5:$C$3004,AA$5),AA$8)&lt;Resumen!$C$4,"Caducado",IF(EDATE(_xlfn.MAXIFS(Acuses!$D$5:$D$3004,Acuses!$A$5:$A$3004,$A14,Acuses!$B$5:$B$3004,AA$4,Acuses!$C$5:$C$3004,AA$5),AA$8)&lt;Resumen!$C$4+30,"Caduca pronto","OK"))))))</f>
        <v/>
      </c>
      <c r="AB14" s="26" t="str">
        <f aca="false">IF(OR($A14="",AB$4=""),"",IF(NOT(OR(AB$6="Toda la plantilla",ISNUMBER(SEARCH(";"&amp;SUBSTITUTE($C14," ","")&amp;";",";"&amp;SUBSTITUTE(AB$7," ","")&amp;";")))),"—",IF(_xlfn.MAXIFS(Acuses!$C$5:$C$3004,Acuses!$A$5:$A$3004,$A14,Acuses!$B$5:$B$3004,AB$4)&lt;AB$5,"Pendiente",IF(AB$8=0,"OK",IF(EDATE(_xlfn.MAXIFS(Acuses!$D$5:$D$3004,Acuses!$A$5:$A$3004,$A14,Acuses!$B$5:$B$3004,AB$4,Acuses!$C$5:$C$3004,AB$5),AB$8)&lt;Resumen!$C$4,"Caducado",IF(EDATE(_xlfn.MAXIFS(Acuses!$D$5:$D$3004,Acuses!$A$5:$A$3004,$A14,Acuses!$B$5:$B$3004,AB$4,Acuses!$C$5:$C$3004,AB$5),AB$8)&lt;Resumen!$C$4+30,"Caduca pronto","OK"))))))</f>
        <v/>
      </c>
      <c r="AC14" s="26" t="str">
        <f aca="false">IF(OR($A14="",AC$4=""),"",IF(NOT(OR(AC$6="Toda la plantilla",ISNUMBER(SEARCH(";"&amp;SUBSTITUTE($C14," ","")&amp;";",";"&amp;SUBSTITUTE(AC$7," ","")&amp;";")))),"—",IF(_xlfn.MAXIFS(Acuses!$C$5:$C$3004,Acuses!$A$5:$A$3004,$A14,Acuses!$B$5:$B$3004,AC$4)&lt;AC$5,"Pendiente",IF(AC$8=0,"OK",IF(EDATE(_xlfn.MAXIFS(Acuses!$D$5:$D$3004,Acuses!$A$5:$A$3004,$A14,Acuses!$B$5:$B$3004,AC$4,Acuses!$C$5:$C$3004,AC$5),AC$8)&lt;Resumen!$C$4,"Caducado",IF(EDATE(_xlfn.MAXIFS(Acuses!$D$5:$D$3004,Acuses!$A$5:$A$3004,$A14,Acuses!$B$5:$B$3004,AC$4,Acuses!$C$5:$C$3004,AC$5),AC$8)&lt;Resumen!$C$4+30,"Caduca pronto","OK"))))))</f>
        <v/>
      </c>
      <c r="AD14" s="26" t="str">
        <f aca="false">IF(OR($A14="",AD$4=""),"",IF(NOT(OR(AD$6="Toda la plantilla",ISNUMBER(SEARCH(";"&amp;SUBSTITUTE($C14," ","")&amp;";",";"&amp;SUBSTITUTE(AD$7," ","")&amp;";")))),"—",IF(_xlfn.MAXIFS(Acuses!$C$5:$C$3004,Acuses!$A$5:$A$3004,$A14,Acuses!$B$5:$B$3004,AD$4)&lt;AD$5,"Pendiente",IF(AD$8=0,"OK",IF(EDATE(_xlfn.MAXIFS(Acuses!$D$5:$D$3004,Acuses!$A$5:$A$3004,$A14,Acuses!$B$5:$B$3004,AD$4,Acuses!$C$5:$C$3004,AD$5),AD$8)&lt;Resumen!$C$4,"Caducado",IF(EDATE(_xlfn.MAXIFS(Acuses!$D$5:$D$3004,Acuses!$A$5:$A$3004,$A14,Acuses!$B$5:$B$3004,AD$4,Acuses!$C$5:$C$3004,AD$5),AD$8)&lt;Resumen!$C$4+30,"Caduca pronto","OK"))))))</f>
        <v/>
      </c>
      <c r="AE14" s="26" t="str">
        <f aca="false">IF(OR($A14="",AE$4=""),"",IF(NOT(OR(AE$6="Toda la plantilla",ISNUMBER(SEARCH(";"&amp;SUBSTITUTE($C14," ","")&amp;";",";"&amp;SUBSTITUTE(AE$7," ","")&amp;";")))),"—",IF(_xlfn.MAXIFS(Acuses!$C$5:$C$3004,Acuses!$A$5:$A$3004,$A14,Acuses!$B$5:$B$3004,AE$4)&lt;AE$5,"Pendiente",IF(AE$8=0,"OK",IF(EDATE(_xlfn.MAXIFS(Acuses!$D$5:$D$3004,Acuses!$A$5:$A$3004,$A14,Acuses!$B$5:$B$3004,AE$4,Acuses!$C$5:$C$3004,AE$5),AE$8)&lt;Resumen!$C$4,"Caducado",IF(EDATE(_xlfn.MAXIFS(Acuses!$D$5:$D$3004,Acuses!$A$5:$A$3004,$A14,Acuses!$B$5:$B$3004,AE$4,Acuses!$C$5:$C$3004,AE$5),AE$8)&lt;Resumen!$C$4+30,"Caduca pronto","OK"))))))</f>
        <v/>
      </c>
      <c r="AF14" s="26" t="str">
        <f aca="false">IF(OR($A14="",AF$4=""),"",IF(NOT(OR(AF$6="Toda la plantilla",ISNUMBER(SEARCH(";"&amp;SUBSTITUTE($C14," ","")&amp;";",";"&amp;SUBSTITUTE(AF$7," ","")&amp;";")))),"—",IF(_xlfn.MAXIFS(Acuses!$C$5:$C$3004,Acuses!$A$5:$A$3004,$A14,Acuses!$B$5:$B$3004,AF$4)&lt;AF$5,"Pendiente",IF(AF$8=0,"OK",IF(EDATE(_xlfn.MAXIFS(Acuses!$D$5:$D$3004,Acuses!$A$5:$A$3004,$A14,Acuses!$B$5:$B$3004,AF$4,Acuses!$C$5:$C$3004,AF$5),AF$8)&lt;Resumen!$C$4,"Caducado",IF(EDATE(_xlfn.MAXIFS(Acuses!$D$5:$D$3004,Acuses!$A$5:$A$3004,$A14,Acuses!$B$5:$B$3004,AF$4,Acuses!$C$5:$C$3004,AF$5),AF$8)&lt;Resumen!$C$4+30,"Caduca pronto","OK"))))))</f>
        <v/>
      </c>
      <c r="AG14" s="26" t="str">
        <f aca="false">IF(OR($A14="",AG$4=""),"",IF(NOT(OR(AG$6="Toda la plantilla",ISNUMBER(SEARCH(";"&amp;SUBSTITUTE($C14," ","")&amp;";",";"&amp;SUBSTITUTE(AG$7," ","")&amp;";")))),"—",IF(_xlfn.MAXIFS(Acuses!$C$5:$C$3004,Acuses!$A$5:$A$3004,$A14,Acuses!$B$5:$B$3004,AG$4)&lt;AG$5,"Pendiente",IF(AG$8=0,"OK",IF(EDATE(_xlfn.MAXIFS(Acuses!$D$5:$D$3004,Acuses!$A$5:$A$3004,$A14,Acuses!$B$5:$B$3004,AG$4,Acuses!$C$5:$C$3004,AG$5),AG$8)&lt;Resumen!$C$4,"Caducado",IF(EDATE(_xlfn.MAXIFS(Acuses!$D$5:$D$3004,Acuses!$A$5:$A$3004,$A14,Acuses!$B$5:$B$3004,AG$4,Acuses!$C$5:$C$3004,AG$5),AG$8)&lt;Resumen!$C$4+30,"Caduca pronto","OK"))))))</f>
        <v/>
      </c>
      <c r="AH14" s="26" t="str">
        <f aca="false">IF(OR($A14="",AH$4=""),"",IF(NOT(OR(AH$6="Toda la plantilla",ISNUMBER(SEARCH(";"&amp;SUBSTITUTE($C14," ","")&amp;";",";"&amp;SUBSTITUTE(AH$7," ","")&amp;";")))),"—",IF(_xlfn.MAXIFS(Acuses!$C$5:$C$3004,Acuses!$A$5:$A$3004,$A14,Acuses!$B$5:$B$3004,AH$4)&lt;AH$5,"Pendiente",IF(AH$8=0,"OK",IF(EDATE(_xlfn.MAXIFS(Acuses!$D$5:$D$3004,Acuses!$A$5:$A$3004,$A14,Acuses!$B$5:$B$3004,AH$4,Acuses!$C$5:$C$3004,AH$5),AH$8)&lt;Resumen!$C$4,"Caducado",IF(EDATE(_xlfn.MAXIFS(Acuses!$D$5:$D$3004,Acuses!$A$5:$A$3004,$A14,Acuses!$B$5:$B$3004,AH$4,Acuses!$C$5:$C$3004,AH$5),AH$8)&lt;Resumen!$C$4+30,"Caduca pronto","OK"))))))</f>
        <v/>
      </c>
      <c r="AI14" s="26" t="str">
        <f aca="false">IF(OR($A14="",AI$4=""),"",IF(NOT(OR(AI$6="Toda la plantilla",ISNUMBER(SEARCH(";"&amp;SUBSTITUTE($C14," ","")&amp;";",";"&amp;SUBSTITUTE(AI$7," ","")&amp;";")))),"—",IF(_xlfn.MAXIFS(Acuses!$C$5:$C$3004,Acuses!$A$5:$A$3004,$A14,Acuses!$B$5:$B$3004,AI$4)&lt;AI$5,"Pendiente",IF(AI$8=0,"OK",IF(EDATE(_xlfn.MAXIFS(Acuses!$D$5:$D$3004,Acuses!$A$5:$A$3004,$A14,Acuses!$B$5:$B$3004,AI$4,Acuses!$C$5:$C$3004,AI$5),AI$8)&lt;Resumen!$C$4,"Caducado",IF(EDATE(_xlfn.MAXIFS(Acuses!$D$5:$D$3004,Acuses!$A$5:$A$3004,$A14,Acuses!$B$5:$B$3004,AI$4,Acuses!$C$5:$C$3004,AI$5),AI$8)&lt;Resumen!$C$4+30,"Caduca pronto","OK"))))))</f>
        <v/>
      </c>
      <c r="AJ14" s="26" t="str">
        <f aca="false">IF(OR($A14="",AJ$4=""),"",IF(NOT(OR(AJ$6="Toda la plantilla",ISNUMBER(SEARCH(";"&amp;SUBSTITUTE($C14," ","")&amp;";",";"&amp;SUBSTITUTE(AJ$7," ","")&amp;";")))),"—",IF(_xlfn.MAXIFS(Acuses!$C$5:$C$3004,Acuses!$A$5:$A$3004,$A14,Acuses!$B$5:$B$3004,AJ$4)&lt;AJ$5,"Pendiente",IF(AJ$8=0,"OK",IF(EDATE(_xlfn.MAXIFS(Acuses!$D$5:$D$3004,Acuses!$A$5:$A$3004,$A14,Acuses!$B$5:$B$3004,AJ$4,Acuses!$C$5:$C$3004,AJ$5),AJ$8)&lt;Resumen!$C$4,"Caducado",IF(EDATE(_xlfn.MAXIFS(Acuses!$D$5:$D$3004,Acuses!$A$5:$A$3004,$A14,Acuses!$B$5:$B$3004,AJ$4,Acuses!$C$5:$C$3004,AJ$5),AJ$8)&lt;Resumen!$C$4+30,"Caduca pronto","OK"))))))</f>
        <v/>
      </c>
      <c r="AK14" s="26" t="str">
        <f aca="false">IF(OR($A14="",AK$4=""),"",IF(NOT(OR(AK$6="Toda la plantilla",ISNUMBER(SEARCH(";"&amp;SUBSTITUTE($C14," ","")&amp;";",";"&amp;SUBSTITUTE(AK$7," ","")&amp;";")))),"—",IF(_xlfn.MAXIFS(Acuses!$C$5:$C$3004,Acuses!$A$5:$A$3004,$A14,Acuses!$B$5:$B$3004,AK$4)&lt;AK$5,"Pendiente",IF(AK$8=0,"OK",IF(EDATE(_xlfn.MAXIFS(Acuses!$D$5:$D$3004,Acuses!$A$5:$A$3004,$A14,Acuses!$B$5:$B$3004,AK$4,Acuses!$C$5:$C$3004,AK$5),AK$8)&lt;Resumen!$C$4,"Caducado",IF(EDATE(_xlfn.MAXIFS(Acuses!$D$5:$D$3004,Acuses!$A$5:$A$3004,$A14,Acuses!$B$5:$B$3004,AK$4,Acuses!$C$5:$C$3004,AK$5),AK$8)&lt;Resumen!$C$4+30,"Caduca pronto","OK"))))))</f>
        <v/>
      </c>
      <c r="AL14" s="26" t="str">
        <f aca="false">IF(OR($A14="",AL$4=""),"",IF(NOT(OR(AL$6="Toda la plantilla",ISNUMBER(SEARCH(";"&amp;SUBSTITUTE($C14," ","")&amp;";",";"&amp;SUBSTITUTE(AL$7," ","")&amp;";")))),"—",IF(_xlfn.MAXIFS(Acuses!$C$5:$C$3004,Acuses!$A$5:$A$3004,$A14,Acuses!$B$5:$B$3004,AL$4)&lt;AL$5,"Pendiente",IF(AL$8=0,"OK",IF(EDATE(_xlfn.MAXIFS(Acuses!$D$5:$D$3004,Acuses!$A$5:$A$3004,$A14,Acuses!$B$5:$B$3004,AL$4,Acuses!$C$5:$C$3004,AL$5),AL$8)&lt;Resumen!$C$4,"Caducado",IF(EDATE(_xlfn.MAXIFS(Acuses!$D$5:$D$3004,Acuses!$A$5:$A$3004,$A14,Acuses!$B$5:$B$3004,AL$4,Acuses!$C$5:$C$3004,AL$5),AL$8)&lt;Resumen!$C$4+30,"Caduca pronto","OK"))))))</f>
        <v/>
      </c>
      <c r="AM14" s="26" t="str">
        <f aca="false">IF(OR($A14="",AM$4=""),"",IF(NOT(OR(AM$6="Toda la plantilla",ISNUMBER(SEARCH(";"&amp;SUBSTITUTE($C14," ","")&amp;";",";"&amp;SUBSTITUTE(AM$7," ","")&amp;";")))),"—",IF(_xlfn.MAXIFS(Acuses!$C$5:$C$3004,Acuses!$A$5:$A$3004,$A14,Acuses!$B$5:$B$3004,AM$4)&lt;AM$5,"Pendiente",IF(AM$8=0,"OK",IF(EDATE(_xlfn.MAXIFS(Acuses!$D$5:$D$3004,Acuses!$A$5:$A$3004,$A14,Acuses!$B$5:$B$3004,AM$4,Acuses!$C$5:$C$3004,AM$5),AM$8)&lt;Resumen!$C$4,"Caducado",IF(EDATE(_xlfn.MAXIFS(Acuses!$D$5:$D$3004,Acuses!$A$5:$A$3004,$A14,Acuses!$B$5:$B$3004,AM$4,Acuses!$C$5:$C$3004,AM$5),AM$8)&lt;Resumen!$C$4+30,"Caduca pronto","OK"))))))</f>
        <v/>
      </c>
      <c r="AN14" s="26" t="str">
        <f aca="false">IF(OR($A14="",AN$4=""),"",IF(NOT(OR(AN$6="Toda la plantilla",ISNUMBER(SEARCH(";"&amp;SUBSTITUTE($C14," ","")&amp;";",";"&amp;SUBSTITUTE(AN$7," ","")&amp;";")))),"—",IF(_xlfn.MAXIFS(Acuses!$C$5:$C$3004,Acuses!$A$5:$A$3004,$A14,Acuses!$B$5:$B$3004,AN$4)&lt;AN$5,"Pendiente",IF(AN$8=0,"OK",IF(EDATE(_xlfn.MAXIFS(Acuses!$D$5:$D$3004,Acuses!$A$5:$A$3004,$A14,Acuses!$B$5:$B$3004,AN$4,Acuses!$C$5:$C$3004,AN$5),AN$8)&lt;Resumen!$C$4,"Caducado",IF(EDATE(_xlfn.MAXIFS(Acuses!$D$5:$D$3004,Acuses!$A$5:$A$3004,$A14,Acuses!$B$5:$B$3004,AN$4,Acuses!$C$5:$C$3004,AN$5),AN$8)&lt;Resumen!$C$4+30,"Caduca pronto","OK"))))))</f>
        <v/>
      </c>
      <c r="AO14" s="26" t="str">
        <f aca="false">IF(OR($A14="",AO$4=""),"",IF(NOT(OR(AO$6="Toda la plantilla",ISNUMBER(SEARCH(";"&amp;SUBSTITUTE($C14," ","")&amp;";",";"&amp;SUBSTITUTE(AO$7," ","")&amp;";")))),"—",IF(_xlfn.MAXIFS(Acuses!$C$5:$C$3004,Acuses!$A$5:$A$3004,$A14,Acuses!$B$5:$B$3004,AO$4)&lt;AO$5,"Pendiente",IF(AO$8=0,"OK",IF(EDATE(_xlfn.MAXIFS(Acuses!$D$5:$D$3004,Acuses!$A$5:$A$3004,$A14,Acuses!$B$5:$B$3004,AO$4,Acuses!$C$5:$C$3004,AO$5),AO$8)&lt;Resumen!$C$4,"Caducado",IF(EDATE(_xlfn.MAXIFS(Acuses!$D$5:$D$3004,Acuses!$A$5:$A$3004,$A14,Acuses!$B$5:$B$3004,AO$4,Acuses!$C$5:$C$3004,AO$5),AO$8)&lt;Resumen!$C$4+30,"Caduca pronto","OK"))))))</f>
        <v/>
      </c>
      <c r="AP14" s="26" t="str">
        <f aca="false">IF(OR($A14="",AP$4=""),"",IF(NOT(OR(AP$6="Toda la plantilla",ISNUMBER(SEARCH(";"&amp;SUBSTITUTE($C14," ","")&amp;";",";"&amp;SUBSTITUTE(AP$7," ","")&amp;";")))),"—",IF(_xlfn.MAXIFS(Acuses!$C$5:$C$3004,Acuses!$A$5:$A$3004,$A14,Acuses!$B$5:$B$3004,AP$4)&lt;AP$5,"Pendiente",IF(AP$8=0,"OK",IF(EDATE(_xlfn.MAXIFS(Acuses!$D$5:$D$3004,Acuses!$A$5:$A$3004,$A14,Acuses!$B$5:$B$3004,AP$4,Acuses!$C$5:$C$3004,AP$5),AP$8)&lt;Resumen!$C$4,"Caducado",IF(EDATE(_xlfn.MAXIFS(Acuses!$D$5:$D$3004,Acuses!$A$5:$A$3004,$A14,Acuses!$B$5:$B$3004,AP$4,Acuses!$C$5:$C$3004,AP$5),AP$8)&lt;Resumen!$C$4+30,"Caduca pronto","OK"))))))</f>
        <v/>
      </c>
      <c r="AQ14" s="26" t="str">
        <f aca="false">IF(OR($A14="",AQ$4=""),"",IF(NOT(OR(AQ$6="Toda la plantilla",ISNUMBER(SEARCH(";"&amp;SUBSTITUTE($C14," ","")&amp;";",";"&amp;SUBSTITUTE(AQ$7," ","")&amp;";")))),"—",IF(_xlfn.MAXIFS(Acuses!$C$5:$C$3004,Acuses!$A$5:$A$3004,$A14,Acuses!$B$5:$B$3004,AQ$4)&lt;AQ$5,"Pendiente",IF(AQ$8=0,"OK",IF(EDATE(_xlfn.MAXIFS(Acuses!$D$5:$D$3004,Acuses!$A$5:$A$3004,$A14,Acuses!$B$5:$B$3004,AQ$4,Acuses!$C$5:$C$3004,AQ$5),AQ$8)&lt;Resumen!$C$4,"Caducado",IF(EDATE(_xlfn.MAXIFS(Acuses!$D$5:$D$3004,Acuses!$A$5:$A$3004,$A14,Acuses!$B$5:$B$3004,AQ$4,Acuses!$C$5:$C$3004,AQ$5),AQ$8)&lt;Resumen!$C$4+30,"Caduca pronto","OK"))))))</f>
        <v/>
      </c>
    </row>
    <row r="15" customFormat="false" ht="15" hidden="false" customHeight="false" outlineLevel="0" collapsed="false">
      <c r="A15" s="25" t="str">
        <f aca="false">IF(AND(Trabajadores!$A$10&lt;&gt;"",Trabajadores!$G$10&lt;&gt;"No"),Trabajadores!$A$10,"")</f>
        <v>T006</v>
      </c>
      <c r="B15" s="25" t="str">
        <f aca="false">IF($A15="","",Trabajadores!$B$10)</f>
        <v>Jorge Martín</v>
      </c>
      <c r="C15" s="25" t="str">
        <f aca="false">IF($A15="","",Trabajadores!$C$10)</f>
        <v>Logística</v>
      </c>
      <c r="D15" s="26" t="str">
        <f aca="false">IF(OR($A15="",D$4=""),"",IF(NOT(OR(D$6="Toda la plantilla",ISNUMBER(SEARCH(";"&amp;SUBSTITUTE($C15," ","")&amp;";",";"&amp;SUBSTITUTE(D$7," ","")&amp;";")))),"—",IF(_xlfn.MAXIFS(Acuses!$C$5:$C$3004,Acuses!$A$5:$A$3004,$A15,Acuses!$B$5:$B$3004,D$4)&lt;D$5,"Pendiente",IF(D$8=0,"OK",IF(EDATE(_xlfn.MAXIFS(Acuses!$D$5:$D$3004,Acuses!$A$5:$A$3004,$A15,Acuses!$B$5:$B$3004,D$4,Acuses!$C$5:$C$3004,D$5),D$8)&lt;Resumen!$C$4,"Caducado",IF(EDATE(_xlfn.MAXIFS(Acuses!$D$5:$D$3004,Acuses!$A$5:$A$3004,$A15,Acuses!$B$5:$B$3004,D$4,Acuses!$C$5:$C$3004,D$5),D$8)&lt;Resumen!$C$4+30,"Caduca pronto","OK"))))))</f>
        <v>Pendiente</v>
      </c>
      <c r="E15" s="26" t="str">
        <f aca="false">IF(OR($A15="",E$4=""),"",IF(NOT(OR(E$6="Toda la plantilla",ISNUMBER(SEARCH(";"&amp;SUBSTITUTE($C15," ","")&amp;";",";"&amp;SUBSTITUTE(E$7," ","")&amp;";")))),"—",IF(_xlfn.MAXIFS(Acuses!$C$5:$C$3004,Acuses!$A$5:$A$3004,$A15,Acuses!$B$5:$B$3004,E$4)&lt;E$5,"Pendiente",IF(E$8=0,"OK",IF(EDATE(_xlfn.MAXIFS(Acuses!$D$5:$D$3004,Acuses!$A$5:$A$3004,$A15,Acuses!$B$5:$B$3004,E$4,Acuses!$C$5:$C$3004,E$5),E$8)&lt;Resumen!$C$4,"Caducado",IF(EDATE(_xlfn.MAXIFS(Acuses!$D$5:$D$3004,Acuses!$A$5:$A$3004,$A15,Acuses!$B$5:$B$3004,E$4,Acuses!$C$5:$C$3004,E$5),E$8)&lt;Resumen!$C$4+30,"Caduca pronto","OK"))))))</f>
        <v>Caducado</v>
      </c>
      <c r="F15" s="26" t="str">
        <f aca="false">IF(OR($A15="",F$4=""),"",IF(NOT(OR(F$6="Toda la plantilla",ISNUMBER(SEARCH(";"&amp;SUBSTITUTE($C15," ","")&amp;";",";"&amp;SUBSTITUTE(F$7," ","")&amp;";")))),"—",IF(_xlfn.MAXIFS(Acuses!$C$5:$C$3004,Acuses!$A$5:$A$3004,$A15,Acuses!$B$5:$B$3004,F$4)&lt;F$5,"Pendiente",IF(F$8=0,"OK",IF(EDATE(_xlfn.MAXIFS(Acuses!$D$5:$D$3004,Acuses!$A$5:$A$3004,$A15,Acuses!$B$5:$B$3004,F$4,Acuses!$C$5:$C$3004,F$5),F$8)&lt;Resumen!$C$4,"Caducado",IF(EDATE(_xlfn.MAXIFS(Acuses!$D$5:$D$3004,Acuses!$A$5:$A$3004,$A15,Acuses!$B$5:$B$3004,F$4,Acuses!$C$5:$C$3004,F$5),F$8)&lt;Resumen!$C$4+30,"Caduca pronto","OK"))))))</f>
        <v>—</v>
      </c>
      <c r="G15" s="26" t="str">
        <f aca="false">IF(OR($A15="",G$4=""),"",IF(NOT(OR(G$6="Toda la plantilla",ISNUMBER(SEARCH(";"&amp;SUBSTITUTE($C15," ","")&amp;";",";"&amp;SUBSTITUTE(G$7," ","")&amp;";")))),"—",IF(_xlfn.MAXIFS(Acuses!$C$5:$C$3004,Acuses!$A$5:$A$3004,$A15,Acuses!$B$5:$B$3004,G$4)&lt;G$5,"Pendiente",IF(G$8=0,"OK",IF(EDATE(_xlfn.MAXIFS(Acuses!$D$5:$D$3004,Acuses!$A$5:$A$3004,$A15,Acuses!$B$5:$B$3004,G$4,Acuses!$C$5:$C$3004,G$5),G$8)&lt;Resumen!$C$4,"Caducado",IF(EDATE(_xlfn.MAXIFS(Acuses!$D$5:$D$3004,Acuses!$A$5:$A$3004,$A15,Acuses!$B$5:$B$3004,G$4,Acuses!$C$5:$C$3004,G$5),G$8)&lt;Resumen!$C$4+30,"Caduca pronto","OK"))))))</f>
        <v>—</v>
      </c>
      <c r="H15" s="26" t="str">
        <f aca="false">IF(OR($A15="",H$4=""),"",IF(NOT(OR(H$6="Toda la plantilla",ISNUMBER(SEARCH(";"&amp;SUBSTITUTE($C15," ","")&amp;";",";"&amp;SUBSTITUTE(H$7," ","")&amp;";")))),"—",IF(_xlfn.MAXIFS(Acuses!$C$5:$C$3004,Acuses!$A$5:$A$3004,$A15,Acuses!$B$5:$B$3004,H$4)&lt;H$5,"Pendiente",IF(H$8=0,"OK",IF(EDATE(_xlfn.MAXIFS(Acuses!$D$5:$D$3004,Acuses!$A$5:$A$3004,$A15,Acuses!$B$5:$B$3004,H$4,Acuses!$C$5:$C$3004,H$5),H$8)&lt;Resumen!$C$4,"Caducado",IF(EDATE(_xlfn.MAXIFS(Acuses!$D$5:$D$3004,Acuses!$A$5:$A$3004,$A15,Acuses!$B$5:$B$3004,H$4,Acuses!$C$5:$C$3004,H$5),H$8)&lt;Resumen!$C$4+30,"Caduca pronto","OK"))))))</f>
        <v>—</v>
      </c>
      <c r="I15" s="26" t="str">
        <f aca="false">IF(OR($A15="",I$4=""),"",IF(NOT(OR(I$6="Toda la plantilla",ISNUMBER(SEARCH(";"&amp;SUBSTITUTE($C15," ","")&amp;";",";"&amp;SUBSTITUTE(I$7," ","")&amp;";")))),"—",IF(_xlfn.MAXIFS(Acuses!$C$5:$C$3004,Acuses!$A$5:$A$3004,$A15,Acuses!$B$5:$B$3004,I$4)&lt;I$5,"Pendiente",IF(I$8=0,"OK",IF(EDATE(_xlfn.MAXIFS(Acuses!$D$5:$D$3004,Acuses!$A$5:$A$3004,$A15,Acuses!$B$5:$B$3004,I$4,Acuses!$C$5:$C$3004,I$5),I$8)&lt;Resumen!$C$4,"Caducado",IF(EDATE(_xlfn.MAXIFS(Acuses!$D$5:$D$3004,Acuses!$A$5:$A$3004,$A15,Acuses!$B$5:$B$3004,I$4,Acuses!$C$5:$C$3004,I$5),I$8)&lt;Resumen!$C$4+30,"Caduca pronto","OK"))))))</f>
        <v>—</v>
      </c>
      <c r="J15" s="26" t="str">
        <f aca="false">IF(OR($A15="",J$4=""),"",IF(NOT(OR(J$6="Toda la plantilla",ISNUMBER(SEARCH(";"&amp;SUBSTITUTE($C15," ","")&amp;";",";"&amp;SUBSTITUTE(J$7," ","")&amp;";")))),"—",IF(_xlfn.MAXIFS(Acuses!$C$5:$C$3004,Acuses!$A$5:$A$3004,$A15,Acuses!$B$5:$B$3004,J$4)&lt;J$5,"Pendiente",IF(J$8=0,"OK",IF(EDATE(_xlfn.MAXIFS(Acuses!$D$5:$D$3004,Acuses!$A$5:$A$3004,$A15,Acuses!$B$5:$B$3004,J$4,Acuses!$C$5:$C$3004,J$5),J$8)&lt;Resumen!$C$4,"Caducado",IF(EDATE(_xlfn.MAXIFS(Acuses!$D$5:$D$3004,Acuses!$A$5:$A$3004,$A15,Acuses!$B$5:$B$3004,J$4,Acuses!$C$5:$C$3004,J$5),J$8)&lt;Resumen!$C$4+30,"Caduca pronto","OK"))))))</f>
        <v>—</v>
      </c>
      <c r="K15" s="26" t="str">
        <f aca="false">IF(OR($A15="",K$4=""),"",IF(NOT(OR(K$6="Toda la plantilla",ISNUMBER(SEARCH(";"&amp;SUBSTITUTE($C15," ","")&amp;";",";"&amp;SUBSTITUTE(K$7," ","")&amp;";")))),"—",IF(_xlfn.MAXIFS(Acuses!$C$5:$C$3004,Acuses!$A$5:$A$3004,$A15,Acuses!$B$5:$B$3004,K$4)&lt;K$5,"Pendiente",IF(K$8=0,"OK",IF(EDATE(_xlfn.MAXIFS(Acuses!$D$5:$D$3004,Acuses!$A$5:$A$3004,$A15,Acuses!$B$5:$B$3004,K$4,Acuses!$C$5:$C$3004,K$5),K$8)&lt;Resumen!$C$4,"Caducado",IF(EDATE(_xlfn.MAXIFS(Acuses!$D$5:$D$3004,Acuses!$A$5:$A$3004,$A15,Acuses!$B$5:$B$3004,K$4,Acuses!$C$5:$C$3004,K$5),K$8)&lt;Resumen!$C$4+30,"Caduca pronto","OK"))))))</f>
        <v>OK</v>
      </c>
      <c r="L15" s="26" t="str">
        <f aca="false">IF(OR($A15="",L$4=""),"",IF(NOT(OR(L$6="Toda la plantilla",ISNUMBER(SEARCH(";"&amp;SUBSTITUTE($C15," ","")&amp;";",";"&amp;SUBSTITUTE(L$7," ","")&amp;";")))),"—",IF(_xlfn.MAXIFS(Acuses!$C$5:$C$3004,Acuses!$A$5:$A$3004,$A15,Acuses!$B$5:$B$3004,L$4)&lt;L$5,"Pendiente",IF(L$8=0,"OK",IF(EDATE(_xlfn.MAXIFS(Acuses!$D$5:$D$3004,Acuses!$A$5:$A$3004,$A15,Acuses!$B$5:$B$3004,L$4,Acuses!$C$5:$C$3004,L$5),L$8)&lt;Resumen!$C$4,"Caducado",IF(EDATE(_xlfn.MAXIFS(Acuses!$D$5:$D$3004,Acuses!$A$5:$A$3004,$A15,Acuses!$B$5:$B$3004,L$4,Acuses!$C$5:$C$3004,L$5),L$8)&lt;Resumen!$C$4+30,"Caduca pronto","OK"))))))</f>
        <v/>
      </c>
      <c r="M15" s="26" t="str">
        <f aca="false">IF(OR($A15="",M$4=""),"",IF(NOT(OR(M$6="Toda la plantilla",ISNUMBER(SEARCH(";"&amp;SUBSTITUTE($C15," ","")&amp;";",";"&amp;SUBSTITUTE(M$7," ","")&amp;";")))),"—",IF(_xlfn.MAXIFS(Acuses!$C$5:$C$3004,Acuses!$A$5:$A$3004,$A15,Acuses!$B$5:$B$3004,M$4)&lt;M$5,"Pendiente",IF(M$8=0,"OK",IF(EDATE(_xlfn.MAXIFS(Acuses!$D$5:$D$3004,Acuses!$A$5:$A$3004,$A15,Acuses!$B$5:$B$3004,M$4,Acuses!$C$5:$C$3004,M$5),M$8)&lt;Resumen!$C$4,"Caducado",IF(EDATE(_xlfn.MAXIFS(Acuses!$D$5:$D$3004,Acuses!$A$5:$A$3004,$A15,Acuses!$B$5:$B$3004,M$4,Acuses!$C$5:$C$3004,M$5),M$8)&lt;Resumen!$C$4+30,"Caduca pronto","OK"))))))</f>
        <v/>
      </c>
      <c r="N15" s="26" t="str">
        <f aca="false">IF(OR($A15="",N$4=""),"",IF(NOT(OR(N$6="Toda la plantilla",ISNUMBER(SEARCH(";"&amp;SUBSTITUTE($C15," ","")&amp;";",";"&amp;SUBSTITUTE(N$7," ","")&amp;";")))),"—",IF(_xlfn.MAXIFS(Acuses!$C$5:$C$3004,Acuses!$A$5:$A$3004,$A15,Acuses!$B$5:$B$3004,N$4)&lt;N$5,"Pendiente",IF(N$8=0,"OK",IF(EDATE(_xlfn.MAXIFS(Acuses!$D$5:$D$3004,Acuses!$A$5:$A$3004,$A15,Acuses!$B$5:$B$3004,N$4,Acuses!$C$5:$C$3004,N$5),N$8)&lt;Resumen!$C$4,"Caducado",IF(EDATE(_xlfn.MAXIFS(Acuses!$D$5:$D$3004,Acuses!$A$5:$A$3004,$A15,Acuses!$B$5:$B$3004,N$4,Acuses!$C$5:$C$3004,N$5),N$8)&lt;Resumen!$C$4+30,"Caduca pronto","OK"))))))</f>
        <v/>
      </c>
      <c r="O15" s="26" t="str">
        <f aca="false">IF(OR($A15="",O$4=""),"",IF(NOT(OR(O$6="Toda la plantilla",ISNUMBER(SEARCH(";"&amp;SUBSTITUTE($C15," ","")&amp;";",";"&amp;SUBSTITUTE(O$7," ","")&amp;";")))),"—",IF(_xlfn.MAXIFS(Acuses!$C$5:$C$3004,Acuses!$A$5:$A$3004,$A15,Acuses!$B$5:$B$3004,O$4)&lt;O$5,"Pendiente",IF(O$8=0,"OK",IF(EDATE(_xlfn.MAXIFS(Acuses!$D$5:$D$3004,Acuses!$A$5:$A$3004,$A15,Acuses!$B$5:$B$3004,O$4,Acuses!$C$5:$C$3004,O$5),O$8)&lt;Resumen!$C$4,"Caducado",IF(EDATE(_xlfn.MAXIFS(Acuses!$D$5:$D$3004,Acuses!$A$5:$A$3004,$A15,Acuses!$B$5:$B$3004,O$4,Acuses!$C$5:$C$3004,O$5),O$8)&lt;Resumen!$C$4+30,"Caduca pronto","OK"))))))</f>
        <v/>
      </c>
      <c r="P15" s="26" t="str">
        <f aca="false">IF(OR($A15="",P$4=""),"",IF(NOT(OR(P$6="Toda la plantilla",ISNUMBER(SEARCH(";"&amp;SUBSTITUTE($C15," ","")&amp;";",";"&amp;SUBSTITUTE(P$7," ","")&amp;";")))),"—",IF(_xlfn.MAXIFS(Acuses!$C$5:$C$3004,Acuses!$A$5:$A$3004,$A15,Acuses!$B$5:$B$3004,P$4)&lt;P$5,"Pendiente",IF(P$8=0,"OK",IF(EDATE(_xlfn.MAXIFS(Acuses!$D$5:$D$3004,Acuses!$A$5:$A$3004,$A15,Acuses!$B$5:$B$3004,P$4,Acuses!$C$5:$C$3004,P$5),P$8)&lt;Resumen!$C$4,"Caducado",IF(EDATE(_xlfn.MAXIFS(Acuses!$D$5:$D$3004,Acuses!$A$5:$A$3004,$A15,Acuses!$B$5:$B$3004,P$4,Acuses!$C$5:$C$3004,P$5),P$8)&lt;Resumen!$C$4+30,"Caduca pronto","OK"))))))</f>
        <v/>
      </c>
      <c r="Q15" s="26" t="str">
        <f aca="false">IF(OR($A15="",Q$4=""),"",IF(NOT(OR(Q$6="Toda la plantilla",ISNUMBER(SEARCH(";"&amp;SUBSTITUTE($C15," ","")&amp;";",";"&amp;SUBSTITUTE(Q$7," ","")&amp;";")))),"—",IF(_xlfn.MAXIFS(Acuses!$C$5:$C$3004,Acuses!$A$5:$A$3004,$A15,Acuses!$B$5:$B$3004,Q$4)&lt;Q$5,"Pendiente",IF(Q$8=0,"OK",IF(EDATE(_xlfn.MAXIFS(Acuses!$D$5:$D$3004,Acuses!$A$5:$A$3004,$A15,Acuses!$B$5:$B$3004,Q$4,Acuses!$C$5:$C$3004,Q$5),Q$8)&lt;Resumen!$C$4,"Caducado",IF(EDATE(_xlfn.MAXIFS(Acuses!$D$5:$D$3004,Acuses!$A$5:$A$3004,$A15,Acuses!$B$5:$B$3004,Q$4,Acuses!$C$5:$C$3004,Q$5),Q$8)&lt;Resumen!$C$4+30,"Caduca pronto","OK"))))))</f>
        <v/>
      </c>
      <c r="R15" s="26" t="str">
        <f aca="false">IF(OR($A15="",R$4=""),"",IF(NOT(OR(R$6="Toda la plantilla",ISNUMBER(SEARCH(";"&amp;SUBSTITUTE($C15," ","")&amp;";",";"&amp;SUBSTITUTE(R$7," ","")&amp;";")))),"—",IF(_xlfn.MAXIFS(Acuses!$C$5:$C$3004,Acuses!$A$5:$A$3004,$A15,Acuses!$B$5:$B$3004,R$4)&lt;R$5,"Pendiente",IF(R$8=0,"OK",IF(EDATE(_xlfn.MAXIFS(Acuses!$D$5:$D$3004,Acuses!$A$5:$A$3004,$A15,Acuses!$B$5:$B$3004,R$4,Acuses!$C$5:$C$3004,R$5),R$8)&lt;Resumen!$C$4,"Caducado",IF(EDATE(_xlfn.MAXIFS(Acuses!$D$5:$D$3004,Acuses!$A$5:$A$3004,$A15,Acuses!$B$5:$B$3004,R$4,Acuses!$C$5:$C$3004,R$5),R$8)&lt;Resumen!$C$4+30,"Caduca pronto","OK"))))))</f>
        <v/>
      </c>
      <c r="S15" s="26" t="str">
        <f aca="false">IF(OR($A15="",S$4=""),"",IF(NOT(OR(S$6="Toda la plantilla",ISNUMBER(SEARCH(";"&amp;SUBSTITUTE($C15," ","")&amp;";",";"&amp;SUBSTITUTE(S$7," ","")&amp;";")))),"—",IF(_xlfn.MAXIFS(Acuses!$C$5:$C$3004,Acuses!$A$5:$A$3004,$A15,Acuses!$B$5:$B$3004,S$4)&lt;S$5,"Pendiente",IF(S$8=0,"OK",IF(EDATE(_xlfn.MAXIFS(Acuses!$D$5:$D$3004,Acuses!$A$5:$A$3004,$A15,Acuses!$B$5:$B$3004,S$4,Acuses!$C$5:$C$3004,S$5),S$8)&lt;Resumen!$C$4,"Caducado",IF(EDATE(_xlfn.MAXIFS(Acuses!$D$5:$D$3004,Acuses!$A$5:$A$3004,$A15,Acuses!$B$5:$B$3004,S$4,Acuses!$C$5:$C$3004,S$5),S$8)&lt;Resumen!$C$4+30,"Caduca pronto","OK"))))))</f>
        <v/>
      </c>
      <c r="T15" s="26" t="str">
        <f aca="false">IF(OR($A15="",T$4=""),"",IF(NOT(OR(T$6="Toda la plantilla",ISNUMBER(SEARCH(";"&amp;SUBSTITUTE($C15," ","")&amp;";",";"&amp;SUBSTITUTE(T$7," ","")&amp;";")))),"—",IF(_xlfn.MAXIFS(Acuses!$C$5:$C$3004,Acuses!$A$5:$A$3004,$A15,Acuses!$B$5:$B$3004,T$4)&lt;T$5,"Pendiente",IF(T$8=0,"OK",IF(EDATE(_xlfn.MAXIFS(Acuses!$D$5:$D$3004,Acuses!$A$5:$A$3004,$A15,Acuses!$B$5:$B$3004,T$4,Acuses!$C$5:$C$3004,T$5),T$8)&lt;Resumen!$C$4,"Caducado",IF(EDATE(_xlfn.MAXIFS(Acuses!$D$5:$D$3004,Acuses!$A$5:$A$3004,$A15,Acuses!$B$5:$B$3004,T$4,Acuses!$C$5:$C$3004,T$5),T$8)&lt;Resumen!$C$4+30,"Caduca pronto","OK"))))))</f>
        <v/>
      </c>
      <c r="U15" s="26" t="str">
        <f aca="false">IF(OR($A15="",U$4=""),"",IF(NOT(OR(U$6="Toda la plantilla",ISNUMBER(SEARCH(";"&amp;SUBSTITUTE($C15," ","")&amp;";",";"&amp;SUBSTITUTE(U$7," ","")&amp;";")))),"—",IF(_xlfn.MAXIFS(Acuses!$C$5:$C$3004,Acuses!$A$5:$A$3004,$A15,Acuses!$B$5:$B$3004,U$4)&lt;U$5,"Pendiente",IF(U$8=0,"OK",IF(EDATE(_xlfn.MAXIFS(Acuses!$D$5:$D$3004,Acuses!$A$5:$A$3004,$A15,Acuses!$B$5:$B$3004,U$4,Acuses!$C$5:$C$3004,U$5),U$8)&lt;Resumen!$C$4,"Caducado",IF(EDATE(_xlfn.MAXIFS(Acuses!$D$5:$D$3004,Acuses!$A$5:$A$3004,$A15,Acuses!$B$5:$B$3004,U$4,Acuses!$C$5:$C$3004,U$5),U$8)&lt;Resumen!$C$4+30,"Caduca pronto","OK"))))))</f>
        <v/>
      </c>
      <c r="V15" s="26" t="str">
        <f aca="false">IF(OR($A15="",V$4=""),"",IF(NOT(OR(V$6="Toda la plantilla",ISNUMBER(SEARCH(";"&amp;SUBSTITUTE($C15," ","")&amp;";",";"&amp;SUBSTITUTE(V$7," ","")&amp;";")))),"—",IF(_xlfn.MAXIFS(Acuses!$C$5:$C$3004,Acuses!$A$5:$A$3004,$A15,Acuses!$B$5:$B$3004,V$4)&lt;V$5,"Pendiente",IF(V$8=0,"OK",IF(EDATE(_xlfn.MAXIFS(Acuses!$D$5:$D$3004,Acuses!$A$5:$A$3004,$A15,Acuses!$B$5:$B$3004,V$4,Acuses!$C$5:$C$3004,V$5),V$8)&lt;Resumen!$C$4,"Caducado",IF(EDATE(_xlfn.MAXIFS(Acuses!$D$5:$D$3004,Acuses!$A$5:$A$3004,$A15,Acuses!$B$5:$B$3004,V$4,Acuses!$C$5:$C$3004,V$5),V$8)&lt;Resumen!$C$4+30,"Caduca pronto","OK"))))))</f>
        <v/>
      </c>
      <c r="W15" s="26" t="str">
        <f aca="false">IF(OR($A15="",W$4=""),"",IF(NOT(OR(W$6="Toda la plantilla",ISNUMBER(SEARCH(";"&amp;SUBSTITUTE($C15," ","")&amp;";",";"&amp;SUBSTITUTE(W$7," ","")&amp;";")))),"—",IF(_xlfn.MAXIFS(Acuses!$C$5:$C$3004,Acuses!$A$5:$A$3004,$A15,Acuses!$B$5:$B$3004,W$4)&lt;W$5,"Pendiente",IF(W$8=0,"OK",IF(EDATE(_xlfn.MAXIFS(Acuses!$D$5:$D$3004,Acuses!$A$5:$A$3004,$A15,Acuses!$B$5:$B$3004,W$4,Acuses!$C$5:$C$3004,W$5),W$8)&lt;Resumen!$C$4,"Caducado",IF(EDATE(_xlfn.MAXIFS(Acuses!$D$5:$D$3004,Acuses!$A$5:$A$3004,$A15,Acuses!$B$5:$B$3004,W$4,Acuses!$C$5:$C$3004,W$5),W$8)&lt;Resumen!$C$4+30,"Caduca pronto","OK"))))))</f>
        <v/>
      </c>
      <c r="X15" s="26" t="str">
        <f aca="false">IF(OR($A15="",X$4=""),"",IF(NOT(OR(X$6="Toda la plantilla",ISNUMBER(SEARCH(";"&amp;SUBSTITUTE($C15," ","")&amp;";",";"&amp;SUBSTITUTE(X$7," ","")&amp;";")))),"—",IF(_xlfn.MAXIFS(Acuses!$C$5:$C$3004,Acuses!$A$5:$A$3004,$A15,Acuses!$B$5:$B$3004,X$4)&lt;X$5,"Pendiente",IF(X$8=0,"OK",IF(EDATE(_xlfn.MAXIFS(Acuses!$D$5:$D$3004,Acuses!$A$5:$A$3004,$A15,Acuses!$B$5:$B$3004,X$4,Acuses!$C$5:$C$3004,X$5),X$8)&lt;Resumen!$C$4,"Caducado",IF(EDATE(_xlfn.MAXIFS(Acuses!$D$5:$D$3004,Acuses!$A$5:$A$3004,$A15,Acuses!$B$5:$B$3004,X$4,Acuses!$C$5:$C$3004,X$5),X$8)&lt;Resumen!$C$4+30,"Caduca pronto","OK"))))))</f>
        <v/>
      </c>
      <c r="Y15" s="26" t="str">
        <f aca="false">IF(OR($A15="",Y$4=""),"",IF(NOT(OR(Y$6="Toda la plantilla",ISNUMBER(SEARCH(";"&amp;SUBSTITUTE($C15," ","")&amp;";",";"&amp;SUBSTITUTE(Y$7," ","")&amp;";")))),"—",IF(_xlfn.MAXIFS(Acuses!$C$5:$C$3004,Acuses!$A$5:$A$3004,$A15,Acuses!$B$5:$B$3004,Y$4)&lt;Y$5,"Pendiente",IF(Y$8=0,"OK",IF(EDATE(_xlfn.MAXIFS(Acuses!$D$5:$D$3004,Acuses!$A$5:$A$3004,$A15,Acuses!$B$5:$B$3004,Y$4,Acuses!$C$5:$C$3004,Y$5),Y$8)&lt;Resumen!$C$4,"Caducado",IF(EDATE(_xlfn.MAXIFS(Acuses!$D$5:$D$3004,Acuses!$A$5:$A$3004,$A15,Acuses!$B$5:$B$3004,Y$4,Acuses!$C$5:$C$3004,Y$5),Y$8)&lt;Resumen!$C$4+30,"Caduca pronto","OK"))))))</f>
        <v/>
      </c>
      <c r="Z15" s="26" t="str">
        <f aca="false">IF(OR($A15="",Z$4=""),"",IF(NOT(OR(Z$6="Toda la plantilla",ISNUMBER(SEARCH(";"&amp;SUBSTITUTE($C15," ","")&amp;";",";"&amp;SUBSTITUTE(Z$7," ","")&amp;";")))),"—",IF(_xlfn.MAXIFS(Acuses!$C$5:$C$3004,Acuses!$A$5:$A$3004,$A15,Acuses!$B$5:$B$3004,Z$4)&lt;Z$5,"Pendiente",IF(Z$8=0,"OK",IF(EDATE(_xlfn.MAXIFS(Acuses!$D$5:$D$3004,Acuses!$A$5:$A$3004,$A15,Acuses!$B$5:$B$3004,Z$4,Acuses!$C$5:$C$3004,Z$5),Z$8)&lt;Resumen!$C$4,"Caducado",IF(EDATE(_xlfn.MAXIFS(Acuses!$D$5:$D$3004,Acuses!$A$5:$A$3004,$A15,Acuses!$B$5:$B$3004,Z$4,Acuses!$C$5:$C$3004,Z$5),Z$8)&lt;Resumen!$C$4+30,"Caduca pronto","OK"))))))</f>
        <v/>
      </c>
      <c r="AA15" s="26" t="str">
        <f aca="false">IF(OR($A15="",AA$4=""),"",IF(NOT(OR(AA$6="Toda la plantilla",ISNUMBER(SEARCH(";"&amp;SUBSTITUTE($C15," ","")&amp;";",";"&amp;SUBSTITUTE(AA$7," ","")&amp;";")))),"—",IF(_xlfn.MAXIFS(Acuses!$C$5:$C$3004,Acuses!$A$5:$A$3004,$A15,Acuses!$B$5:$B$3004,AA$4)&lt;AA$5,"Pendiente",IF(AA$8=0,"OK",IF(EDATE(_xlfn.MAXIFS(Acuses!$D$5:$D$3004,Acuses!$A$5:$A$3004,$A15,Acuses!$B$5:$B$3004,AA$4,Acuses!$C$5:$C$3004,AA$5),AA$8)&lt;Resumen!$C$4,"Caducado",IF(EDATE(_xlfn.MAXIFS(Acuses!$D$5:$D$3004,Acuses!$A$5:$A$3004,$A15,Acuses!$B$5:$B$3004,AA$4,Acuses!$C$5:$C$3004,AA$5),AA$8)&lt;Resumen!$C$4+30,"Caduca pronto","OK"))))))</f>
        <v/>
      </c>
      <c r="AB15" s="26" t="str">
        <f aca="false">IF(OR($A15="",AB$4=""),"",IF(NOT(OR(AB$6="Toda la plantilla",ISNUMBER(SEARCH(";"&amp;SUBSTITUTE($C15," ","")&amp;";",";"&amp;SUBSTITUTE(AB$7," ","")&amp;";")))),"—",IF(_xlfn.MAXIFS(Acuses!$C$5:$C$3004,Acuses!$A$5:$A$3004,$A15,Acuses!$B$5:$B$3004,AB$4)&lt;AB$5,"Pendiente",IF(AB$8=0,"OK",IF(EDATE(_xlfn.MAXIFS(Acuses!$D$5:$D$3004,Acuses!$A$5:$A$3004,$A15,Acuses!$B$5:$B$3004,AB$4,Acuses!$C$5:$C$3004,AB$5),AB$8)&lt;Resumen!$C$4,"Caducado",IF(EDATE(_xlfn.MAXIFS(Acuses!$D$5:$D$3004,Acuses!$A$5:$A$3004,$A15,Acuses!$B$5:$B$3004,AB$4,Acuses!$C$5:$C$3004,AB$5),AB$8)&lt;Resumen!$C$4+30,"Caduca pronto","OK"))))))</f>
        <v/>
      </c>
      <c r="AC15" s="26" t="str">
        <f aca="false">IF(OR($A15="",AC$4=""),"",IF(NOT(OR(AC$6="Toda la plantilla",ISNUMBER(SEARCH(";"&amp;SUBSTITUTE($C15," ","")&amp;";",";"&amp;SUBSTITUTE(AC$7," ","")&amp;";")))),"—",IF(_xlfn.MAXIFS(Acuses!$C$5:$C$3004,Acuses!$A$5:$A$3004,$A15,Acuses!$B$5:$B$3004,AC$4)&lt;AC$5,"Pendiente",IF(AC$8=0,"OK",IF(EDATE(_xlfn.MAXIFS(Acuses!$D$5:$D$3004,Acuses!$A$5:$A$3004,$A15,Acuses!$B$5:$B$3004,AC$4,Acuses!$C$5:$C$3004,AC$5),AC$8)&lt;Resumen!$C$4,"Caducado",IF(EDATE(_xlfn.MAXIFS(Acuses!$D$5:$D$3004,Acuses!$A$5:$A$3004,$A15,Acuses!$B$5:$B$3004,AC$4,Acuses!$C$5:$C$3004,AC$5),AC$8)&lt;Resumen!$C$4+30,"Caduca pronto","OK"))))))</f>
        <v/>
      </c>
      <c r="AD15" s="26" t="str">
        <f aca="false">IF(OR($A15="",AD$4=""),"",IF(NOT(OR(AD$6="Toda la plantilla",ISNUMBER(SEARCH(";"&amp;SUBSTITUTE($C15," ","")&amp;";",";"&amp;SUBSTITUTE(AD$7," ","")&amp;";")))),"—",IF(_xlfn.MAXIFS(Acuses!$C$5:$C$3004,Acuses!$A$5:$A$3004,$A15,Acuses!$B$5:$B$3004,AD$4)&lt;AD$5,"Pendiente",IF(AD$8=0,"OK",IF(EDATE(_xlfn.MAXIFS(Acuses!$D$5:$D$3004,Acuses!$A$5:$A$3004,$A15,Acuses!$B$5:$B$3004,AD$4,Acuses!$C$5:$C$3004,AD$5),AD$8)&lt;Resumen!$C$4,"Caducado",IF(EDATE(_xlfn.MAXIFS(Acuses!$D$5:$D$3004,Acuses!$A$5:$A$3004,$A15,Acuses!$B$5:$B$3004,AD$4,Acuses!$C$5:$C$3004,AD$5),AD$8)&lt;Resumen!$C$4+30,"Caduca pronto","OK"))))))</f>
        <v/>
      </c>
      <c r="AE15" s="26" t="str">
        <f aca="false">IF(OR($A15="",AE$4=""),"",IF(NOT(OR(AE$6="Toda la plantilla",ISNUMBER(SEARCH(";"&amp;SUBSTITUTE($C15," ","")&amp;";",";"&amp;SUBSTITUTE(AE$7," ","")&amp;";")))),"—",IF(_xlfn.MAXIFS(Acuses!$C$5:$C$3004,Acuses!$A$5:$A$3004,$A15,Acuses!$B$5:$B$3004,AE$4)&lt;AE$5,"Pendiente",IF(AE$8=0,"OK",IF(EDATE(_xlfn.MAXIFS(Acuses!$D$5:$D$3004,Acuses!$A$5:$A$3004,$A15,Acuses!$B$5:$B$3004,AE$4,Acuses!$C$5:$C$3004,AE$5),AE$8)&lt;Resumen!$C$4,"Caducado",IF(EDATE(_xlfn.MAXIFS(Acuses!$D$5:$D$3004,Acuses!$A$5:$A$3004,$A15,Acuses!$B$5:$B$3004,AE$4,Acuses!$C$5:$C$3004,AE$5),AE$8)&lt;Resumen!$C$4+30,"Caduca pronto","OK"))))))</f>
        <v/>
      </c>
      <c r="AF15" s="26" t="str">
        <f aca="false">IF(OR($A15="",AF$4=""),"",IF(NOT(OR(AF$6="Toda la plantilla",ISNUMBER(SEARCH(";"&amp;SUBSTITUTE($C15," ","")&amp;";",";"&amp;SUBSTITUTE(AF$7," ","")&amp;";")))),"—",IF(_xlfn.MAXIFS(Acuses!$C$5:$C$3004,Acuses!$A$5:$A$3004,$A15,Acuses!$B$5:$B$3004,AF$4)&lt;AF$5,"Pendiente",IF(AF$8=0,"OK",IF(EDATE(_xlfn.MAXIFS(Acuses!$D$5:$D$3004,Acuses!$A$5:$A$3004,$A15,Acuses!$B$5:$B$3004,AF$4,Acuses!$C$5:$C$3004,AF$5),AF$8)&lt;Resumen!$C$4,"Caducado",IF(EDATE(_xlfn.MAXIFS(Acuses!$D$5:$D$3004,Acuses!$A$5:$A$3004,$A15,Acuses!$B$5:$B$3004,AF$4,Acuses!$C$5:$C$3004,AF$5),AF$8)&lt;Resumen!$C$4+30,"Caduca pronto","OK"))))))</f>
        <v/>
      </c>
      <c r="AG15" s="26" t="str">
        <f aca="false">IF(OR($A15="",AG$4=""),"",IF(NOT(OR(AG$6="Toda la plantilla",ISNUMBER(SEARCH(";"&amp;SUBSTITUTE($C15," ","")&amp;";",";"&amp;SUBSTITUTE(AG$7," ","")&amp;";")))),"—",IF(_xlfn.MAXIFS(Acuses!$C$5:$C$3004,Acuses!$A$5:$A$3004,$A15,Acuses!$B$5:$B$3004,AG$4)&lt;AG$5,"Pendiente",IF(AG$8=0,"OK",IF(EDATE(_xlfn.MAXIFS(Acuses!$D$5:$D$3004,Acuses!$A$5:$A$3004,$A15,Acuses!$B$5:$B$3004,AG$4,Acuses!$C$5:$C$3004,AG$5),AG$8)&lt;Resumen!$C$4,"Caducado",IF(EDATE(_xlfn.MAXIFS(Acuses!$D$5:$D$3004,Acuses!$A$5:$A$3004,$A15,Acuses!$B$5:$B$3004,AG$4,Acuses!$C$5:$C$3004,AG$5),AG$8)&lt;Resumen!$C$4+30,"Caduca pronto","OK"))))))</f>
        <v/>
      </c>
      <c r="AH15" s="26" t="str">
        <f aca="false">IF(OR($A15="",AH$4=""),"",IF(NOT(OR(AH$6="Toda la plantilla",ISNUMBER(SEARCH(";"&amp;SUBSTITUTE($C15," ","")&amp;";",";"&amp;SUBSTITUTE(AH$7," ","")&amp;";")))),"—",IF(_xlfn.MAXIFS(Acuses!$C$5:$C$3004,Acuses!$A$5:$A$3004,$A15,Acuses!$B$5:$B$3004,AH$4)&lt;AH$5,"Pendiente",IF(AH$8=0,"OK",IF(EDATE(_xlfn.MAXIFS(Acuses!$D$5:$D$3004,Acuses!$A$5:$A$3004,$A15,Acuses!$B$5:$B$3004,AH$4,Acuses!$C$5:$C$3004,AH$5),AH$8)&lt;Resumen!$C$4,"Caducado",IF(EDATE(_xlfn.MAXIFS(Acuses!$D$5:$D$3004,Acuses!$A$5:$A$3004,$A15,Acuses!$B$5:$B$3004,AH$4,Acuses!$C$5:$C$3004,AH$5),AH$8)&lt;Resumen!$C$4+30,"Caduca pronto","OK"))))))</f>
        <v/>
      </c>
      <c r="AI15" s="26" t="str">
        <f aca="false">IF(OR($A15="",AI$4=""),"",IF(NOT(OR(AI$6="Toda la plantilla",ISNUMBER(SEARCH(";"&amp;SUBSTITUTE($C15," ","")&amp;";",";"&amp;SUBSTITUTE(AI$7," ","")&amp;";")))),"—",IF(_xlfn.MAXIFS(Acuses!$C$5:$C$3004,Acuses!$A$5:$A$3004,$A15,Acuses!$B$5:$B$3004,AI$4)&lt;AI$5,"Pendiente",IF(AI$8=0,"OK",IF(EDATE(_xlfn.MAXIFS(Acuses!$D$5:$D$3004,Acuses!$A$5:$A$3004,$A15,Acuses!$B$5:$B$3004,AI$4,Acuses!$C$5:$C$3004,AI$5),AI$8)&lt;Resumen!$C$4,"Caducado",IF(EDATE(_xlfn.MAXIFS(Acuses!$D$5:$D$3004,Acuses!$A$5:$A$3004,$A15,Acuses!$B$5:$B$3004,AI$4,Acuses!$C$5:$C$3004,AI$5),AI$8)&lt;Resumen!$C$4+30,"Caduca pronto","OK"))))))</f>
        <v/>
      </c>
      <c r="AJ15" s="26" t="str">
        <f aca="false">IF(OR($A15="",AJ$4=""),"",IF(NOT(OR(AJ$6="Toda la plantilla",ISNUMBER(SEARCH(";"&amp;SUBSTITUTE($C15," ","")&amp;";",";"&amp;SUBSTITUTE(AJ$7," ","")&amp;";")))),"—",IF(_xlfn.MAXIFS(Acuses!$C$5:$C$3004,Acuses!$A$5:$A$3004,$A15,Acuses!$B$5:$B$3004,AJ$4)&lt;AJ$5,"Pendiente",IF(AJ$8=0,"OK",IF(EDATE(_xlfn.MAXIFS(Acuses!$D$5:$D$3004,Acuses!$A$5:$A$3004,$A15,Acuses!$B$5:$B$3004,AJ$4,Acuses!$C$5:$C$3004,AJ$5),AJ$8)&lt;Resumen!$C$4,"Caducado",IF(EDATE(_xlfn.MAXIFS(Acuses!$D$5:$D$3004,Acuses!$A$5:$A$3004,$A15,Acuses!$B$5:$B$3004,AJ$4,Acuses!$C$5:$C$3004,AJ$5),AJ$8)&lt;Resumen!$C$4+30,"Caduca pronto","OK"))))))</f>
        <v/>
      </c>
      <c r="AK15" s="26" t="str">
        <f aca="false">IF(OR($A15="",AK$4=""),"",IF(NOT(OR(AK$6="Toda la plantilla",ISNUMBER(SEARCH(";"&amp;SUBSTITUTE($C15," ","")&amp;";",";"&amp;SUBSTITUTE(AK$7," ","")&amp;";")))),"—",IF(_xlfn.MAXIFS(Acuses!$C$5:$C$3004,Acuses!$A$5:$A$3004,$A15,Acuses!$B$5:$B$3004,AK$4)&lt;AK$5,"Pendiente",IF(AK$8=0,"OK",IF(EDATE(_xlfn.MAXIFS(Acuses!$D$5:$D$3004,Acuses!$A$5:$A$3004,$A15,Acuses!$B$5:$B$3004,AK$4,Acuses!$C$5:$C$3004,AK$5),AK$8)&lt;Resumen!$C$4,"Caducado",IF(EDATE(_xlfn.MAXIFS(Acuses!$D$5:$D$3004,Acuses!$A$5:$A$3004,$A15,Acuses!$B$5:$B$3004,AK$4,Acuses!$C$5:$C$3004,AK$5),AK$8)&lt;Resumen!$C$4+30,"Caduca pronto","OK"))))))</f>
        <v/>
      </c>
      <c r="AL15" s="26" t="str">
        <f aca="false">IF(OR($A15="",AL$4=""),"",IF(NOT(OR(AL$6="Toda la plantilla",ISNUMBER(SEARCH(";"&amp;SUBSTITUTE($C15," ","")&amp;";",";"&amp;SUBSTITUTE(AL$7," ","")&amp;";")))),"—",IF(_xlfn.MAXIFS(Acuses!$C$5:$C$3004,Acuses!$A$5:$A$3004,$A15,Acuses!$B$5:$B$3004,AL$4)&lt;AL$5,"Pendiente",IF(AL$8=0,"OK",IF(EDATE(_xlfn.MAXIFS(Acuses!$D$5:$D$3004,Acuses!$A$5:$A$3004,$A15,Acuses!$B$5:$B$3004,AL$4,Acuses!$C$5:$C$3004,AL$5),AL$8)&lt;Resumen!$C$4,"Caducado",IF(EDATE(_xlfn.MAXIFS(Acuses!$D$5:$D$3004,Acuses!$A$5:$A$3004,$A15,Acuses!$B$5:$B$3004,AL$4,Acuses!$C$5:$C$3004,AL$5),AL$8)&lt;Resumen!$C$4+30,"Caduca pronto","OK"))))))</f>
        <v/>
      </c>
      <c r="AM15" s="26" t="str">
        <f aca="false">IF(OR($A15="",AM$4=""),"",IF(NOT(OR(AM$6="Toda la plantilla",ISNUMBER(SEARCH(";"&amp;SUBSTITUTE($C15," ","")&amp;";",";"&amp;SUBSTITUTE(AM$7," ","")&amp;";")))),"—",IF(_xlfn.MAXIFS(Acuses!$C$5:$C$3004,Acuses!$A$5:$A$3004,$A15,Acuses!$B$5:$B$3004,AM$4)&lt;AM$5,"Pendiente",IF(AM$8=0,"OK",IF(EDATE(_xlfn.MAXIFS(Acuses!$D$5:$D$3004,Acuses!$A$5:$A$3004,$A15,Acuses!$B$5:$B$3004,AM$4,Acuses!$C$5:$C$3004,AM$5),AM$8)&lt;Resumen!$C$4,"Caducado",IF(EDATE(_xlfn.MAXIFS(Acuses!$D$5:$D$3004,Acuses!$A$5:$A$3004,$A15,Acuses!$B$5:$B$3004,AM$4,Acuses!$C$5:$C$3004,AM$5),AM$8)&lt;Resumen!$C$4+30,"Caduca pronto","OK"))))))</f>
        <v/>
      </c>
      <c r="AN15" s="26" t="str">
        <f aca="false">IF(OR($A15="",AN$4=""),"",IF(NOT(OR(AN$6="Toda la plantilla",ISNUMBER(SEARCH(";"&amp;SUBSTITUTE($C15," ","")&amp;";",";"&amp;SUBSTITUTE(AN$7," ","")&amp;";")))),"—",IF(_xlfn.MAXIFS(Acuses!$C$5:$C$3004,Acuses!$A$5:$A$3004,$A15,Acuses!$B$5:$B$3004,AN$4)&lt;AN$5,"Pendiente",IF(AN$8=0,"OK",IF(EDATE(_xlfn.MAXIFS(Acuses!$D$5:$D$3004,Acuses!$A$5:$A$3004,$A15,Acuses!$B$5:$B$3004,AN$4,Acuses!$C$5:$C$3004,AN$5),AN$8)&lt;Resumen!$C$4,"Caducado",IF(EDATE(_xlfn.MAXIFS(Acuses!$D$5:$D$3004,Acuses!$A$5:$A$3004,$A15,Acuses!$B$5:$B$3004,AN$4,Acuses!$C$5:$C$3004,AN$5),AN$8)&lt;Resumen!$C$4+30,"Caduca pronto","OK"))))))</f>
        <v/>
      </c>
      <c r="AO15" s="26" t="str">
        <f aca="false">IF(OR($A15="",AO$4=""),"",IF(NOT(OR(AO$6="Toda la plantilla",ISNUMBER(SEARCH(";"&amp;SUBSTITUTE($C15," ","")&amp;";",";"&amp;SUBSTITUTE(AO$7," ","")&amp;";")))),"—",IF(_xlfn.MAXIFS(Acuses!$C$5:$C$3004,Acuses!$A$5:$A$3004,$A15,Acuses!$B$5:$B$3004,AO$4)&lt;AO$5,"Pendiente",IF(AO$8=0,"OK",IF(EDATE(_xlfn.MAXIFS(Acuses!$D$5:$D$3004,Acuses!$A$5:$A$3004,$A15,Acuses!$B$5:$B$3004,AO$4,Acuses!$C$5:$C$3004,AO$5),AO$8)&lt;Resumen!$C$4,"Caducado",IF(EDATE(_xlfn.MAXIFS(Acuses!$D$5:$D$3004,Acuses!$A$5:$A$3004,$A15,Acuses!$B$5:$B$3004,AO$4,Acuses!$C$5:$C$3004,AO$5),AO$8)&lt;Resumen!$C$4+30,"Caduca pronto","OK"))))))</f>
        <v/>
      </c>
      <c r="AP15" s="26" t="str">
        <f aca="false">IF(OR($A15="",AP$4=""),"",IF(NOT(OR(AP$6="Toda la plantilla",ISNUMBER(SEARCH(";"&amp;SUBSTITUTE($C15," ","")&amp;";",";"&amp;SUBSTITUTE(AP$7," ","")&amp;";")))),"—",IF(_xlfn.MAXIFS(Acuses!$C$5:$C$3004,Acuses!$A$5:$A$3004,$A15,Acuses!$B$5:$B$3004,AP$4)&lt;AP$5,"Pendiente",IF(AP$8=0,"OK",IF(EDATE(_xlfn.MAXIFS(Acuses!$D$5:$D$3004,Acuses!$A$5:$A$3004,$A15,Acuses!$B$5:$B$3004,AP$4,Acuses!$C$5:$C$3004,AP$5),AP$8)&lt;Resumen!$C$4,"Caducado",IF(EDATE(_xlfn.MAXIFS(Acuses!$D$5:$D$3004,Acuses!$A$5:$A$3004,$A15,Acuses!$B$5:$B$3004,AP$4,Acuses!$C$5:$C$3004,AP$5),AP$8)&lt;Resumen!$C$4+30,"Caduca pronto","OK"))))))</f>
        <v/>
      </c>
      <c r="AQ15" s="26" t="str">
        <f aca="false">IF(OR($A15="",AQ$4=""),"",IF(NOT(OR(AQ$6="Toda la plantilla",ISNUMBER(SEARCH(";"&amp;SUBSTITUTE($C15," ","")&amp;";",";"&amp;SUBSTITUTE(AQ$7," ","")&amp;";")))),"—",IF(_xlfn.MAXIFS(Acuses!$C$5:$C$3004,Acuses!$A$5:$A$3004,$A15,Acuses!$B$5:$B$3004,AQ$4)&lt;AQ$5,"Pendiente",IF(AQ$8=0,"OK",IF(EDATE(_xlfn.MAXIFS(Acuses!$D$5:$D$3004,Acuses!$A$5:$A$3004,$A15,Acuses!$B$5:$B$3004,AQ$4,Acuses!$C$5:$C$3004,AQ$5),AQ$8)&lt;Resumen!$C$4,"Caducado",IF(EDATE(_xlfn.MAXIFS(Acuses!$D$5:$D$3004,Acuses!$A$5:$A$3004,$A15,Acuses!$B$5:$B$3004,AQ$4,Acuses!$C$5:$C$3004,AQ$5),AQ$8)&lt;Resumen!$C$4+30,"Caduca pronto","OK"))))))</f>
        <v/>
      </c>
    </row>
    <row r="16" customFormat="false" ht="15" hidden="false" customHeight="false" outlineLevel="0" collapsed="false">
      <c r="A16" s="25" t="str">
        <f aca="false">IF(AND(Trabajadores!$A$11&lt;&gt;"",Trabajadores!$G$11&lt;&gt;"No"),Trabajadores!$A$11,"")</f>
        <v>T007</v>
      </c>
      <c r="B16" s="25" t="str">
        <f aca="false">IF($A16="","",Trabajadores!$B$11)</f>
        <v>Iván Castro</v>
      </c>
      <c r="C16" s="25" t="str">
        <f aca="false">IF($A16="","",Trabajadores!$C$11)</f>
        <v>Almacén</v>
      </c>
      <c r="D16" s="26" t="str">
        <f aca="false">IF(OR($A16="",D$4=""),"",IF(NOT(OR(D$6="Toda la plantilla",ISNUMBER(SEARCH(";"&amp;SUBSTITUTE($C16," ","")&amp;";",";"&amp;SUBSTITUTE(D$7," ","")&amp;";")))),"—",IF(_xlfn.MAXIFS(Acuses!$C$5:$C$3004,Acuses!$A$5:$A$3004,$A16,Acuses!$B$5:$B$3004,D$4)&lt;D$5,"Pendiente",IF(D$8=0,"OK",IF(EDATE(_xlfn.MAXIFS(Acuses!$D$5:$D$3004,Acuses!$A$5:$A$3004,$A16,Acuses!$B$5:$B$3004,D$4,Acuses!$C$5:$C$3004,D$5),D$8)&lt;Resumen!$C$4,"Caducado",IF(EDATE(_xlfn.MAXIFS(Acuses!$D$5:$D$3004,Acuses!$A$5:$A$3004,$A16,Acuses!$B$5:$B$3004,D$4,Acuses!$C$5:$C$3004,D$5),D$8)&lt;Resumen!$C$4+30,"Caduca pronto","OK"))))))</f>
        <v>OK</v>
      </c>
      <c r="E16" s="26" t="str">
        <f aca="false">IF(OR($A16="",E$4=""),"",IF(NOT(OR(E$6="Toda la plantilla",ISNUMBER(SEARCH(";"&amp;SUBSTITUTE($C16," ","")&amp;";",";"&amp;SUBSTITUTE(E$7," ","")&amp;";")))),"—",IF(_xlfn.MAXIFS(Acuses!$C$5:$C$3004,Acuses!$A$5:$A$3004,$A16,Acuses!$B$5:$B$3004,E$4)&lt;E$5,"Pendiente",IF(E$8=0,"OK",IF(EDATE(_xlfn.MAXIFS(Acuses!$D$5:$D$3004,Acuses!$A$5:$A$3004,$A16,Acuses!$B$5:$B$3004,E$4,Acuses!$C$5:$C$3004,E$5),E$8)&lt;Resumen!$C$4,"Caducado",IF(EDATE(_xlfn.MAXIFS(Acuses!$D$5:$D$3004,Acuses!$A$5:$A$3004,$A16,Acuses!$B$5:$B$3004,E$4,Acuses!$C$5:$C$3004,E$5),E$8)&lt;Resumen!$C$4+30,"Caduca pronto","OK"))))))</f>
        <v>OK</v>
      </c>
      <c r="F16" s="26" t="str">
        <f aca="false">IF(OR($A16="",F$4=""),"",IF(NOT(OR(F$6="Toda la plantilla",ISNUMBER(SEARCH(";"&amp;SUBSTITUTE($C16," ","")&amp;";",";"&amp;SUBSTITUTE(F$7," ","")&amp;";")))),"—",IF(_xlfn.MAXIFS(Acuses!$C$5:$C$3004,Acuses!$A$5:$A$3004,$A16,Acuses!$B$5:$B$3004,F$4)&lt;F$5,"Pendiente",IF(F$8=0,"OK",IF(EDATE(_xlfn.MAXIFS(Acuses!$D$5:$D$3004,Acuses!$A$5:$A$3004,$A16,Acuses!$B$5:$B$3004,F$4,Acuses!$C$5:$C$3004,F$5),F$8)&lt;Resumen!$C$4,"Caducado",IF(EDATE(_xlfn.MAXIFS(Acuses!$D$5:$D$3004,Acuses!$A$5:$A$3004,$A16,Acuses!$B$5:$B$3004,F$4,Acuses!$C$5:$C$3004,F$5),F$8)&lt;Resumen!$C$4+30,"Caduca pronto","OK"))))))</f>
        <v>—</v>
      </c>
      <c r="G16" s="26" t="str">
        <f aca="false">IF(OR($A16="",G$4=""),"",IF(NOT(OR(G$6="Toda la plantilla",ISNUMBER(SEARCH(";"&amp;SUBSTITUTE($C16," ","")&amp;";",";"&amp;SUBSTITUTE(G$7," ","")&amp;";")))),"—",IF(_xlfn.MAXIFS(Acuses!$C$5:$C$3004,Acuses!$A$5:$A$3004,$A16,Acuses!$B$5:$B$3004,G$4)&lt;G$5,"Pendiente",IF(G$8=0,"OK",IF(EDATE(_xlfn.MAXIFS(Acuses!$D$5:$D$3004,Acuses!$A$5:$A$3004,$A16,Acuses!$B$5:$B$3004,G$4,Acuses!$C$5:$C$3004,G$5),G$8)&lt;Resumen!$C$4,"Caducado",IF(EDATE(_xlfn.MAXIFS(Acuses!$D$5:$D$3004,Acuses!$A$5:$A$3004,$A16,Acuses!$B$5:$B$3004,G$4,Acuses!$C$5:$C$3004,G$5),G$8)&lt;Resumen!$C$4+30,"Caduca pronto","OK"))))))</f>
        <v>—</v>
      </c>
      <c r="H16" s="26" t="str">
        <f aca="false">IF(OR($A16="",H$4=""),"",IF(NOT(OR(H$6="Toda la plantilla",ISNUMBER(SEARCH(";"&amp;SUBSTITUTE($C16," ","")&amp;";",";"&amp;SUBSTITUTE(H$7," ","")&amp;";")))),"—",IF(_xlfn.MAXIFS(Acuses!$C$5:$C$3004,Acuses!$A$5:$A$3004,$A16,Acuses!$B$5:$B$3004,H$4)&lt;H$5,"Pendiente",IF(H$8=0,"OK",IF(EDATE(_xlfn.MAXIFS(Acuses!$D$5:$D$3004,Acuses!$A$5:$A$3004,$A16,Acuses!$B$5:$B$3004,H$4,Acuses!$C$5:$C$3004,H$5),H$8)&lt;Resumen!$C$4,"Caducado",IF(EDATE(_xlfn.MAXIFS(Acuses!$D$5:$D$3004,Acuses!$A$5:$A$3004,$A16,Acuses!$B$5:$B$3004,H$4,Acuses!$C$5:$C$3004,H$5),H$8)&lt;Resumen!$C$4+30,"Caduca pronto","OK"))))))</f>
        <v>—</v>
      </c>
      <c r="I16" s="26" t="str">
        <f aca="false">IF(OR($A16="",I$4=""),"",IF(NOT(OR(I$6="Toda la plantilla",ISNUMBER(SEARCH(";"&amp;SUBSTITUTE($C16," ","")&amp;";",";"&amp;SUBSTITUTE(I$7," ","")&amp;";")))),"—",IF(_xlfn.MAXIFS(Acuses!$C$5:$C$3004,Acuses!$A$5:$A$3004,$A16,Acuses!$B$5:$B$3004,I$4)&lt;I$5,"Pendiente",IF(I$8=0,"OK",IF(EDATE(_xlfn.MAXIFS(Acuses!$D$5:$D$3004,Acuses!$A$5:$A$3004,$A16,Acuses!$B$5:$B$3004,I$4,Acuses!$C$5:$C$3004,I$5),I$8)&lt;Resumen!$C$4,"Caducado",IF(EDATE(_xlfn.MAXIFS(Acuses!$D$5:$D$3004,Acuses!$A$5:$A$3004,$A16,Acuses!$B$5:$B$3004,I$4,Acuses!$C$5:$C$3004,I$5),I$8)&lt;Resumen!$C$4+30,"Caduca pronto","OK"))))))</f>
        <v>—</v>
      </c>
      <c r="J16" s="26" t="str">
        <f aca="false">IF(OR($A16="",J$4=""),"",IF(NOT(OR(J$6="Toda la plantilla",ISNUMBER(SEARCH(";"&amp;SUBSTITUTE($C16," ","")&amp;";",";"&amp;SUBSTITUTE(J$7," ","")&amp;";")))),"—",IF(_xlfn.MAXIFS(Acuses!$C$5:$C$3004,Acuses!$A$5:$A$3004,$A16,Acuses!$B$5:$B$3004,J$4)&lt;J$5,"Pendiente",IF(J$8=0,"OK",IF(EDATE(_xlfn.MAXIFS(Acuses!$D$5:$D$3004,Acuses!$A$5:$A$3004,$A16,Acuses!$B$5:$B$3004,J$4,Acuses!$C$5:$C$3004,J$5),J$8)&lt;Resumen!$C$4,"Caducado",IF(EDATE(_xlfn.MAXIFS(Acuses!$D$5:$D$3004,Acuses!$A$5:$A$3004,$A16,Acuses!$B$5:$B$3004,J$4,Acuses!$C$5:$C$3004,J$5),J$8)&lt;Resumen!$C$4+30,"Caduca pronto","OK"))))))</f>
        <v>—</v>
      </c>
      <c r="K16" s="26" t="str">
        <f aca="false">IF(OR($A16="",K$4=""),"",IF(NOT(OR(K$6="Toda la plantilla",ISNUMBER(SEARCH(";"&amp;SUBSTITUTE($C16," ","")&amp;";",";"&amp;SUBSTITUTE(K$7," ","")&amp;";")))),"—",IF(_xlfn.MAXIFS(Acuses!$C$5:$C$3004,Acuses!$A$5:$A$3004,$A16,Acuses!$B$5:$B$3004,K$4)&lt;K$5,"Pendiente",IF(K$8=0,"OK",IF(EDATE(_xlfn.MAXIFS(Acuses!$D$5:$D$3004,Acuses!$A$5:$A$3004,$A16,Acuses!$B$5:$B$3004,K$4,Acuses!$C$5:$C$3004,K$5),K$8)&lt;Resumen!$C$4,"Caducado",IF(EDATE(_xlfn.MAXIFS(Acuses!$D$5:$D$3004,Acuses!$A$5:$A$3004,$A16,Acuses!$B$5:$B$3004,K$4,Acuses!$C$5:$C$3004,K$5),K$8)&lt;Resumen!$C$4+30,"Caduca pronto","OK"))))))</f>
        <v>Pendiente</v>
      </c>
      <c r="L16" s="26" t="str">
        <f aca="false">IF(OR($A16="",L$4=""),"",IF(NOT(OR(L$6="Toda la plantilla",ISNUMBER(SEARCH(";"&amp;SUBSTITUTE($C16," ","")&amp;";",";"&amp;SUBSTITUTE(L$7," ","")&amp;";")))),"—",IF(_xlfn.MAXIFS(Acuses!$C$5:$C$3004,Acuses!$A$5:$A$3004,$A16,Acuses!$B$5:$B$3004,L$4)&lt;L$5,"Pendiente",IF(L$8=0,"OK",IF(EDATE(_xlfn.MAXIFS(Acuses!$D$5:$D$3004,Acuses!$A$5:$A$3004,$A16,Acuses!$B$5:$B$3004,L$4,Acuses!$C$5:$C$3004,L$5),L$8)&lt;Resumen!$C$4,"Caducado",IF(EDATE(_xlfn.MAXIFS(Acuses!$D$5:$D$3004,Acuses!$A$5:$A$3004,$A16,Acuses!$B$5:$B$3004,L$4,Acuses!$C$5:$C$3004,L$5),L$8)&lt;Resumen!$C$4+30,"Caduca pronto","OK"))))))</f>
        <v/>
      </c>
      <c r="M16" s="26" t="str">
        <f aca="false">IF(OR($A16="",M$4=""),"",IF(NOT(OR(M$6="Toda la plantilla",ISNUMBER(SEARCH(";"&amp;SUBSTITUTE($C16," ","")&amp;";",";"&amp;SUBSTITUTE(M$7," ","")&amp;";")))),"—",IF(_xlfn.MAXIFS(Acuses!$C$5:$C$3004,Acuses!$A$5:$A$3004,$A16,Acuses!$B$5:$B$3004,M$4)&lt;M$5,"Pendiente",IF(M$8=0,"OK",IF(EDATE(_xlfn.MAXIFS(Acuses!$D$5:$D$3004,Acuses!$A$5:$A$3004,$A16,Acuses!$B$5:$B$3004,M$4,Acuses!$C$5:$C$3004,M$5),M$8)&lt;Resumen!$C$4,"Caducado",IF(EDATE(_xlfn.MAXIFS(Acuses!$D$5:$D$3004,Acuses!$A$5:$A$3004,$A16,Acuses!$B$5:$B$3004,M$4,Acuses!$C$5:$C$3004,M$5),M$8)&lt;Resumen!$C$4+30,"Caduca pronto","OK"))))))</f>
        <v/>
      </c>
      <c r="N16" s="26" t="str">
        <f aca="false">IF(OR($A16="",N$4=""),"",IF(NOT(OR(N$6="Toda la plantilla",ISNUMBER(SEARCH(";"&amp;SUBSTITUTE($C16," ","")&amp;";",";"&amp;SUBSTITUTE(N$7," ","")&amp;";")))),"—",IF(_xlfn.MAXIFS(Acuses!$C$5:$C$3004,Acuses!$A$5:$A$3004,$A16,Acuses!$B$5:$B$3004,N$4)&lt;N$5,"Pendiente",IF(N$8=0,"OK",IF(EDATE(_xlfn.MAXIFS(Acuses!$D$5:$D$3004,Acuses!$A$5:$A$3004,$A16,Acuses!$B$5:$B$3004,N$4,Acuses!$C$5:$C$3004,N$5),N$8)&lt;Resumen!$C$4,"Caducado",IF(EDATE(_xlfn.MAXIFS(Acuses!$D$5:$D$3004,Acuses!$A$5:$A$3004,$A16,Acuses!$B$5:$B$3004,N$4,Acuses!$C$5:$C$3004,N$5),N$8)&lt;Resumen!$C$4+30,"Caduca pronto","OK"))))))</f>
        <v/>
      </c>
      <c r="O16" s="26" t="str">
        <f aca="false">IF(OR($A16="",O$4=""),"",IF(NOT(OR(O$6="Toda la plantilla",ISNUMBER(SEARCH(";"&amp;SUBSTITUTE($C16," ","")&amp;";",";"&amp;SUBSTITUTE(O$7," ","")&amp;";")))),"—",IF(_xlfn.MAXIFS(Acuses!$C$5:$C$3004,Acuses!$A$5:$A$3004,$A16,Acuses!$B$5:$B$3004,O$4)&lt;O$5,"Pendiente",IF(O$8=0,"OK",IF(EDATE(_xlfn.MAXIFS(Acuses!$D$5:$D$3004,Acuses!$A$5:$A$3004,$A16,Acuses!$B$5:$B$3004,O$4,Acuses!$C$5:$C$3004,O$5),O$8)&lt;Resumen!$C$4,"Caducado",IF(EDATE(_xlfn.MAXIFS(Acuses!$D$5:$D$3004,Acuses!$A$5:$A$3004,$A16,Acuses!$B$5:$B$3004,O$4,Acuses!$C$5:$C$3004,O$5),O$8)&lt;Resumen!$C$4+30,"Caduca pronto","OK"))))))</f>
        <v/>
      </c>
      <c r="P16" s="26" t="str">
        <f aca="false">IF(OR($A16="",P$4=""),"",IF(NOT(OR(P$6="Toda la plantilla",ISNUMBER(SEARCH(";"&amp;SUBSTITUTE($C16," ","")&amp;";",";"&amp;SUBSTITUTE(P$7," ","")&amp;";")))),"—",IF(_xlfn.MAXIFS(Acuses!$C$5:$C$3004,Acuses!$A$5:$A$3004,$A16,Acuses!$B$5:$B$3004,P$4)&lt;P$5,"Pendiente",IF(P$8=0,"OK",IF(EDATE(_xlfn.MAXIFS(Acuses!$D$5:$D$3004,Acuses!$A$5:$A$3004,$A16,Acuses!$B$5:$B$3004,P$4,Acuses!$C$5:$C$3004,P$5),P$8)&lt;Resumen!$C$4,"Caducado",IF(EDATE(_xlfn.MAXIFS(Acuses!$D$5:$D$3004,Acuses!$A$5:$A$3004,$A16,Acuses!$B$5:$B$3004,P$4,Acuses!$C$5:$C$3004,P$5),P$8)&lt;Resumen!$C$4+30,"Caduca pronto","OK"))))))</f>
        <v/>
      </c>
      <c r="Q16" s="26" t="str">
        <f aca="false">IF(OR($A16="",Q$4=""),"",IF(NOT(OR(Q$6="Toda la plantilla",ISNUMBER(SEARCH(";"&amp;SUBSTITUTE($C16," ","")&amp;";",";"&amp;SUBSTITUTE(Q$7," ","")&amp;";")))),"—",IF(_xlfn.MAXIFS(Acuses!$C$5:$C$3004,Acuses!$A$5:$A$3004,$A16,Acuses!$B$5:$B$3004,Q$4)&lt;Q$5,"Pendiente",IF(Q$8=0,"OK",IF(EDATE(_xlfn.MAXIFS(Acuses!$D$5:$D$3004,Acuses!$A$5:$A$3004,$A16,Acuses!$B$5:$B$3004,Q$4,Acuses!$C$5:$C$3004,Q$5),Q$8)&lt;Resumen!$C$4,"Caducado",IF(EDATE(_xlfn.MAXIFS(Acuses!$D$5:$D$3004,Acuses!$A$5:$A$3004,$A16,Acuses!$B$5:$B$3004,Q$4,Acuses!$C$5:$C$3004,Q$5),Q$8)&lt;Resumen!$C$4+30,"Caduca pronto","OK"))))))</f>
        <v/>
      </c>
      <c r="R16" s="26" t="str">
        <f aca="false">IF(OR($A16="",R$4=""),"",IF(NOT(OR(R$6="Toda la plantilla",ISNUMBER(SEARCH(";"&amp;SUBSTITUTE($C16," ","")&amp;";",";"&amp;SUBSTITUTE(R$7," ","")&amp;";")))),"—",IF(_xlfn.MAXIFS(Acuses!$C$5:$C$3004,Acuses!$A$5:$A$3004,$A16,Acuses!$B$5:$B$3004,R$4)&lt;R$5,"Pendiente",IF(R$8=0,"OK",IF(EDATE(_xlfn.MAXIFS(Acuses!$D$5:$D$3004,Acuses!$A$5:$A$3004,$A16,Acuses!$B$5:$B$3004,R$4,Acuses!$C$5:$C$3004,R$5),R$8)&lt;Resumen!$C$4,"Caducado",IF(EDATE(_xlfn.MAXIFS(Acuses!$D$5:$D$3004,Acuses!$A$5:$A$3004,$A16,Acuses!$B$5:$B$3004,R$4,Acuses!$C$5:$C$3004,R$5),R$8)&lt;Resumen!$C$4+30,"Caduca pronto","OK"))))))</f>
        <v/>
      </c>
      <c r="S16" s="26" t="str">
        <f aca="false">IF(OR($A16="",S$4=""),"",IF(NOT(OR(S$6="Toda la plantilla",ISNUMBER(SEARCH(";"&amp;SUBSTITUTE($C16," ","")&amp;";",";"&amp;SUBSTITUTE(S$7," ","")&amp;";")))),"—",IF(_xlfn.MAXIFS(Acuses!$C$5:$C$3004,Acuses!$A$5:$A$3004,$A16,Acuses!$B$5:$B$3004,S$4)&lt;S$5,"Pendiente",IF(S$8=0,"OK",IF(EDATE(_xlfn.MAXIFS(Acuses!$D$5:$D$3004,Acuses!$A$5:$A$3004,$A16,Acuses!$B$5:$B$3004,S$4,Acuses!$C$5:$C$3004,S$5),S$8)&lt;Resumen!$C$4,"Caducado",IF(EDATE(_xlfn.MAXIFS(Acuses!$D$5:$D$3004,Acuses!$A$5:$A$3004,$A16,Acuses!$B$5:$B$3004,S$4,Acuses!$C$5:$C$3004,S$5),S$8)&lt;Resumen!$C$4+30,"Caduca pronto","OK"))))))</f>
        <v/>
      </c>
      <c r="T16" s="26" t="str">
        <f aca="false">IF(OR($A16="",T$4=""),"",IF(NOT(OR(T$6="Toda la plantilla",ISNUMBER(SEARCH(";"&amp;SUBSTITUTE($C16," ","")&amp;";",";"&amp;SUBSTITUTE(T$7," ","")&amp;";")))),"—",IF(_xlfn.MAXIFS(Acuses!$C$5:$C$3004,Acuses!$A$5:$A$3004,$A16,Acuses!$B$5:$B$3004,T$4)&lt;T$5,"Pendiente",IF(T$8=0,"OK",IF(EDATE(_xlfn.MAXIFS(Acuses!$D$5:$D$3004,Acuses!$A$5:$A$3004,$A16,Acuses!$B$5:$B$3004,T$4,Acuses!$C$5:$C$3004,T$5),T$8)&lt;Resumen!$C$4,"Caducado",IF(EDATE(_xlfn.MAXIFS(Acuses!$D$5:$D$3004,Acuses!$A$5:$A$3004,$A16,Acuses!$B$5:$B$3004,T$4,Acuses!$C$5:$C$3004,T$5),T$8)&lt;Resumen!$C$4+30,"Caduca pronto","OK"))))))</f>
        <v/>
      </c>
      <c r="U16" s="26" t="str">
        <f aca="false">IF(OR($A16="",U$4=""),"",IF(NOT(OR(U$6="Toda la plantilla",ISNUMBER(SEARCH(";"&amp;SUBSTITUTE($C16," ","")&amp;";",";"&amp;SUBSTITUTE(U$7," ","")&amp;";")))),"—",IF(_xlfn.MAXIFS(Acuses!$C$5:$C$3004,Acuses!$A$5:$A$3004,$A16,Acuses!$B$5:$B$3004,U$4)&lt;U$5,"Pendiente",IF(U$8=0,"OK",IF(EDATE(_xlfn.MAXIFS(Acuses!$D$5:$D$3004,Acuses!$A$5:$A$3004,$A16,Acuses!$B$5:$B$3004,U$4,Acuses!$C$5:$C$3004,U$5),U$8)&lt;Resumen!$C$4,"Caducado",IF(EDATE(_xlfn.MAXIFS(Acuses!$D$5:$D$3004,Acuses!$A$5:$A$3004,$A16,Acuses!$B$5:$B$3004,U$4,Acuses!$C$5:$C$3004,U$5),U$8)&lt;Resumen!$C$4+30,"Caduca pronto","OK"))))))</f>
        <v/>
      </c>
      <c r="V16" s="26" t="str">
        <f aca="false">IF(OR($A16="",V$4=""),"",IF(NOT(OR(V$6="Toda la plantilla",ISNUMBER(SEARCH(";"&amp;SUBSTITUTE($C16," ","")&amp;";",";"&amp;SUBSTITUTE(V$7," ","")&amp;";")))),"—",IF(_xlfn.MAXIFS(Acuses!$C$5:$C$3004,Acuses!$A$5:$A$3004,$A16,Acuses!$B$5:$B$3004,V$4)&lt;V$5,"Pendiente",IF(V$8=0,"OK",IF(EDATE(_xlfn.MAXIFS(Acuses!$D$5:$D$3004,Acuses!$A$5:$A$3004,$A16,Acuses!$B$5:$B$3004,V$4,Acuses!$C$5:$C$3004,V$5),V$8)&lt;Resumen!$C$4,"Caducado",IF(EDATE(_xlfn.MAXIFS(Acuses!$D$5:$D$3004,Acuses!$A$5:$A$3004,$A16,Acuses!$B$5:$B$3004,V$4,Acuses!$C$5:$C$3004,V$5),V$8)&lt;Resumen!$C$4+30,"Caduca pronto","OK"))))))</f>
        <v/>
      </c>
      <c r="W16" s="26" t="str">
        <f aca="false">IF(OR($A16="",W$4=""),"",IF(NOT(OR(W$6="Toda la plantilla",ISNUMBER(SEARCH(";"&amp;SUBSTITUTE($C16," ","")&amp;";",";"&amp;SUBSTITUTE(W$7," ","")&amp;";")))),"—",IF(_xlfn.MAXIFS(Acuses!$C$5:$C$3004,Acuses!$A$5:$A$3004,$A16,Acuses!$B$5:$B$3004,W$4)&lt;W$5,"Pendiente",IF(W$8=0,"OK",IF(EDATE(_xlfn.MAXIFS(Acuses!$D$5:$D$3004,Acuses!$A$5:$A$3004,$A16,Acuses!$B$5:$B$3004,W$4,Acuses!$C$5:$C$3004,W$5),W$8)&lt;Resumen!$C$4,"Caducado",IF(EDATE(_xlfn.MAXIFS(Acuses!$D$5:$D$3004,Acuses!$A$5:$A$3004,$A16,Acuses!$B$5:$B$3004,W$4,Acuses!$C$5:$C$3004,W$5),W$8)&lt;Resumen!$C$4+30,"Caduca pronto","OK"))))))</f>
        <v/>
      </c>
      <c r="X16" s="26" t="str">
        <f aca="false">IF(OR($A16="",X$4=""),"",IF(NOT(OR(X$6="Toda la plantilla",ISNUMBER(SEARCH(";"&amp;SUBSTITUTE($C16," ","")&amp;";",";"&amp;SUBSTITUTE(X$7," ","")&amp;";")))),"—",IF(_xlfn.MAXIFS(Acuses!$C$5:$C$3004,Acuses!$A$5:$A$3004,$A16,Acuses!$B$5:$B$3004,X$4)&lt;X$5,"Pendiente",IF(X$8=0,"OK",IF(EDATE(_xlfn.MAXIFS(Acuses!$D$5:$D$3004,Acuses!$A$5:$A$3004,$A16,Acuses!$B$5:$B$3004,X$4,Acuses!$C$5:$C$3004,X$5),X$8)&lt;Resumen!$C$4,"Caducado",IF(EDATE(_xlfn.MAXIFS(Acuses!$D$5:$D$3004,Acuses!$A$5:$A$3004,$A16,Acuses!$B$5:$B$3004,X$4,Acuses!$C$5:$C$3004,X$5),X$8)&lt;Resumen!$C$4+30,"Caduca pronto","OK"))))))</f>
        <v/>
      </c>
      <c r="Y16" s="26" t="str">
        <f aca="false">IF(OR($A16="",Y$4=""),"",IF(NOT(OR(Y$6="Toda la plantilla",ISNUMBER(SEARCH(";"&amp;SUBSTITUTE($C16," ","")&amp;";",";"&amp;SUBSTITUTE(Y$7," ","")&amp;";")))),"—",IF(_xlfn.MAXIFS(Acuses!$C$5:$C$3004,Acuses!$A$5:$A$3004,$A16,Acuses!$B$5:$B$3004,Y$4)&lt;Y$5,"Pendiente",IF(Y$8=0,"OK",IF(EDATE(_xlfn.MAXIFS(Acuses!$D$5:$D$3004,Acuses!$A$5:$A$3004,$A16,Acuses!$B$5:$B$3004,Y$4,Acuses!$C$5:$C$3004,Y$5),Y$8)&lt;Resumen!$C$4,"Caducado",IF(EDATE(_xlfn.MAXIFS(Acuses!$D$5:$D$3004,Acuses!$A$5:$A$3004,$A16,Acuses!$B$5:$B$3004,Y$4,Acuses!$C$5:$C$3004,Y$5),Y$8)&lt;Resumen!$C$4+30,"Caduca pronto","OK"))))))</f>
        <v/>
      </c>
      <c r="Z16" s="26" t="str">
        <f aca="false">IF(OR($A16="",Z$4=""),"",IF(NOT(OR(Z$6="Toda la plantilla",ISNUMBER(SEARCH(";"&amp;SUBSTITUTE($C16," ","")&amp;";",";"&amp;SUBSTITUTE(Z$7," ","")&amp;";")))),"—",IF(_xlfn.MAXIFS(Acuses!$C$5:$C$3004,Acuses!$A$5:$A$3004,$A16,Acuses!$B$5:$B$3004,Z$4)&lt;Z$5,"Pendiente",IF(Z$8=0,"OK",IF(EDATE(_xlfn.MAXIFS(Acuses!$D$5:$D$3004,Acuses!$A$5:$A$3004,$A16,Acuses!$B$5:$B$3004,Z$4,Acuses!$C$5:$C$3004,Z$5),Z$8)&lt;Resumen!$C$4,"Caducado",IF(EDATE(_xlfn.MAXIFS(Acuses!$D$5:$D$3004,Acuses!$A$5:$A$3004,$A16,Acuses!$B$5:$B$3004,Z$4,Acuses!$C$5:$C$3004,Z$5),Z$8)&lt;Resumen!$C$4+30,"Caduca pronto","OK"))))))</f>
        <v/>
      </c>
      <c r="AA16" s="26" t="str">
        <f aca="false">IF(OR($A16="",AA$4=""),"",IF(NOT(OR(AA$6="Toda la plantilla",ISNUMBER(SEARCH(";"&amp;SUBSTITUTE($C16," ","")&amp;";",";"&amp;SUBSTITUTE(AA$7," ","")&amp;";")))),"—",IF(_xlfn.MAXIFS(Acuses!$C$5:$C$3004,Acuses!$A$5:$A$3004,$A16,Acuses!$B$5:$B$3004,AA$4)&lt;AA$5,"Pendiente",IF(AA$8=0,"OK",IF(EDATE(_xlfn.MAXIFS(Acuses!$D$5:$D$3004,Acuses!$A$5:$A$3004,$A16,Acuses!$B$5:$B$3004,AA$4,Acuses!$C$5:$C$3004,AA$5),AA$8)&lt;Resumen!$C$4,"Caducado",IF(EDATE(_xlfn.MAXIFS(Acuses!$D$5:$D$3004,Acuses!$A$5:$A$3004,$A16,Acuses!$B$5:$B$3004,AA$4,Acuses!$C$5:$C$3004,AA$5),AA$8)&lt;Resumen!$C$4+30,"Caduca pronto","OK"))))))</f>
        <v/>
      </c>
      <c r="AB16" s="26" t="str">
        <f aca="false">IF(OR($A16="",AB$4=""),"",IF(NOT(OR(AB$6="Toda la plantilla",ISNUMBER(SEARCH(";"&amp;SUBSTITUTE($C16," ","")&amp;";",";"&amp;SUBSTITUTE(AB$7," ","")&amp;";")))),"—",IF(_xlfn.MAXIFS(Acuses!$C$5:$C$3004,Acuses!$A$5:$A$3004,$A16,Acuses!$B$5:$B$3004,AB$4)&lt;AB$5,"Pendiente",IF(AB$8=0,"OK",IF(EDATE(_xlfn.MAXIFS(Acuses!$D$5:$D$3004,Acuses!$A$5:$A$3004,$A16,Acuses!$B$5:$B$3004,AB$4,Acuses!$C$5:$C$3004,AB$5),AB$8)&lt;Resumen!$C$4,"Caducado",IF(EDATE(_xlfn.MAXIFS(Acuses!$D$5:$D$3004,Acuses!$A$5:$A$3004,$A16,Acuses!$B$5:$B$3004,AB$4,Acuses!$C$5:$C$3004,AB$5),AB$8)&lt;Resumen!$C$4+30,"Caduca pronto","OK"))))))</f>
        <v/>
      </c>
      <c r="AC16" s="26" t="str">
        <f aca="false">IF(OR($A16="",AC$4=""),"",IF(NOT(OR(AC$6="Toda la plantilla",ISNUMBER(SEARCH(";"&amp;SUBSTITUTE($C16," ","")&amp;";",";"&amp;SUBSTITUTE(AC$7," ","")&amp;";")))),"—",IF(_xlfn.MAXIFS(Acuses!$C$5:$C$3004,Acuses!$A$5:$A$3004,$A16,Acuses!$B$5:$B$3004,AC$4)&lt;AC$5,"Pendiente",IF(AC$8=0,"OK",IF(EDATE(_xlfn.MAXIFS(Acuses!$D$5:$D$3004,Acuses!$A$5:$A$3004,$A16,Acuses!$B$5:$B$3004,AC$4,Acuses!$C$5:$C$3004,AC$5),AC$8)&lt;Resumen!$C$4,"Caducado",IF(EDATE(_xlfn.MAXIFS(Acuses!$D$5:$D$3004,Acuses!$A$5:$A$3004,$A16,Acuses!$B$5:$B$3004,AC$4,Acuses!$C$5:$C$3004,AC$5),AC$8)&lt;Resumen!$C$4+30,"Caduca pronto","OK"))))))</f>
        <v/>
      </c>
      <c r="AD16" s="26" t="str">
        <f aca="false">IF(OR($A16="",AD$4=""),"",IF(NOT(OR(AD$6="Toda la plantilla",ISNUMBER(SEARCH(";"&amp;SUBSTITUTE($C16," ","")&amp;";",";"&amp;SUBSTITUTE(AD$7," ","")&amp;";")))),"—",IF(_xlfn.MAXIFS(Acuses!$C$5:$C$3004,Acuses!$A$5:$A$3004,$A16,Acuses!$B$5:$B$3004,AD$4)&lt;AD$5,"Pendiente",IF(AD$8=0,"OK",IF(EDATE(_xlfn.MAXIFS(Acuses!$D$5:$D$3004,Acuses!$A$5:$A$3004,$A16,Acuses!$B$5:$B$3004,AD$4,Acuses!$C$5:$C$3004,AD$5),AD$8)&lt;Resumen!$C$4,"Caducado",IF(EDATE(_xlfn.MAXIFS(Acuses!$D$5:$D$3004,Acuses!$A$5:$A$3004,$A16,Acuses!$B$5:$B$3004,AD$4,Acuses!$C$5:$C$3004,AD$5),AD$8)&lt;Resumen!$C$4+30,"Caduca pronto","OK"))))))</f>
        <v/>
      </c>
      <c r="AE16" s="26" t="str">
        <f aca="false">IF(OR($A16="",AE$4=""),"",IF(NOT(OR(AE$6="Toda la plantilla",ISNUMBER(SEARCH(";"&amp;SUBSTITUTE($C16," ","")&amp;";",";"&amp;SUBSTITUTE(AE$7," ","")&amp;";")))),"—",IF(_xlfn.MAXIFS(Acuses!$C$5:$C$3004,Acuses!$A$5:$A$3004,$A16,Acuses!$B$5:$B$3004,AE$4)&lt;AE$5,"Pendiente",IF(AE$8=0,"OK",IF(EDATE(_xlfn.MAXIFS(Acuses!$D$5:$D$3004,Acuses!$A$5:$A$3004,$A16,Acuses!$B$5:$B$3004,AE$4,Acuses!$C$5:$C$3004,AE$5),AE$8)&lt;Resumen!$C$4,"Caducado",IF(EDATE(_xlfn.MAXIFS(Acuses!$D$5:$D$3004,Acuses!$A$5:$A$3004,$A16,Acuses!$B$5:$B$3004,AE$4,Acuses!$C$5:$C$3004,AE$5),AE$8)&lt;Resumen!$C$4+30,"Caduca pronto","OK"))))))</f>
        <v/>
      </c>
      <c r="AF16" s="26" t="str">
        <f aca="false">IF(OR($A16="",AF$4=""),"",IF(NOT(OR(AF$6="Toda la plantilla",ISNUMBER(SEARCH(";"&amp;SUBSTITUTE($C16," ","")&amp;";",";"&amp;SUBSTITUTE(AF$7," ","")&amp;";")))),"—",IF(_xlfn.MAXIFS(Acuses!$C$5:$C$3004,Acuses!$A$5:$A$3004,$A16,Acuses!$B$5:$B$3004,AF$4)&lt;AF$5,"Pendiente",IF(AF$8=0,"OK",IF(EDATE(_xlfn.MAXIFS(Acuses!$D$5:$D$3004,Acuses!$A$5:$A$3004,$A16,Acuses!$B$5:$B$3004,AF$4,Acuses!$C$5:$C$3004,AF$5),AF$8)&lt;Resumen!$C$4,"Caducado",IF(EDATE(_xlfn.MAXIFS(Acuses!$D$5:$D$3004,Acuses!$A$5:$A$3004,$A16,Acuses!$B$5:$B$3004,AF$4,Acuses!$C$5:$C$3004,AF$5),AF$8)&lt;Resumen!$C$4+30,"Caduca pronto","OK"))))))</f>
        <v/>
      </c>
      <c r="AG16" s="26" t="str">
        <f aca="false">IF(OR($A16="",AG$4=""),"",IF(NOT(OR(AG$6="Toda la plantilla",ISNUMBER(SEARCH(";"&amp;SUBSTITUTE($C16," ","")&amp;";",";"&amp;SUBSTITUTE(AG$7," ","")&amp;";")))),"—",IF(_xlfn.MAXIFS(Acuses!$C$5:$C$3004,Acuses!$A$5:$A$3004,$A16,Acuses!$B$5:$B$3004,AG$4)&lt;AG$5,"Pendiente",IF(AG$8=0,"OK",IF(EDATE(_xlfn.MAXIFS(Acuses!$D$5:$D$3004,Acuses!$A$5:$A$3004,$A16,Acuses!$B$5:$B$3004,AG$4,Acuses!$C$5:$C$3004,AG$5),AG$8)&lt;Resumen!$C$4,"Caducado",IF(EDATE(_xlfn.MAXIFS(Acuses!$D$5:$D$3004,Acuses!$A$5:$A$3004,$A16,Acuses!$B$5:$B$3004,AG$4,Acuses!$C$5:$C$3004,AG$5),AG$8)&lt;Resumen!$C$4+30,"Caduca pronto","OK"))))))</f>
        <v/>
      </c>
      <c r="AH16" s="26" t="str">
        <f aca="false">IF(OR($A16="",AH$4=""),"",IF(NOT(OR(AH$6="Toda la plantilla",ISNUMBER(SEARCH(";"&amp;SUBSTITUTE($C16," ","")&amp;";",";"&amp;SUBSTITUTE(AH$7," ","")&amp;";")))),"—",IF(_xlfn.MAXIFS(Acuses!$C$5:$C$3004,Acuses!$A$5:$A$3004,$A16,Acuses!$B$5:$B$3004,AH$4)&lt;AH$5,"Pendiente",IF(AH$8=0,"OK",IF(EDATE(_xlfn.MAXIFS(Acuses!$D$5:$D$3004,Acuses!$A$5:$A$3004,$A16,Acuses!$B$5:$B$3004,AH$4,Acuses!$C$5:$C$3004,AH$5),AH$8)&lt;Resumen!$C$4,"Caducado",IF(EDATE(_xlfn.MAXIFS(Acuses!$D$5:$D$3004,Acuses!$A$5:$A$3004,$A16,Acuses!$B$5:$B$3004,AH$4,Acuses!$C$5:$C$3004,AH$5),AH$8)&lt;Resumen!$C$4+30,"Caduca pronto","OK"))))))</f>
        <v/>
      </c>
      <c r="AI16" s="26" t="str">
        <f aca="false">IF(OR($A16="",AI$4=""),"",IF(NOT(OR(AI$6="Toda la plantilla",ISNUMBER(SEARCH(";"&amp;SUBSTITUTE($C16," ","")&amp;";",";"&amp;SUBSTITUTE(AI$7," ","")&amp;";")))),"—",IF(_xlfn.MAXIFS(Acuses!$C$5:$C$3004,Acuses!$A$5:$A$3004,$A16,Acuses!$B$5:$B$3004,AI$4)&lt;AI$5,"Pendiente",IF(AI$8=0,"OK",IF(EDATE(_xlfn.MAXIFS(Acuses!$D$5:$D$3004,Acuses!$A$5:$A$3004,$A16,Acuses!$B$5:$B$3004,AI$4,Acuses!$C$5:$C$3004,AI$5),AI$8)&lt;Resumen!$C$4,"Caducado",IF(EDATE(_xlfn.MAXIFS(Acuses!$D$5:$D$3004,Acuses!$A$5:$A$3004,$A16,Acuses!$B$5:$B$3004,AI$4,Acuses!$C$5:$C$3004,AI$5),AI$8)&lt;Resumen!$C$4+30,"Caduca pronto","OK"))))))</f>
        <v/>
      </c>
      <c r="AJ16" s="26" t="str">
        <f aca="false">IF(OR($A16="",AJ$4=""),"",IF(NOT(OR(AJ$6="Toda la plantilla",ISNUMBER(SEARCH(";"&amp;SUBSTITUTE($C16," ","")&amp;";",";"&amp;SUBSTITUTE(AJ$7," ","")&amp;";")))),"—",IF(_xlfn.MAXIFS(Acuses!$C$5:$C$3004,Acuses!$A$5:$A$3004,$A16,Acuses!$B$5:$B$3004,AJ$4)&lt;AJ$5,"Pendiente",IF(AJ$8=0,"OK",IF(EDATE(_xlfn.MAXIFS(Acuses!$D$5:$D$3004,Acuses!$A$5:$A$3004,$A16,Acuses!$B$5:$B$3004,AJ$4,Acuses!$C$5:$C$3004,AJ$5),AJ$8)&lt;Resumen!$C$4,"Caducado",IF(EDATE(_xlfn.MAXIFS(Acuses!$D$5:$D$3004,Acuses!$A$5:$A$3004,$A16,Acuses!$B$5:$B$3004,AJ$4,Acuses!$C$5:$C$3004,AJ$5),AJ$8)&lt;Resumen!$C$4+30,"Caduca pronto","OK"))))))</f>
        <v/>
      </c>
      <c r="AK16" s="26" t="str">
        <f aca="false">IF(OR($A16="",AK$4=""),"",IF(NOT(OR(AK$6="Toda la plantilla",ISNUMBER(SEARCH(";"&amp;SUBSTITUTE($C16," ","")&amp;";",";"&amp;SUBSTITUTE(AK$7," ","")&amp;";")))),"—",IF(_xlfn.MAXIFS(Acuses!$C$5:$C$3004,Acuses!$A$5:$A$3004,$A16,Acuses!$B$5:$B$3004,AK$4)&lt;AK$5,"Pendiente",IF(AK$8=0,"OK",IF(EDATE(_xlfn.MAXIFS(Acuses!$D$5:$D$3004,Acuses!$A$5:$A$3004,$A16,Acuses!$B$5:$B$3004,AK$4,Acuses!$C$5:$C$3004,AK$5),AK$8)&lt;Resumen!$C$4,"Caducado",IF(EDATE(_xlfn.MAXIFS(Acuses!$D$5:$D$3004,Acuses!$A$5:$A$3004,$A16,Acuses!$B$5:$B$3004,AK$4,Acuses!$C$5:$C$3004,AK$5),AK$8)&lt;Resumen!$C$4+30,"Caduca pronto","OK"))))))</f>
        <v/>
      </c>
      <c r="AL16" s="26" t="str">
        <f aca="false">IF(OR($A16="",AL$4=""),"",IF(NOT(OR(AL$6="Toda la plantilla",ISNUMBER(SEARCH(";"&amp;SUBSTITUTE($C16," ","")&amp;";",";"&amp;SUBSTITUTE(AL$7," ","")&amp;";")))),"—",IF(_xlfn.MAXIFS(Acuses!$C$5:$C$3004,Acuses!$A$5:$A$3004,$A16,Acuses!$B$5:$B$3004,AL$4)&lt;AL$5,"Pendiente",IF(AL$8=0,"OK",IF(EDATE(_xlfn.MAXIFS(Acuses!$D$5:$D$3004,Acuses!$A$5:$A$3004,$A16,Acuses!$B$5:$B$3004,AL$4,Acuses!$C$5:$C$3004,AL$5),AL$8)&lt;Resumen!$C$4,"Caducado",IF(EDATE(_xlfn.MAXIFS(Acuses!$D$5:$D$3004,Acuses!$A$5:$A$3004,$A16,Acuses!$B$5:$B$3004,AL$4,Acuses!$C$5:$C$3004,AL$5),AL$8)&lt;Resumen!$C$4+30,"Caduca pronto","OK"))))))</f>
        <v/>
      </c>
      <c r="AM16" s="26" t="str">
        <f aca="false">IF(OR($A16="",AM$4=""),"",IF(NOT(OR(AM$6="Toda la plantilla",ISNUMBER(SEARCH(";"&amp;SUBSTITUTE($C16," ","")&amp;";",";"&amp;SUBSTITUTE(AM$7," ","")&amp;";")))),"—",IF(_xlfn.MAXIFS(Acuses!$C$5:$C$3004,Acuses!$A$5:$A$3004,$A16,Acuses!$B$5:$B$3004,AM$4)&lt;AM$5,"Pendiente",IF(AM$8=0,"OK",IF(EDATE(_xlfn.MAXIFS(Acuses!$D$5:$D$3004,Acuses!$A$5:$A$3004,$A16,Acuses!$B$5:$B$3004,AM$4,Acuses!$C$5:$C$3004,AM$5),AM$8)&lt;Resumen!$C$4,"Caducado",IF(EDATE(_xlfn.MAXIFS(Acuses!$D$5:$D$3004,Acuses!$A$5:$A$3004,$A16,Acuses!$B$5:$B$3004,AM$4,Acuses!$C$5:$C$3004,AM$5),AM$8)&lt;Resumen!$C$4+30,"Caduca pronto","OK"))))))</f>
        <v/>
      </c>
      <c r="AN16" s="26" t="str">
        <f aca="false">IF(OR($A16="",AN$4=""),"",IF(NOT(OR(AN$6="Toda la plantilla",ISNUMBER(SEARCH(";"&amp;SUBSTITUTE($C16," ","")&amp;";",";"&amp;SUBSTITUTE(AN$7," ","")&amp;";")))),"—",IF(_xlfn.MAXIFS(Acuses!$C$5:$C$3004,Acuses!$A$5:$A$3004,$A16,Acuses!$B$5:$B$3004,AN$4)&lt;AN$5,"Pendiente",IF(AN$8=0,"OK",IF(EDATE(_xlfn.MAXIFS(Acuses!$D$5:$D$3004,Acuses!$A$5:$A$3004,$A16,Acuses!$B$5:$B$3004,AN$4,Acuses!$C$5:$C$3004,AN$5),AN$8)&lt;Resumen!$C$4,"Caducado",IF(EDATE(_xlfn.MAXIFS(Acuses!$D$5:$D$3004,Acuses!$A$5:$A$3004,$A16,Acuses!$B$5:$B$3004,AN$4,Acuses!$C$5:$C$3004,AN$5),AN$8)&lt;Resumen!$C$4+30,"Caduca pronto","OK"))))))</f>
        <v/>
      </c>
      <c r="AO16" s="26" t="str">
        <f aca="false">IF(OR($A16="",AO$4=""),"",IF(NOT(OR(AO$6="Toda la plantilla",ISNUMBER(SEARCH(";"&amp;SUBSTITUTE($C16," ","")&amp;";",";"&amp;SUBSTITUTE(AO$7," ","")&amp;";")))),"—",IF(_xlfn.MAXIFS(Acuses!$C$5:$C$3004,Acuses!$A$5:$A$3004,$A16,Acuses!$B$5:$B$3004,AO$4)&lt;AO$5,"Pendiente",IF(AO$8=0,"OK",IF(EDATE(_xlfn.MAXIFS(Acuses!$D$5:$D$3004,Acuses!$A$5:$A$3004,$A16,Acuses!$B$5:$B$3004,AO$4,Acuses!$C$5:$C$3004,AO$5),AO$8)&lt;Resumen!$C$4,"Caducado",IF(EDATE(_xlfn.MAXIFS(Acuses!$D$5:$D$3004,Acuses!$A$5:$A$3004,$A16,Acuses!$B$5:$B$3004,AO$4,Acuses!$C$5:$C$3004,AO$5),AO$8)&lt;Resumen!$C$4+30,"Caduca pronto","OK"))))))</f>
        <v/>
      </c>
      <c r="AP16" s="26" t="str">
        <f aca="false">IF(OR($A16="",AP$4=""),"",IF(NOT(OR(AP$6="Toda la plantilla",ISNUMBER(SEARCH(";"&amp;SUBSTITUTE($C16," ","")&amp;";",";"&amp;SUBSTITUTE(AP$7," ","")&amp;";")))),"—",IF(_xlfn.MAXIFS(Acuses!$C$5:$C$3004,Acuses!$A$5:$A$3004,$A16,Acuses!$B$5:$B$3004,AP$4)&lt;AP$5,"Pendiente",IF(AP$8=0,"OK",IF(EDATE(_xlfn.MAXIFS(Acuses!$D$5:$D$3004,Acuses!$A$5:$A$3004,$A16,Acuses!$B$5:$B$3004,AP$4,Acuses!$C$5:$C$3004,AP$5),AP$8)&lt;Resumen!$C$4,"Caducado",IF(EDATE(_xlfn.MAXIFS(Acuses!$D$5:$D$3004,Acuses!$A$5:$A$3004,$A16,Acuses!$B$5:$B$3004,AP$4,Acuses!$C$5:$C$3004,AP$5),AP$8)&lt;Resumen!$C$4+30,"Caduca pronto","OK"))))))</f>
        <v/>
      </c>
      <c r="AQ16" s="26" t="str">
        <f aca="false">IF(OR($A16="",AQ$4=""),"",IF(NOT(OR(AQ$6="Toda la plantilla",ISNUMBER(SEARCH(";"&amp;SUBSTITUTE($C16," ","")&amp;";",";"&amp;SUBSTITUTE(AQ$7," ","")&amp;";")))),"—",IF(_xlfn.MAXIFS(Acuses!$C$5:$C$3004,Acuses!$A$5:$A$3004,$A16,Acuses!$B$5:$B$3004,AQ$4)&lt;AQ$5,"Pendiente",IF(AQ$8=0,"OK",IF(EDATE(_xlfn.MAXIFS(Acuses!$D$5:$D$3004,Acuses!$A$5:$A$3004,$A16,Acuses!$B$5:$B$3004,AQ$4,Acuses!$C$5:$C$3004,AQ$5),AQ$8)&lt;Resumen!$C$4,"Caducado",IF(EDATE(_xlfn.MAXIFS(Acuses!$D$5:$D$3004,Acuses!$A$5:$A$3004,$A16,Acuses!$B$5:$B$3004,AQ$4,Acuses!$C$5:$C$3004,AQ$5),AQ$8)&lt;Resumen!$C$4+30,"Caduca pronto","OK"))))))</f>
        <v/>
      </c>
    </row>
    <row r="17" customFormat="false" ht="15" hidden="false" customHeight="false" outlineLevel="0" collapsed="false">
      <c r="A17" s="25" t="str">
        <f aca="false">IF(AND(Trabajadores!$A$12&lt;&gt;"",Trabajadores!$G$12&lt;&gt;"No"),Trabajadores!$A$12,"")</f>
        <v>T008</v>
      </c>
      <c r="B17" s="25" t="str">
        <f aca="false">IF($A17="","",Trabajadores!$B$12)</f>
        <v>Nerea Sanz</v>
      </c>
      <c r="C17" s="25" t="str">
        <f aca="false">IF($A17="","",Trabajadores!$C$12)</f>
        <v>Producción</v>
      </c>
      <c r="D17" s="26" t="str">
        <f aca="false">IF(OR($A17="",D$4=""),"",IF(NOT(OR(D$6="Toda la plantilla",ISNUMBER(SEARCH(";"&amp;SUBSTITUTE($C17," ","")&amp;";",";"&amp;SUBSTITUTE(D$7," ","")&amp;";")))),"—",IF(_xlfn.MAXIFS(Acuses!$C$5:$C$3004,Acuses!$A$5:$A$3004,$A17,Acuses!$B$5:$B$3004,D$4)&lt;D$5,"Pendiente",IF(D$8=0,"OK",IF(EDATE(_xlfn.MAXIFS(Acuses!$D$5:$D$3004,Acuses!$A$5:$A$3004,$A17,Acuses!$B$5:$B$3004,D$4,Acuses!$C$5:$C$3004,D$5),D$8)&lt;Resumen!$C$4,"Caducado",IF(EDATE(_xlfn.MAXIFS(Acuses!$D$5:$D$3004,Acuses!$A$5:$A$3004,$A17,Acuses!$B$5:$B$3004,D$4,Acuses!$C$5:$C$3004,D$5),D$8)&lt;Resumen!$C$4+30,"Caduca pronto","OK"))))))</f>
        <v>OK</v>
      </c>
      <c r="E17" s="26" t="str">
        <f aca="false">IF(OR($A17="",E$4=""),"",IF(NOT(OR(E$6="Toda la plantilla",ISNUMBER(SEARCH(";"&amp;SUBSTITUTE($C17," ","")&amp;";",";"&amp;SUBSTITUTE(E$7," ","")&amp;";")))),"—",IF(_xlfn.MAXIFS(Acuses!$C$5:$C$3004,Acuses!$A$5:$A$3004,$A17,Acuses!$B$5:$B$3004,E$4)&lt;E$5,"Pendiente",IF(E$8=0,"OK",IF(EDATE(_xlfn.MAXIFS(Acuses!$D$5:$D$3004,Acuses!$A$5:$A$3004,$A17,Acuses!$B$5:$B$3004,E$4,Acuses!$C$5:$C$3004,E$5),E$8)&lt;Resumen!$C$4,"Caducado",IF(EDATE(_xlfn.MAXIFS(Acuses!$D$5:$D$3004,Acuses!$A$5:$A$3004,$A17,Acuses!$B$5:$B$3004,E$4,Acuses!$C$5:$C$3004,E$5),E$8)&lt;Resumen!$C$4+30,"Caduca pronto","OK"))))))</f>
        <v>—</v>
      </c>
      <c r="F17" s="26" t="str">
        <f aca="false">IF(OR($A17="",F$4=""),"",IF(NOT(OR(F$6="Toda la plantilla",ISNUMBER(SEARCH(";"&amp;SUBSTITUTE($C17," ","")&amp;";",";"&amp;SUBSTITUTE(F$7," ","")&amp;";")))),"—",IF(_xlfn.MAXIFS(Acuses!$C$5:$C$3004,Acuses!$A$5:$A$3004,$A17,Acuses!$B$5:$B$3004,F$4)&lt;F$5,"Pendiente",IF(F$8=0,"OK",IF(EDATE(_xlfn.MAXIFS(Acuses!$D$5:$D$3004,Acuses!$A$5:$A$3004,$A17,Acuses!$B$5:$B$3004,F$4,Acuses!$C$5:$C$3004,F$5),F$8)&lt;Resumen!$C$4,"Caducado",IF(EDATE(_xlfn.MAXIFS(Acuses!$D$5:$D$3004,Acuses!$A$5:$A$3004,$A17,Acuses!$B$5:$B$3004,F$4,Acuses!$C$5:$C$3004,F$5),F$8)&lt;Resumen!$C$4+30,"Caduca pronto","OK"))))))</f>
        <v>Pendiente</v>
      </c>
      <c r="G17" s="26" t="str">
        <f aca="false">IF(OR($A17="",G$4=""),"",IF(NOT(OR(G$6="Toda la plantilla",ISNUMBER(SEARCH(";"&amp;SUBSTITUTE($C17," ","")&amp;";",";"&amp;SUBSTITUTE(G$7," ","")&amp;";")))),"—",IF(_xlfn.MAXIFS(Acuses!$C$5:$C$3004,Acuses!$A$5:$A$3004,$A17,Acuses!$B$5:$B$3004,G$4)&lt;G$5,"Pendiente",IF(G$8=0,"OK",IF(EDATE(_xlfn.MAXIFS(Acuses!$D$5:$D$3004,Acuses!$A$5:$A$3004,$A17,Acuses!$B$5:$B$3004,G$4,Acuses!$C$5:$C$3004,G$5),G$8)&lt;Resumen!$C$4,"Caducado",IF(EDATE(_xlfn.MAXIFS(Acuses!$D$5:$D$3004,Acuses!$A$5:$A$3004,$A17,Acuses!$B$5:$B$3004,G$4,Acuses!$C$5:$C$3004,G$5),G$8)&lt;Resumen!$C$4+30,"Caduca pronto","OK"))))))</f>
        <v>Pendiente</v>
      </c>
      <c r="H17" s="26" t="str">
        <f aca="false">IF(OR($A17="",H$4=""),"",IF(NOT(OR(H$6="Toda la plantilla",ISNUMBER(SEARCH(";"&amp;SUBSTITUTE($C17," ","")&amp;";",";"&amp;SUBSTITUTE(H$7," ","")&amp;";")))),"—",IF(_xlfn.MAXIFS(Acuses!$C$5:$C$3004,Acuses!$A$5:$A$3004,$A17,Acuses!$B$5:$B$3004,H$4)&lt;H$5,"Pendiente",IF(H$8=0,"OK",IF(EDATE(_xlfn.MAXIFS(Acuses!$D$5:$D$3004,Acuses!$A$5:$A$3004,$A17,Acuses!$B$5:$B$3004,H$4,Acuses!$C$5:$C$3004,H$5),H$8)&lt;Resumen!$C$4,"Caducado",IF(EDATE(_xlfn.MAXIFS(Acuses!$D$5:$D$3004,Acuses!$A$5:$A$3004,$A17,Acuses!$B$5:$B$3004,H$4,Acuses!$C$5:$C$3004,H$5),H$8)&lt;Resumen!$C$4+30,"Caduca pronto","OK"))))))</f>
        <v>Pendiente</v>
      </c>
      <c r="I17" s="26" t="str">
        <f aca="false">IF(OR($A17="",I$4=""),"",IF(NOT(OR(I$6="Toda la plantilla",ISNUMBER(SEARCH(";"&amp;SUBSTITUTE($C17," ","")&amp;";",";"&amp;SUBSTITUTE(I$7," ","")&amp;";")))),"—",IF(_xlfn.MAXIFS(Acuses!$C$5:$C$3004,Acuses!$A$5:$A$3004,$A17,Acuses!$B$5:$B$3004,I$4)&lt;I$5,"Pendiente",IF(I$8=0,"OK",IF(EDATE(_xlfn.MAXIFS(Acuses!$D$5:$D$3004,Acuses!$A$5:$A$3004,$A17,Acuses!$B$5:$B$3004,I$4,Acuses!$C$5:$C$3004,I$5),I$8)&lt;Resumen!$C$4,"Caducado",IF(EDATE(_xlfn.MAXIFS(Acuses!$D$5:$D$3004,Acuses!$A$5:$A$3004,$A17,Acuses!$B$5:$B$3004,I$4,Acuses!$C$5:$C$3004,I$5),I$8)&lt;Resumen!$C$4+30,"Caduca pronto","OK"))))))</f>
        <v>OK</v>
      </c>
      <c r="J17" s="26" t="str">
        <f aca="false">IF(OR($A17="",J$4=""),"",IF(NOT(OR(J$6="Toda la plantilla",ISNUMBER(SEARCH(";"&amp;SUBSTITUTE($C17," ","")&amp;";",";"&amp;SUBSTITUTE(J$7," ","")&amp;";")))),"—",IF(_xlfn.MAXIFS(Acuses!$C$5:$C$3004,Acuses!$A$5:$A$3004,$A17,Acuses!$B$5:$B$3004,J$4)&lt;J$5,"Pendiente",IF(J$8=0,"OK",IF(EDATE(_xlfn.MAXIFS(Acuses!$D$5:$D$3004,Acuses!$A$5:$A$3004,$A17,Acuses!$B$5:$B$3004,J$4,Acuses!$C$5:$C$3004,J$5),J$8)&lt;Resumen!$C$4,"Caducado",IF(EDATE(_xlfn.MAXIFS(Acuses!$D$5:$D$3004,Acuses!$A$5:$A$3004,$A17,Acuses!$B$5:$B$3004,J$4,Acuses!$C$5:$C$3004,J$5),J$8)&lt;Resumen!$C$4+30,"Caduca pronto","OK"))))))</f>
        <v>Pendiente</v>
      </c>
      <c r="K17" s="26" t="str">
        <f aca="false">IF(OR($A17="",K$4=""),"",IF(NOT(OR(K$6="Toda la plantilla",ISNUMBER(SEARCH(";"&amp;SUBSTITUTE($C17," ","")&amp;";",";"&amp;SUBSTITUTE(K$7," ","")&amp;";")))),"—",IF(_xlfn.MAXIFS(Acuses!$C$5:$C$3004,Acuses!$A$5:$A$3004,$A17,Acuses!$B$5:$B$3004,K$4)&lt;K$5,"Pendiente",IF(K$8=0,"OK",IF(EDATE(_xlfn.MAXIFS(Acuses!$D$5:$D$3004,Acuses!$A$5:$A$3004,$A17,Acuses!$B$5:$B$3004,K$4,Acuses!$C$5:$C$3004,K$5),K$8)&lt;Resumen!$C$4,"Caducado",IF(EDATE(_xlfn.MAXIFS(Acuses!$D$5:$D$3004,Acuses!$A$5:$A$3004,$A17,Acuses!$B$5:$B$3004,K$4,Acuses!$C$5:$C$3004,K$5),K$8)&lt;Resumen!$C$4+30,"Caduca pronto","OK"))))))</f>
        <v>Pendiente</v>
      </c>
      <c r="L17" s="26" t="str">
        <f aca="false">IF(OR($A17="",L$4=""),"",IF(NOT(OR(L$6="Toda la plantilla",ISNUMBER(SEARCH(";"&amp;SUBSTITUTE($C17," ","")&amp;";",";"&amp;SUBSTITUTE(L$7," ","")&amp;";")))),"—",IF(_xlfn.MAXIFS(Acuses!$C$5:$C$3004,Acuses!$A$5:$A$3004,$A17,Acuses!$B$5:$B$3004,L$4)&lt;L$5,"Pendiente",IF(L$8=0,"OK",IF(EDATE(_xlfn.MAXIFS(Acuses!$D$5:$D$3004,Acuses!$A$5:$A$3004,$A17,Acuses!$B$5:$B$3004,L$4,Acuses!$C$5:$C$3004,L$5),L$8)&lt;Resumen!$C$4,"Caducado",IF(EDATE(_xlfn.MAXIFS(Acuses!$D$5:$D$3004,Acuses!$A$5:$A$3004,$A17,Acuses!$B$5:$B$3004,L$4,Acuses!$C$5:$C$3004,L$5),L$8)&lt;Resumen!$C$4+30,"Caduca pronto","OK"))))))</f>
        <v/>
      </c>
      <c r="M17" s="26" t="str">
        <f aca="false">IF(OR($A17="",M$4=""),"",IF(NOT(OR(M$6="Toda la plantilla",ISNUMBER(SEARCH(";"&amp;SUBSTITUTE($C17," ","")&amp;";",";"&amp;SUBSTITUTE(M$7," ","")&amp;";")))),"—",IF(_xlfn.MAXIFS(Acuses!$C$5:$C$3004,Acuses!$A$5:$A$3004,$A17,Acuses!$B$5:$B$3004,M$4)&lt;M$5,"Pendiente",IF(M$8=0,"OK",IF(EDATE(_xlfn.MAXIFS(Acuses!$D$5:$D$3004,Acuses!$A$5:$A$3004,$A17,Acuses!$B$5:$B$3004,M$4,Acuses!$C$5:$C$3004,M$5),M$8)&lt;Resumen!$C$4,"Caducado",IF(EDATE(_xlfn.MAXIFS(Acuses!$D$5:$D$3004,Acuses!$A$5:$A$3004,$A17,Acuses!$B$5:$B$3004,M$4,Acuses!$C$5:$C$3004,M$5),M$8)&lt;Resumen!$C$4+30,"Caduca pronto","OK"))))))</f>
        <v/>
      </c>
      <c r="N17" s="26" t="str">
        <f aca="false">IF(OR($A17="",N$4=""),"",IF(NOT(OR(N$6="Toda la plantilla",ISNUMBER(SEARCH(";"&amp;SUBSTITUTE($C17," ","")&amp;";",";"&amp;SUBSTITUTE(N$7," ","")&amp;";")))),"—",IF(_xlfn.MAXIFS(Acuses!$C$5:$C$3004,Acuses!$A$5:$A$3004,$A17,Acuses!$B$5:$B$3004,N$4)&lt;N$5,"Pendiente",IF(N$8=0,"OK",IF(EDATE(_xlfn.MAXIFS(Acuses!$D$5:$D$3004,Acuses!$A$5:$A$3004,$A17,Acuses!$B$5:$B$3004,N$4,Acuses!$C$5:$C$3004,N$5),N$8)&lt;Resumen!$C$4,"Caducado",IF(EDATE(_xlfn.MAXIFS(Acuses!$D$5:$D$3004,Acuses!$A$5:$A$3004,$A17,Acuses!$B$5:$B$3004,N$4,Acuses!$C$5:$C$3004,N$5),N$8)&lt;Resumen!$C$4+30,"Caduca pronto","OK"))))))</f>
        <v/>
      </c>
      <c r="O17" s="26" t="str">
        <f aca="false">IF(OR($A17="",O$4=""),"",IF(NOT(OR(O$6="Toda la plantilla",ISNUMBER(SEARCH(";"&amp;SUBSTITUTE($C17," ","")&amp;";",";"&amp;SUBSTITUTE(O$7," ","")&amp;";")))),"—",IF(_xlfn.MAXIFS(Acuses!$C$5:$C$3004,Acuses!$A$5:$A$3004,$A17,Acuses!$B$5:$B$3004,O$4)&lt;O$5,"Pendiente",IF(O$8=0,"OK",IF(EDATE(_xlfn.MAXIFS(Acuses!$D$5:$D$3004,Acuses!$A$5:$A$3004,$A17,Acuses!$B$5:$B$3004,O$4,Acuses!$C$5:$C$3004,O$5),O$8)&lt;Resumen!$C$4,"Caducado",IF(EDATE(_xlfn.MAXIFS(Acuses!$D$5:$D$3004,Acuses!$A$5:$A$3004,$A17,Acuses!$B$5:$B$3004,O$4,Acuses!$C$5:$C$3004,O$5),O$8)&lt;Resumen!$C$4+30,"Caduca pronto","OK"))))))</f>
        <v/>
      </c>
      <c r="P17" s="26" t="str">
        <f aca="false">IF(OR($A17="",P$4=""),"",IF(NOT(OR(P$6="Toda la plantilla",ISNUMBER(SEARCH(";"&amp;SUBSTITUTE($C17," ","")&amp;";",";"&amp;SUBSTITUTE(P$7," ","")&amp;";")))),"—",IF(_xlfn.MAXIFS(Acuses!$C$5:$C$3004,Acuses!$A$5:$A$3004,$A17,Acuses!$B$5:$B$3004,P$4)&lt;P$5,"Pendiente",IF(P$8=0,"OK",IF(EDATE(_xlfn.MAXIFS(Acuses!$D$5:$D$3004,Acuses!$A$5:$A$3004,$A17,Acuses!$B$5:$B$3004,P$4,Acuses!$C$5:$C$3004,P$5),P$8)&lt;Resumen!$C$4,"Caducado",IF(EDATE(_xlfn.MAXIFS(Acuses!$D$5:$D$3004,Acuses!$A$5:$A$3004,$A17,Acuses!$B$5:$B$3004,P$4,Acuses!$C$5:$C$3004,P$5),P$8)&lt;Resumen!$C$4+30,"Caduca pronto","OK"))))))</f>
        <v/>
      </c>
      <c r="Q17" s="26" t="str">
        <f aca="false">IF(OR($A17="",Q$4=""),"",IF(NOT(OR(Q$6="Toda la plantilla",ISNUMBER(SEARCH(";"&amp;SUBSTITUTE($C17," ","")&amp;";",";"&amp;SUBSTITUTE(Q$7," ","")&amp;";")))),"—",IF(_xlfn.MAXIFS(Acuses!$C$5:$C$3004,Acuses!$A$5:$A$3004,$A17,Acuses!$B$5:$B$3004,Q$4)&lt;Q$5,"Pendiente",IF(Q$8=0,"OK",IF(EDATE(_xlfn.MAXIFS(Acuses!$D$5:$D$3004,Acuses!$A$5:$A$3004,$A17,Acuses!$B$5:$B$3004,Q$4,Acuses!$C$5:$C$3004,Q$5),Q$8)&lt;Resumen!$C$4,"Caducado",IF(EDATE(_xlfn.MAXIFS(Acuses!$D$5:$D$3004,Acuses!$A$5:$A$3004,$A17,Acuses!$B$5:$B$3004,Q$4,Acuses!$C$5:$C$3004,Q$5),Q$8)&lt;Resumen!$C$4+30,"Caduca pronto","OK"))))))</f>
        <v/>
      </c>
      <c r="R17" s="26" t="str">
        <f aca="false">IF(OR($A17="",R$4=""),"",IF(NOT(OR(R$6="Toda la plantilla",ISNUMBER(SEARCH(";"&amp;SUBSTITUTE($C17," ","")&amp;";",";"&amp;SUBSTITUTE(R$7," ","")&amp;";")))),"—",IF(_xlfn.MAXIFS(Acuses!$C$5:$C$3004,Acuses!$A$5:$A$3004,$A17,Acuses!$B$5:$B$3004,R$4)&lt;R$5,"Pendiente",IF(R$8=0,"OK",IF(EDATE(_xlfn.MAXIFS(Acuses!$D$5:$D$3004,Acuses!$A$5:$A$3004,$A17,Acuses!$B$5:$B$3004,R$4,Acuses!$C$5:$C$3004,R$5),R$8)&lt;Resumen!$C$4,"Caducado",IF(EDATE(_xlfn.MAXIFS(Acuses!$D$5:$D$3004,Acuses!$A$5:$A$3004,$A17,Acuses!$B$5:$B$3004,R$4,Acuses!$C$5:$C$3004,R$5),R$8)&lt;Resumen!$C$4+30,"Caduca pronto","OK"))))))</f>
        <v/>
      </c>
      <c r="S17" s="26" t="str">
        <f aca="false">IF(OR($A17="",S$4=""),"",IF(NOT(OR(S$6="Toda la plantilla",ISNUMBER(SEARCH(";"&amp;SUBSTITUTE($C17," ","")&amp;";",";"&amp;SUBSTITUTE(S$7," ","")&amp;";")))),"—",IF(_xlfn.MAXIFS(Acuses!$C$5:$C$3004,Acuses!$A$5:$A$3004,$A17,Acuses!$B$5:$B$3004,S$4)&lt;S$5,"Pendiente",IF(S$8=0,"OK",IF(EDATE(_xlfn.MAXIFS(Acuses!$D$5:$D$3004,Acuses!$A$5:$A$3004,$A17,Acuses!$B$5:$B$3004,S$4,Acuses!$C$5:$C$3004,S$5),S$8)&lt;Resumen!$C$4,"Caducado",IF(EDATE(_xlfn.MAXIFS(Acuses!$D$5:$D$3004,Acuses!$A$5:$A$3004,$A17,Acuses!$B$5:$B$3004,S$4,Acuses!$C$5:$C$3004,S$5),S$8)&lt;Resumen!$C$4+30,"Caduca pronto","OK"))))))</f>
        <v/>
      </c>
      <c r="T17" s="26" t="str">
        <f aca="false">IF(OR($A17="",T$4=""),"",IF(NOT(OR(T$6="Toda la plantilla",ISNUMBER(SEARCH(";"&amp;SUBSTITUTE($C17," ","")&amp;";",";"&amp;SUBSTITUTE(T$7," ","")&amp;";")))),"—",IF(_xlfn.MAXIFS(Acuses!$C$5:$C$3004,Acuses!$A$5:$A$3004,$A17,Acuses!$B$5:$B$3004,T$4)&lt;T$5,"Pendiente",IF(T$8=0,"OK",IF(EDATE(_xlfn.MAXIFS(Acuses!$D$5:$D$3004,Acuses!$A$5:$A$3004,$A17,Acuses!$B$5:$B$3004,T$4,Acuses!$C$5:$C$3004,T$5),T$8)&lt;Resumen!$C$4,"Caducado",IF(EDATE(_xlfn.MAXIFS(Acuses!$D$5:$D$3004,Acuses!$A$5:$A$3004,$A17,Acuses!$B$5:$B$3004,T$4,Acuses!$C$5:$C$3004,T$5),T$8)&lt;Resumen!$C$4+30,"Caduca pronto","OK"))))))</f>
        <v/>
      </c>
      <c r="U17" s="26" t="str">
        <f aca="false">IF(OR($A17="",U$4=""),"",IF(NOT(OR(U$6="Toda la plantilla",ISNUMBER(SEARCH(";"&amp;SUBSTITUTE($C17," ","")&amp;";",";"&amp;SUBSTITUTE(U$7," ","")&amp;";")))),"—",IF(_xlfn.MAXIFS(Acuses!$C$5:$C$3004,Acuses!$A$5:$A$3004,$A17,Acuses!$B$5:$B$3004,U$4)&lt;U$5,"Pendiente",IF(U$8=0,"OK",IF(EDATE(_xlfn.MAXIFS(Acuses!$D$5:$D$3004,Acuses!$A$5:$A$3004,$A17,Acuses!$B$5:$B$3004,U$4,Acuses!$C$5:$C$3004,U$5),U$8)&lt;Resumen!$C$4,"Caducado",IF(EDATE(_xlfn.MAXIFS(Acuses!$D$5:$D$3004,Acuses!$A$5:$A$3004,$A17,Acuses!$B$5:$B$3004,U$4,Acuses!$C$5:$C$3004,U$5),U$8)&lt;Resumen!$C$4+30,"Caduca pronto","OK"))))))</f>
        <v/>
      </c>
      <c r="V17" s="26" t="str">
        <f aca="false">IF(OR($A17="",V$4=""),"",IF(NOT(OR(V$6="Toda la plantilla",ISNUMBER(SEARCH(";"&amp;SUBSTITUTE($C17," ","")&amp;";",";"&amp;SUBSTITUTE(V$7," ","")&amp;";")))),"—",IF(_xlfn.MAXIFS(Acuses!$C$5:$C$3004,Acuses!$A$5:$A$3004,$A17,Acuses!$B$5:$B$3004,V$4)&lt;V$5,"Pendiente",IF(V$8=0,"OK",IF(EDATE(_xlfn.MAXIFS(Acuses!$D$5:$D$3004,Acuses!$A$5:$A$3004,$A17,Acuses!$B$5:$B$3004,V$4,Acuses!$C$5:$C$3004,V$5),V$8)&lt;Resumen!$C$4,"Caducado",IF(EDATE(_xlfn.MAXIFS(Acuses!$D$5:$D$3004,Acuses!$A$5:$A$3004,$A17,Acuses!$B$5:$B$3004,V$4,Acuses!$C$5:$C$3004,V$5),V$8)&lt;Resumen!$C$4+30,"Caduca pronto","OK"))))))</f>
        <v/>
      </c>
      <c r="W17" s="26" t="str">
        <f aca="false">IF(OR($A17="",W$4=""),"",IF(NOT(OR(W$6="Toda la plantilla",ISNUMBER(SEARCH(";"&amp;SUBSTITUTE($C17," ","")&amp;";",";"&amp;SUBSTITUTE(W$7," ","")&amp;";")))),"—",IF(_xlfn.MAXIFS(Acuses!$C$5:$C$3004,Acuses!$A$5:$A$3004,$A17,Acuses!$B$5:$B$3004,W$4)&lt;W$5,"Pendiente",IF(W$8=0,"OK",IF(EDATE(_xlfn.MAXIFS(Acuses!$D$5:$D$3004,Acuses!$A$5:$A$3004,$A17,Acuses!$B$5:$B$3004,W$4,Acuses!$C$5:$C$3004,W$5),W$8)&lt;Resumen!$C$4,"Caducado",IF(EDATE(_xlfn.MAXIFS(Acuses!$D$5:$D$3004,Acuses!$A$5:$A$3004,$A17,Acuses!$B$5:$B$3004,W$4,Acuses!$C$5:$C$3004,W$5),W$8)&lt;Resumen!$C$4+30,"Caduca pronto","OK"))))))</f>
        <v/>
      </c>
      <c r="X17" s="26" t="str">
        <f aca="false">IF(OR($A17="",X$4=""),"",IF(NOT(OR(X$6="Toda la plantilla",ISNUMBER(SEARCH(";"&amp;SUBSTITUTE($C17," ","")&amp;";",";"&amp;SUBSTITUTE(X$7," ","")&amp;";")))),"—",IF(_xlfn.MAXIFS(Acuses!$C$5:$C$3004,Acuses!$A$5:$A$3004,$A17,Acuses!$B$5:$B$3004,X$4)&lt;X$5,"Pendiente",IF(X$8=0,"OK",IF(EDATE(_xlfn.MAXIFS(Acuses!$D$5:$D$3004,Acuses!$A$5:$A$3004,$A17,Acuses!$B$5:$B$3004,X$4,Acuses!$C$5:$C$3004,X$5),X$8)&lt;Resumen!$C$4,"Caducado",IF(EDATE(_xlfn.MAXIFS(Acuses!$D$5:$D$3004,Acuses!$A$5:$A$3004,$A17,Acuses!$B$5:$B$3004,X$4,Acuses!$C$5:$C$3004,X$5),X$8)&lt;Resumen!$C$4+30,"Caduca pronto","OK"))))))</f>
        <v/>
      </c>
      <c r="Y17" s="26" t="str">
        <f aca="false">IF(OR($A17="",Y$4=""),"",IF(NOT(OR(Y$6="Toda la plantilla",ISNUMBER(SEARCH(";"&amp;SUBSTITUTE($C17," ","")&amp;";",";"&amp;SUBSTITUTE(Y$7," ","")&amp;";")))),"—",IF(_xlfn.MAXIFS(Acuses!$C$5:$C$3004,Acuses!$A$5:$A$3004,$A17,Acuses!$B$5:$B$3004,Y$4)&lt;Y$5,"Pendiente",IF(Y$8=0,"OK",IF(EDATE(_xlfn.MAXIFS(Acuses!$D$5:$D$3004,Acuses!$A$5:$A$3004,$A17,Acuses!$B$5:$B$3004,Y$4,Acuses!$C$5:$C$3004,Y$5),Y$8)&lt;Resumen!$C$4,"Caducado",IF(EDATE(_xlfn.MAXIFS(Acuses!$D$5:$D$3004,Acuses!$A$5:$A$3004,$A17,Acuses!$B$5:$B$3004,Y$4,Acuses!$C$5:$C$3004,Y$5),Y$8)&lt;Resumen!$C$4+30,"Caduca pronto","OK"))))))</f>
        <v/>
      </c>
      <c r="Z17" s="26" t="str">
        <f aca="false">IF(OR($A17="",Z$4=""),"",IF(NOT(OR(Z$6="Toda la plantilla",ISNUMBER(SEARCH(";"&amp;SUBSTITUTE($C17," ","")&amp;";",";"&amp;SUBSTITUTE(Z$7," ","")&amp;";")))),"—",IF(_xlfn.MAXIFS(Acuses!$C$5:$C$3004,Acuses!$A$5:$A$3004,$A17,Acuses!$B$5:$B$3004,Z$4)&lt;Z$5,"Pendiente",IF(Z$8=0,"OK",IF(EDATE(_xlfn.MAXIFS(Acuses!$D$5:$D$3004,Acuses!$A$5:$A$3004,$A17,Acuses!$B$5:$B$3004,Z$4,Acuses!$C$5:$C$3004,Z$5),Z$8)&lt;Resumen!$C$4,"Caducado",IF(EDATE(_xlfn.MAXIFS(Acuses!$D$5:$D$3004,Acuses!$A$5:$A$3004,$A17,Acuses!$B$5:$B$3004,Z$4,Acuses!$C$5:$C$3004,Z$5),Z$8)&lt;Resumen!$C$4+30,"Caduca pronto","OK"))))))</f>
        <v/>
      </c>
      <c r="AA17" s="26" t="str">
        <f aca="false">IF(OR($A17="",AA$4=""),"",IF(NOT(OR(AA$6="Toda la plantilla",ISNUMBER(SEARCH(";"&amp;SUBSTITUTE($C17," ","")&amp;";",";"&amp;SUBSTITUTE(AA$7," ","")&amp;";")))),"—",IF(_xlfn.MAXIFS(Acuses!$C$5:$C$3004,Acuses!$A$5:$A$3004,$A17,Acuses!$B$5:$B$3004,AA$4)&lt;AA$5,"Pendiente",IF(AA$8=0,"OK",IF(EDATE(_xlfn.MAXIFS(Acuses!$D$5:$D$3004,Acuses!$A$5:$A$3004,$A17,Acuses!$B$5:$B$3004,AA$4,Acuses!$C$5:$C$3004,AA$5),AA$8)&lt;Resumen!$C$4,"Caducado",IF(EDATE(_xlfn.MAXIFS(Acuses!$D$5:$D$3004,Acuses!$A$5:$A$3004,$A17,Acuses!$B$5:$B$3004,AA$4,Acuses!$C$5:$C$3004,AA$5),AA$8)&lt;Resumen!$C$4+30,"Caduca pronto","OK"))))))</f>
        <v/>
      </c>
      <c r="AB17" s="26" t="str">
        <f aca="false">IF(OR($A17="",AB$4=""),"",IF(NOT(OR(AB$6="Toda la plantilla",ISNUMBER(SEARCH(";"&amp;SUBSTITUTE($C17," ","")&amp;";",";"&amp;SUBSTITUTE(AB$7," ","")&amp;";")))),"—",IF(_xlfn.MAXIFS(Acuses!$C$5:$C$3004,Acuses!$A$5:$A$3004,$A17,Acuses!$B$5:$B$3004,AB$4)&lt;AB$5,"Pendiente",IF(AB$8=0,"OK",IF(EDATE(_xlfn.MAXIFS(Acuses!$D$5:$D$3004,Acuses!$A$5:$A$3004,$A17,Acuses!$B$5:$B$3004,AB$4,Acuses!$C$5:$C$3004,AB$5),AB$8)&lt;Resumen!$C$4,"Caducado",IF(EDATE(_xlfn.MAXIFS(Acuses!$D$5:$D$3004,Acuses!$A$5:$A$3004,$A17,Acuses!$B$5:$B$3004,AB$4,Acuses!$C$5:$C$3004,AB$5),AB$8)&lt;Resumen!$C$4+30,"Caduca pronto","OK"))))))</f>
        <v/>
      </c>
      <c r="AC17" s="26" t="str">
        <f aca="false">IF(OR($A17="",AC$4=""),"",IF(NOT(OR(AC$6="Toda la plantilla",ISNUMBER(SEARCH(";"&amp;SUBSTITUTE($C17," ","")&amp;";",";"&amp;SUBSTITUTE(AC$7," ","")&amp;";")))),"—",IF(_xlfn.MAXIFS(Acuses!$C$5:$C$3004,Acuses!$A$5:$A$3004,$A17,Acuses!$B$5:$B$3004,AC$4)&lt;AC$5,"Pendiente",IF(AC$8=0,"OK",IF(EDATE(_xlfn.MAXIFS(Acuses!$D$5:$D$3004,Acuses!$A$5:$A$3004,$A17,Acuses!$B$5:$B$3004,AC$4,Acuses!$C$5:$C$3004,AC$5),AC$8)&lt;Resumen!$C$4,"Caducado",IF(EDATE(_xlfn.MAXIFS(Acuses!$D$5:$D$3004,Acuses!$A$5:$A$3004,$A17,Acuses!$B$5:$B$3004,AC$4,Acuses!$C$5:$C$3004,AC$5),AC$8)&lt;Resumen!$C$4+30,"Caduca pronto","OK"))))))</f>
        <v/>
      </c>
      <c r="AD17" s="26" t="str">
        <f aca="false">IF(OR($A17="",AD$4=""),"",IF(NOT(OR(AD$6="Toda la plantilla",ISNUMBER(SEARCH(";"&amp;SUBSTITUTE($C17," ","")&amp;";",";"&amp;SUBSTITUTE(AD$7," ","")&amp;";")))),"—",IF(_xlfn.MAXIFS(Acuses!$C$5:$C$3004,Acuses!$A$5:$A$3004,$A17,Acuses!$B$5:$B$3004,AD$4)&lt;AD$5,"Pendiente",IF(AD$8=0,"OK",IF(EDATE(_xlfn.MAXIFS(Acuses!$D$5:$D$3004,Acuses!$A$5:$A$3004,$A17,Acuses!$B$5:$B$3004,AD$4,Acuses!$C$5:$C$3004,AD$5),AD$8)&lt;Resumen!$C$4,"Caducado",IF(EDATE(_xlfn.MAXIFS(Acuses!$D$5:$D$3004,Acuses!$A$5:$A$3004,$A17,Acuses!$B$5:$B$3004,AD$4,Acuses!$C$5:$C$3004,AD$5),AD$8)&lt;Resumen!$C$4+30,"Caduca pronto","OK"))))))</f>
        <v/>
      </c>
      <c r="AE17" s="26" t="str">
        <f aca="false">IF(OR($A17="",AE$4=""),"",IF(NOT(OR(AE$6="Toda la plantilla",ISNUMBER(SEARCH(";"&amp;SUBSTITUTE($C17," ","")&amp;";",";"&amp;SUBSTITUTE(AE$7," ","")&amp;";")))),"—",IF(_xlfn.MAXIFS(Acuses!$C$5:$C$3004,Acuses!$A$5:$A$3004,$A17,Acuses!$B$5:$B$3004,AE$4)&lt;AE$5,"Pendiente",IF(AE$8=0,"OK",IF(EDATE(_xlfn.MAXIFS(Acuses!$D$5:$D$3004,Acuses!$A$5:$A$3004,$A17,Acuses!$B$5:$B$3004,AE$4,Acuses!$C$5:$C$3004,AE$5),AE$8)&lt;Resumen!$C$4,"Caducado",IF(EDATE(_xlfn.MAXIFS(Acuses!$D$5:$D$3004,Acuses!$A$5:$A$3004,$A17,Acuses!$B$5:$B$3004,AE$4,Acuses!$C$5:$C$3004,AE$5),AE$8)&lt;Resumen!$C$4+30,"Caduca pronto","OK"))))))</f>
        <v/>
      </c>
      <c r="AF17" s="26" t="str">
        <f aca="false">IF(OR($A17="",AF$4=""),"",IF(NOT(OR(AF$6="Toda la plantilla",ISNUMBER(SEARCH(";"&amp;SUBSTITUTE($C17," ","")&amp;";",";"&amp;SUBSTITUTE(AF$7," ","")&amp;";")))),"—",IF(_xlfn.MAXIFS(Acuses!$C$5:$C$3004,Acuses!$A$5:$A$3004,$A17,Acuses!$B$5:$B$3004,AF$4)&lt;AF$5,"Pendiente",IF(AF$8=0,"OK",IF(EDATE(_xlfn.MAXIFS(Acuses!$D$5:$D$3004,Acuses!$A$5:$A$3004,$A17,Acuses!$B$5:$B$3004,AF$4,Acuses!$C$5:$C$3004,AF$5),AF$8)&lt;Resumen!$C$4,"Caducado",IF(EDATE(_xlfn.MAXIFS(Acuses!$D$5:$D$3004,Acuses!$A$5:$A$3004,$A17,Acuses!$B$5:$B$3004,AF$4,Acuses!$C$5:$C$3004,AF$5),AF$8)&lt;Resumen!$C$4+30,"Caduca pronto","OK"))))))</f>
        <v/>
      </c>
      <c r="AG17" s="26" t="str">
        <f aca="false">IF(OR($A17="",AG$4=""),"",IF(NOT(OR(AG$6="Toda la plantilla",ISNUMBER(SEARCH(";"&amp;SUBSTITUTE($C17," ","")&amp;";",";"&amp;SUBSTITUTE(AG$7," ","")&amp;";")))),"—",IF(_xlfn.MAXIFS(Acuses!$C$5:$C$3004,Acuses!$A$5:$A$3004,$A17,Acuses!$B$5:$B$3004,AG$4)&lt;AG$5,"Pendiente",IF(AG$8=0,"OK",IF(EDATE(_xlfn.MAXIFS(Acuses!$D$5:$D$3004,Acuses!$A$5:$A$3004,$A17,Acuses!$B$5:$B$3004,AG$4,Acuses!$C$5:$C$3004,AG$5),AG$8)&lt;Resumen!$C$4,"Caducado",IF(EDATE(_xlfn.MAXIFS(Acuses!$D$5:$D$3004,Acuses!$A$5:$A$3004,$A17,Acuses!$B$5:$B$3004,AG$4,Acuses!$C$5:$C$3004,AG$5),AG$8)&lt;Resumen!$C$4+30,"Caduca pronto","OK"))))))</f>
        <v/>
      </c>
      <c r="AH17" s="26" t="str">
        <f aca="false">IF(OR($A17="",AH$4=""),"",IF(NOT(OR(AH$6="Toda la plantilla",ISNUMBER(SEARCH(";"&amp;SUBSTITUTE($C17," ","")&amp;";",";"&amp;SUBSTITUTE(AH$7," ","")&amp;";")))),"—",IF(_xlfn.MAXIFS(Acuses!$C$5:$C$3004,Acuses!$A$5:$A$3004,$A17,Acuses!$B$5:$B$3004,AH$4)&lt;AH$5,"Pendiente",IF(AH$8=0,"OK",IF(EDATE(_xlfn.MAXIFS(Acuses!$D$5:$D$3004,Acuses!$A$5:$A$3004,$A17,Acuses!$B$5:$B$3004,AH$4,Acuses!$C$5:$C$3004,AH$5),AH$8)&lt;Resumen!$C$4,"Caducado",IF(EDATE(_xlfn.MAXIFS(Acuses!$D$5:$D$3004,Acuses!$A$5:$A$3004,$A17,Acuses!$B$5:$B$3004,AH$4,Acuses!$C$5:$C$3004,AH$5),AH$8)&lt;Resumen!$C$4+30,"Caduca pronto","OK"))))))</f>
        <v/>
      </c>
      <c r="AI17" s="26" t="str">
        <f aca="false">IF(OR($A17="",AI$4=""),"",IF(NOT(OR(AI$6="Toda la plantilla",ISNUMBER(SEARCH(";"&amp;SUBSTITUTE($C17," ","")&amp;";",";"&amp;SUBSTITUTE(AI$7," ","")&amp;";")))),"—",IF(_xlfn.MAXIFS(Acuses!$C$5:$C$3004,Acuses!$A$5:$A$3004,$A17,Acuses!$B$5:$B$3004,AI$4)&lt;AI$5,"Pendiente",IF(AI$8=0,"OK",IF(EDATE(_xlfn.MAXIFS(Acuses!$D$5:$D$3004,Acuses!$A$5:$A$3004,$A17,Acuses!$B$5:$B$3004,AI$4,Acuses!$C$5:$C$3004,AI$5),AI$8)&lt;Resumen!$C$4,"Caducado",IF(EDATE(_xlfn.MAXIFS(Acuses!$D$5:$D$3004,Acuses!$A$5:$A$3004,$A17,Acuses!$B$5:$B$3004,AI$4,Acuses!$C$5:$C$3004,AI$5),AI$8)&lt;Resumen!$C$4+30,"Caduca pronto","OK"))))))</f>
        <v/>
      </c>
      <c r="AJ17" s="26" t="str">
        <f aca="false">IF(OR($A17="",AJ$4=""),"",IF(NOT(OR(AJ$6="Toda la plantilla",ISNUMBER(SEARCH(";"&amp;SUBSTITUTE($C17," ","")&amp;";",";"&amp;SUBSTITUTE(AJ$7," ","")&amp;";")))),"—",IF(_xlfn.MAXIFS(Acuses!$C$5:$C$3004,Acuses!$A$5:$A$3004,$A17,Acuses!$B$5:$B$3004,AJ$4)&lt;AJ$5,"Pendiente",IF(AJ$8=0,"OK",IF(EDATE(_xlfn.MAXIFS(Acuses!$D$5:$D$3004,Acuses!$A$5:$A$3004,$A17,Acuses!$B$5:$B$3004,AJ$4,Acuses!$C$5:$C$3004,AJ$5),AJ$8)&lt;Resumen!$C$4,"Caducado",IF(EDATE(_xlfn.MAXIFS(Acuses!$D$5:$D$3004,Acuses!$A$5:$A$3004,$A17,Acuses!$B$5:$B$3004,AJ$4,Acuses!$C$5:$C$3004,AJ$5),AJ$8)&lt;Resumen!$C$4+30,"Caduca pronto","OK"))))))</f>
        <v/>
      </c>
      <c r="AK17" s="26" t="str">
        <f aca="false">IF(OR($A17="",AK$4=""),"",IF(NOT(OR(AK$6="Toda la plantilla",ISNUMBER(SEARCH(";"&amp;SUBSTITUTE($C17," ","")&amp;";",";"&amp;SUBSTITUTE(AK$7," ","")&amp;";")))),"—",IF(_xlfn.MAXIFS(Acuses!$C$5:$C$3004,Acuses!$A$5:$A$3004,$A17,Acuses!$B$5:$B$3004,AK$4)&lt;AK$5,"Pendiente",IF(AK$8=0,"OK",IF(EDATE(_xlfn.MAXIFS(Acuses!$D$5:$D$3004,Acuses!$A$5:$A$3004,$A17,Acuses!$B$5:$B$3004,AK$4,Acuses!$C$5:$C$3004,AK$5),AK$8)&lt;Resumen!$C$4,"Caducado",IF(EDATE(_xlfn.MAXIFS(Acuses!$D$5:$D$3004,Acuses!$A$5:$A$3004,$A17,Acuses!$B$5:$B$3004,AK$4,Acuses!$C$5:$C$3004,AK$5),AK$8)&lt;Resumen!$C$4+30,"Caduca pronto","OK"))))))</f>
        <v/>
      </c>
      <c r="AL17" s="26" t="str">
        <f aca="false">IF(OR($A17="",AL$4=""),"",IF(NOT(OR(AL$6="Toda la plantilla",ISNUMBER(SEARCH(";"&amp;SUBSTITUTE($C17," ","")&amp;";",";"&amp;SUBSTITUTE(AL$7," ","")&amp;";")))),"—",IF(_xlfn.MAXIFS(Acuses!$C$5:$C$3004,Acuses!$A$5:$A$3004,$A17,Acuses!$B$5:$B$3004,AL$4)&lt;AL$5,"Pendiente",IF(AL$8=0,"OK",IF(EDATE(_xlfn.MAXIFS(Acuses!$D$5:$D$3004,Acuses!$A$5:$A$3004,$A17,Acuses!$B$5:$B$3004,AL$4,Acuses!$C$5:$C$3004,AL$5),AL$8)&lt;Resumen!$C$4,"Caducado",IF(EDATE(_xlfn.MAXIFS(Acuses!$D$5:$D$3004,Acuses!$A$5:$A$3004,$A17,Acuses!$B$5:$B$3004,AL$4,Acuses!$C$5:$C$3004,AL$5),AL$8)&lt;Resumen!$C$4+30,"Caduca pronto","OK"))))))</f>
        <v/>
      </c>
      <c r="AM17" s="26" t="str">
        <f aca="false">IF(OR($A17="",AM$4=""),"",IF(NOT(OR(AM$6="Toda la plantilla",ISNUMBER(SEARCH(";"&amp;SUBSTITUTE($C17," ","")&amp;";",";"&amp;SUBSTITUTE(AM$7," ","")&amp;";")))),"—",IF(_xlfn.MAXIFS(Acuses!$C$5:$C$3004,Acuses!$A$5:$A$3004,$A17,Acuses!$B$5:$B$3004,AM$4)&lt;AM$5,"Pendiente",IF(AM$8=0,"OK",IF(EDATE(_xlfn.MAXIFS(Acuses!$D$5:$D$3004,Acuses!$A$5:$A$3004,$A17,Acuses!$B$5:$B$3004,AM$4,Acuses!$C$5:$C$3004,AM$5),AM$8)&lt;Resumen!$C$4,"Caducado",IF(EDATE(_xlfn.MAXIFS(Acuses!$D$5:$D$3004,Acuses!$A$5:$A$3004,$A17,Acuses!$B$5:$B$3004,AM$4,Acuses!$C$5:$C$3004,AM$5),AM$8)&lt;Resumen!$C$4+30,"Caduca pronto","OK"))))))</f>
        <v/>
      </c>
      <c r="AN17" s="26" t="str">
        <f aca="false">IF(OR($A17="",AN$4=""),"",IF(NOT(OR(AN$6="Toda la plantilla",ISNUMBER(SEARCH(";"&amp;SUBSTITUTE($C17," ","")&amp;";",";"&amp;SUBSTITUTE(AN$7," ","")&amp;";")))),"—",IF(_xlfn.MAXIFS(Acuses!$C$5:$C$3004,Acuses!$A$5:$A$3004,$A17,Acuses!$B$5:$B$3004,AN$4)&lt;AN$5,"Pendiente",IF(AN$8=0,"OK",IF(EDATE(_xlfn.MAXIFS(Acuses!$D$5:$D$3004,Acuses!$A$5:$A$3004,$A17,Acuses!$B$5:$B$3004,AN$4,Acuses!$C$5:$C$3004,AN$5),AN$8)&lt;Resumen!$C$4,"Caducado",IF(EDATE(_xlfn.MAXIFS(Acuses!$D$5:$D$3004,Acuses!$A$5:$A$3004,$A17,Acuses!$B$5:$B$3004,AN$4,Acuses!$C$5:$C$3004,AN$5),AN$8)&lt;Resumen!$C$4+30,"Caduca pronto","OK"))))))</f>
        <v/>
      </c>
      <c r="AO17" s="26" t="str">
        <f aca="false">IF(OR($A17="",AO$4=""),"",IF(NOT(OR(AO$6="Toda la plantilla",ISNUMBER(SEARCH(";"&amp;SUBSTITUTE($C17," ","")&amp;";",";"&amp;SUBSTITUTE(AO$7," ","")&amp;";")))),"—",IF(_xlfn.MAXIFS(Acuses!$C$5:$C$3004,Acuses!$A$5:$A$3004,$A17,Acuses!$B$5:$B$3004,AO$4)&lt;AO$5,"Pendiente",IF(AO$8=0,"OK",IF(EDATE(_xlfn.MAXIFS(Acuses!$D$5:$D$3004,Acuses!$A$5:$A$3004,$A17,Acuses!$B$5:$B$3004,AO$4,Acuses!$C$5:$C$3004,AO$5),AO$8)&lt;Resumen!$C$4,"Caducado",IF(EDATE(_xlfn.MAXIFS(Acuses!$D$5:$D$3004,Acuses!$A$5:$A$3004,$A17,Acuses!$B$5:$B$3004,AO$4,Acuses!$C$5:$C$3004,AO$5),AO$8)&lt;Resumen!$C$4+30,"Caduca pronto","OK"))))))</f>
        <v/>
      </c>
      <c r="AP17" s="26" t="str">
        <f aca="false">IF(OR($A17="",AP$4=""),"",IF(NOT(OR(AP$6="Toda la plantilla",ISNUMBER(SEARCH(";"&amp;SUBSTITUTE($C17," ","")&amp;";",";"&amp;SUBSTITUTE(AP$7," ","")&amp;";")))),"—",IF(_xlfn.MAXIFS(Acuses!$C$5:$C$3004,Acuses!$A$5:$A$3004,$A17,Acuses!$B$5:$B$3004,AP$4)&lt;AP$5,"Pendiente",IF(AP$8=0,"OK",IF(EDATE(_xlfn.MAXIFS(Acuses!$D$5:$D$3004,Acuses!$A$5:$A$3004,$A17,Acuses!$B$5:$B$3004,AP$4,Acuses!$C$5:$C$3004,AP$5),AP$8)&lt;Resumen!$C$4,"Caducado",IF(EDATE(_xlfn.MAXIFS(Acuses!$D$5:$D$3004,Acuses!$A$5:$A$3004,$A17,Acuses!$B$5:$B$3004,AP$4,Acuses!$C$5:$C$3004,AP$5),AP$8)&lt;Resumen!$C$4+30,"Caduca pronto","OK"))))))</f>
        <v/>
      </c>
      <c r="AQ17" s="26" t="str">
        <f aca="false">IF(OR($A17="",AQ$4=""),"",IF(NOT(OR(AQ$6="Toda la plantilla",ISNUMBER(SEARCH(";"&amp;SUBSTITUTE($C17," ","")&amp;";",";"&amp;SUBSTITUTE(AQ$7," ","")&amp;";")))),"—",IF(_xlfn.MAXIFS(Acuses!$C$5:$C$3004,Acuses!$A$5:$A$3004,$A17,Acuses!$B$5:$B$3004,AQ$4)&lt;AQ$5,"Pendiente",IF(AQ$8=0,"OK",IF(EDATE(_xlfn.MAXIFS(Acuses!$D$5:$D$3004,Acuses!$A$5:$A$3004,$A17,Acuses!$B$5:$B$3004,AQ$4,Acuses!$C$5:$C$3004,AQ$5),AQ$8)&lt;Resumen!$C$4,"Caducado",IF(EDATE(_xlfn.MAXIFS(Acuses!$D$5:$D$3004,Acuses!$A$5:$A$3004,$A17,Acuses!$B$5:$B$3004,AQ$4,Acuses!$C$5:$C$3004,AQ$5),AQ$8)&lt;Resumen!$C$4+30,"Caduca pronto","OK"))))))</f>
        <v/>
      </c>
    </row>
    <row r="18" customFormat="false" ht="15" hidden="false" customHeight="false" outlineLevel="0" collapsed="false">
      <c r="A18" s="25" t="str">
        <f aca="false">IF(AND(Trabajadores!$A$13&lt;&gt;"",Trabajadores!$G$13&lt;&gt;"No"),Trabajadores!$A$13,"")</f>
        <v>T009</v>
      </c>
      <c r="B18" s="25" t="str">
        <f aca="false">IF($A18="","",Trabajadores!$B$13)</f>
        <v>Pablo Rey</v>
      </c>
      <c r="C18" s="25" t="str">
        <f aca="false">IF($A18="","",Trabajadores!$C$13)</f>
        <v>Producción</v>
      </c>
      <c r="D18" s="26" t="str">
        <f aca="false">IF(OR($A18="",D$4=""),"",IF(NOT(OR(D$6="Toda la plantilla",ISNUMBER(SEARCH(";"&amp;SUBSTITUTE($C18," ","")&amp;";",";"&amp;SUBSTITUTE(D$7," ","")&amp;";")))),"—",IF(_xlfn.MAXIFS(Acuses!$C$5:$C$3004,Acuses!$A$5:$A$3004,$A18,Acuses!$B$5:$B$3004,D$4)&lt;D$5,"Pendiente",IF(D$8=0,"OK",IF(EDATE(_xlfn.MAXIFS(Acuses!$D$5:$D$3004,Acuses!$A$5:$A$3004,$A18,Acuses!$B$5:$B$3004,D$4,Acuses!$C$5:$C$3004,D$5),D$8)&lt;Resumen!$C$4,"Caducado",IF(EDATE(_xlfn.MAXIFS(Acuses!$D$5:$D$3004,Acuses!$A$5:$A$3004,$A18,Acuses!$B$5:$B$3004,D$4,Acuses!$C$5:$C$3004,D$5),D$8)&lt;Resumen!$C$4+30,"Caduca pronto","OK"))))))</f>
        <v>Pendiente</v>
      </c>
      <c r="E18" s="26" t="str">
        <f aca="false">IF(OR($A18="",E$4=""),"",IF(NOT(OR(E$6="Toda la plantilla",ISNUMBER(SEARCH(";"&amp;SUBSTITUTE($C18," ","")&amp;";",";"&amp;SUBSTITUTE(E$7," ","")&amp;";")))),"—",IF(_xlfn.MAXIFS(Acuses!$C$5:$C$3004,Acuses!$A$5:$A$3004,$A18,Acuses!$B$5:$B$3004,E$4)&lt;E$5,"Pendiente",IF(E$8=0,"OK",IF(EDATE(_xlfn.MAXIFS(Acuses!$D$5:$D$3004,Acuses!$A$5:$A$3004,$A18,Acuses!$B$5:$B$3004,E$4,Acuses!$C$5:$C$3004,E$5),E$8)&lt;Resumen!$C$4,"Caducado",IF(EDATE(_xlfn.MAXIFS(Acuses!$D$5:$D$3004,Acuses!$A$5:$A$3004,$A18,Acuses!$B$5:$B$3004,E$4,Acuses!$C$5:$C$3004,E$5),E$8)&lt;Resumen!$C$4+30,"Caduca pronto","OK"))))))</f>
        <v>—</v>
      </c>
      <c r="F18" s="26" t="str">
        <f aca="false">IF(OR($A18="",F$4=""),"",IF(NOT(OR(F$6="Toda la plantilla",ISNUMBER(SEARCH(";"&amp;SUBSTITUTE($C18," ","")&amp;";",";"&amp;SUBSTITUTE(F$7," ","")&amp;";")))),"—",IF(_xlfn.MAXIFS(Acuses!$C$5:$C$3004,Acuses!$A$5:$A$3004,$A18,Acuses!$B$5:$B$3004,F$4)&lt;F$5,"Pendiente",IF(F$8=0,"OK",IF(EDATE(_xlfn.MAXIFS(Acuses!$D$5:$D$3004,Acuses!$A$5:$A$3004,$A18,Acuses!$B$5:$B$3004,F$4,Acuses!$C$5:$C$3004,F$5),F$8)&lt;Resumen!$C$4,"Caducado",IF(EDATE(_xlfn.MAXIFS(Acuses!$D$5:$D$3004,Acuses!$A$5:$A$3004,$A18,Acuses!$B$5:$B$3004,F$4,Acuses!$C$5:$C$3004,F$5),F$8)&lt;Resumen!$C$4+30,"Caduca pronto","OK"))))))</f>
        <v>Pendiente</v>
      </c>
      <c r="G18" s="26" t="str">
        <f aca="false">IF(OR($A18="",G$4=""),"",IF(NOT(OR(G$6="Toda la plantilla",ISNUMBER(SEARCH(";"&amp;SUBSTITUTE($C18," ","")&amp;";",";"&amp;SUBSTITUTE(G$7," ","")&amp;";")))),"—",IF(_xlfn.MAXIFS(Acuses!$C$5:$C$3004,Acuses!$A$5:$A$3004,$A18,Acuses!$B$5:$B$3004,G$4)&lt;G$5,"Pendiente",IF(G$8=0,"OK",IF(EDATE(_xlfn.MAXIFS(Acuses!$D$5:$D$3004,Acuses!$A$5:$A$3004,$A18,Acuses!$B$5:$B$3004,G$4,Acuses!$C$5:$C$3004,G$5),G$8)&lt;Resumen!$C$4,"Caducado",IF(EDATE(_xlfn.MAXIFS(Acuses!$D$5:$D$3004,Acuses!$A$5:$A$3004,$A18,Acuses!$B$5:$B$3004,G$4,Acuses!$C$5:$C$3004,G$5),G$8)&lt;Resumen!$C$4+30,"Caduca pronto","OK"))))))</f>
        <v>Pendiente</v>
      </c>
      <c r="H18" s="26" t="str">
        <f aca="false">IF(OR($A18="",H$4=""),"",IF(NOT(OR(H$6="Toda la plantilla",ISNUMBER(SEARCH(";"&amp;SUBSTITUTE($C18," ","")&amp;";",";"&amp;SUBSTITUTE(H$7," ","")&amp;";")))),"—",IF(_xlfn.MAXIFS(Acuses!$C$5:$C$3004,Acuses!$A$5:$A$3004,$A18,Acuses!$B$5:$B$3004,H$4)&lt;H$5,"Pendiente",IF(H$8=0,"OK",IF(EDATE(_xlfn.MAXIFS(Acuses!$D$5:$D$3004,Acuses!$A$5:$A$3004,$A18,Acuses!$B$5:$B$3004,H$4,Acuses!$C$5:$C$3004,H$5),H$8)&lt;Resumen!$C$4,"Caducado",IF(EDATE(_xlfn.MAXIFS(Acuses!$D$5:$D$3004,Acuses!$A$5:$A$3004,$A18,Acuses!$B$5:$B$3004,H$4,Acuses!$C$5:$C$3004,H$5),H$8)&lt;Resumen!$C$4+30,"Caduca pronto","OK"))))))</f>
        <v>Pendiente</v>
      </c>
      <c r="I18" s="26" t="str">
        <f aca="false">IF(OR($A18="",I$4=""),"",IF(NOT(OR(I$6="Toda la plantilla",ISNUMBER(SEARCH(";"&amp;SUBSTITUTE($C18," ","")&amp;";",";"&amp;SUBSTITUTE(I$7," ","")&amp;";")))),"—",IF(_xlfn.MAXIFS(Acuses!$C$5:$C$3004,Acuses!$A$5:$A$3004,$A18,Acuses!$B$5:$B$3004,I$4)&lt;I$5,"Pendiente",IF(I$8=0,"OK",IF(EDATE(_xlfn.MAXIFS(Acuses!$D$5:$D$3004,Acuses!$A$5:$A$3004,$A18,Acuses!$B$5:$B$3004,I$4,Acuses!$C$5:$C$3004,I$5),I$8)&lt;Resumen!$C$4,"Caducado",IF(EDATE(_xlfn.MAXIFS(Acuses!$D$5:$D$3004,Acuses!$A$5:$A$3004,$A18,Acuses!$B$5:$B$3004,I$4,Acuses!$C$5:$C$3004,I$5),I$8)&lt;Resumen!$C$4+30,"Caduca pronto","OK"))))))</f>
        <v>Pendiente</v>
      </c>
      <c r="J18" s="26" t="str">
        <f aca="false">IF(OR($A18="",J$4=""),"",IF(NOT(OR(J$6="Toda la plantilla",ISNUMBER(SEARCH(";"&amp;SUBSTITUTE($C18," ","")&amp;";",";"&amp;SUBSTITUTE(J$7," ","")&amp;";")))),"—",IF(_xlfn.MAXIFS(Acuses!$C$5:$C$3004,Acuses!$A$5:$A$3004,$A18,Acuses!$B$5:$B$3004,J$4)&lt;J$5,"Pendiente",IF(J$8=0,"OK",IF(EDATE(_xlfn.MAXIFS(Acuses!$D$5:$D$3004,Acuses!$A$5:$A$3004,$A18,Acuses!$B$5:$B$3004,J$4,Acuses!$C$5:$C$3004,J$5),J$8)&lt;Resumen!$C$4,"Caducado",IF(EDATE(_xlfn.MAXIFS(Acuses!$D$5:$D$3004,Acuses!$A$5:$A$3004,$A18,Acuses!$B$5:$B$3004,J$4,Acuses!$C$5:$C$3004,J$5),J$8)&lt;Resumen!$C$4+30,"Caduca pronto","OK"))))))</f>
        <v>Pendiente</v>
      </c>
      <c r="K18" s="26" t="str">
        <f aca="false">IF(OR($A18="",K$4=""),"",IF(NOT(OR(K$6="Toda la plantilla",ISNUMBER(SEARCH(";"&amp;SUBSTITUTE($C18," ","")&amp;";",";"&amp;SUBSTITUTE(K$7," ","")&amp;";")))),"—",IF(_xlfn.MAXIFS(Acuses!$C$5:$C$3004,Acuses!$A$5:$A$3004,$A18,Acuses!$B$5:$B$3004,K$4)&lt;K$5,"Pendiente",IF(K$8=0,"OK",IF(EDATE(_xlfn.MAXIFS(Acuses!$D$5:$D$3004,Acuses!$A$5:$A$3004,$A18,Acuses!$B$5:$B$3004,K$4,Acuses!$C$5:$C$3004,K$5),K$8)&lt;Resumen!$C$4,"Caducado",IF(EDATE(_xlfn.MAXIFS(Acuses!$D$5:$D$3004,Acuses!$A$5:$A$3004,$A18,Acuses!$B$5:$B$3004,K$4,Acuses!$C$5:$C$3004,K$5),K$8)&lt;Resumen!$C$4+30,"Caduca pronto","OK"))))))</f>
        <v>Pendiente</v>
      </c>
      <c r="L18" s="26" t="str">
        <f aca="false">IF(OR($A18="",L$4=""),"",IF(NOT(OR(L$6="Toda la plantilla",ISNUMBER(SEARCH(";"&amp;SUBSTITUTE($C18," ","")&amp;";",";"&amp;SUBSTITUTE(L$7," ","")&amp;";")))),"—",IF(_xlfn.MAXIFS(Acuses!$C$5:$C$3004,Acuses!$A$5:$A$3004,$A18,Acuses!$B$5:$B$3004,L$4)&lt;L$5,"Pendiente",IF(L$8=0,"OK",IF(EDATE(_xlfn.MAXIFS(Acuses!$D$5:$D$3004,Acuses!$A$5:$A$3004,$A18,Acuses!$B$5:$B$3004,L$4,Acuses!$C$5:$C$3004,L$5),L$8)&lt;Resumen!$C$4,"Caducado",IF(EDATE(_xlfn.MAXIFS(Acuses!$D$5:$D$3004,Acuses!$A$5:$A$3004,$A18,Acuses!$B$5:$B$3004,L$4,Acuses!$C$5:$C$3004,L$5),L$8)&lt;Resumen!$C$4+30,"Caduca pronto","OK"))))))</f>
        <v/>
      </c>
      <c r="M18" s="26" t="str">
        <f aca="false">IF(OR($A18="",M$4=""),"",IF(NOT(OR(M$6="Toda la plantilla",ISNUMBER(SEARCH(";"&amp;SUBSTITUTE($C18," ","")&amp;";",";"&amp;SUBSTITUTE(M$7," ","")&amp;";")))),"—",IF(_xlfn.MAXIFS(Acuses!$C$5:$C$3004,Acuses!$A$5:$A$3004,$A18,Acuses!$B$5:$B$3004,M$4)&lt;M$5,"Pendiente",IF(M$8=0,"OK",IF(EDATE(_xlfn.MAXIFS(Acuses!$D$5:$D$3004,Acuses!$A$5:$A$3004,$A18,Acuses!$B$5:$B$3004,M$4,Acuses!$C$5:$C$3004,M$5),M$8)&lt;Resumen!$C$4,"Caducado",IF(EDATE(_xlfn.MAXIFS(Acuses!$D$5:$D$3004,Acuses!$A$5:$A$3004,$A18,Acuses!$B$5:$B$3004,M$4,Acuses!$C$5:$C$3004,M$5),M$8)&lt;Resumen!$C$4+30,"Caduca pronto","OK"))))))</f>
        <v/>
      </c>
      <c r="N18" s="26" t="str">
        <f aca="false">IF(OR($A18="",N$4=""),"",IF(NOT(OR(N$6="Toda la plantilla",ISNUMBER(SEARCH(";"&amp;SUBSTITUTE($C18," ","")&amp;";",";"&amp;SUBSTITUTE(N$7," ","")&amp;";")))),"—",IF(_xlfn.MAXIFS(Acuses!$C$5:$C$3004,Acuses!$A$5:$A$3004,$A18,Acuses!$B$5:$B$3004,N$4)&lt;N$5,"Pendiente",IF(N$8=0,"OK",IF(EDATE(_xlfn.MAXIFS(Acuses!$D$5:$D$3004,Acuses!$A$5:$A$3004,$A18,Acuses!$B$5:$B$3004,N$4,Acuses!$C$5:$C$3004,N$5),N$8)&lt;Resumen!$C$4,"Caducado",IF(EDATE(_xlfn.MAXIFS(Acuses!$D$5:$D$3004,Acuses!$A$5:$A$3004,$A18,Acuses!$B$5:$B$3004,N$4,Acuses!$C$5:$C$3004,N$5),N$8)&lt;Resumen!$C$4+30,"Caduca pronto","OK"))))))</f>
        <v/>
      </c>
      <c r="O18" s="26" t="str">
        <f aca="false">IF(OR($A18="",O$4=""),"",IF(NOT(OR(O$6="Toda la plantilla",ISNUMBER(SEARCH(";"&amp;SUBSTITUTE($C18," ","")&amp;";",";"&amp;SUBSTITUTE(O$7," ","")&amp;";")))),"—",IF(_xlfn.MAXIFS(Acuses!$C$5:$C$3004,Acuses!$A$5:$A$3004,$A18,Acuses!$B$5:$B$3004,O$4)&lt;O$5,"Pendiente",IF(O$8=0,"OK",IF(EDATE(_xlfn.MAXIFS(Acuses!$D$5:$D$3004,Acuses!$A$5:$A$3004,$A18,Acuses!$B$5:$B$3004,O$4,Acuses!$C$5:$C$3004,O$5),O$8)&lt;Resumen!$C$4,"Caducado",IF(EDATE(_xlfn.MAXIFS(Acuses!$D$5:$D$3004,Acuses!$A$5:$A$3004,$A18,Acuses!$B$5:$B$3004,O$4,Acuses!$C$5:$C$3004,O$5),O$8)&lt;Resumen!$C$4+30,"Caduca pronto","OK"))))))</f>
        <v/>
      </c>
      <c r="P18" s="26" t="str">
        <f aca="false">IF(OR($A18="",P$4=""),"",IF(NOT(OR(P$6="Toda la plantilla",ISNUMBER(SEARCH(";"&amp;SUBSTITUTE($C18," ","")&amp;";",";"&amp;SUBSTITUTE(P$7," ","")&amp;";")))),"—",IF(_xlfn.MAXIFS(Acuses!$C$5:$C$3004,Acuses!$A$5:$A$3004,$A18,Acuses!$B$5:$B$3004,P$4)&lt;P$5,"Pendiente",IF(P$8=0,"OK",IF(EDATE(_xlfn.MAXIFS(Acuses!$D$5:$D$3004,Acuses!$A$5:$A$3004,$A18,Acuses!$B$5:$B$3004,P$4,Acuses!$C$5:$C$3004,P$5),P$8)&lt;Resumen!$C$4,"Caducado",IF(EDATE(_xlfn.MAXIFS(Acuses!$D$5:$D$3004,Acuses!$A$5:$A$3004,$A18,Acuses!$B$5:$B$3004,P$4,Acuses!$C$5:$C$3004,P$5),P$8)&lt;Resumen!$C$4+30,"Caduca pronto","OK"))))))</f>
        <v/>
      </c>
      <c r="Q18" s="26" t="str">
        <f aca="false">IF(OR($A18="",Q$4=""),"",IF(NOT(OR(Q$6="Toda la plantilla",ISNUMBER(SEARCH(";"&amp;SUBSTITUTE($C18," ","")&amp;";",";"&amp;SUBSTITUTE(Q$7," ","")&amp;";")))),"—",IF(_xlfn.MAXIFS(Acuses!$C$5:$C$3004,Acuses!$A$5:$A$3004,$A18,Acuses!$B$5:$B$3004,Q$4)&lt;Q$5,"Pendiente",IF(Q$8=0,"OK",IF(EDATE(_xlfn.MAXIFS(Acuses!$D$5:$D$3004,Acuses!$A$5:$A$3004,$A18,Acuses!$B$5:$B$3004,Q$4,Acuses!$C$5:$C$3004,Q$5),Q$8)&lt;Resumen!$C$4,"Caducado",IF(EDATE(_xlfn.MAXIFS(Acuses!$D$5:$D$3004,Acuses!$A$5:$A$3004,$A18,Acuses!$B$5:$B$3004,Q$4,Acuses!$C$5:$C$3004,Q$5),Q$8)&lt;Resumen!$C$4+30,"Caduca pronto","OK"))))))</f>
        <v/>
      </c>
      <c r="R18" s="26" t="str">
        <f aca="false">IF(OR($A18="",R$4=""),"",IF(NOT(OR(R$6="Toda la plantilla",ISNUMBER(SEARCH(";"&amp;SUBSTITUTE($C18," ","")&amp;";",";"&amp;SUBSTITUTE(R$7," ","")&amp;";")))),"—",IF(_xlfn.MAXIFS(Acuses!$C$5:$C$3004,Acuses!$A$5:$A$3004,$A18,Acuses!$B$5:$B$3004,R$4)&lt;R$5,"Pendiente",IF(R$8=0,"OK",IF(EDATE(_xlfn.MAXIFS(Acuses!$D$5:$D$3004,Acuses!$A$5:$A$3004,$A18,Acuses!$B$5:$B$3004,R$4,Acuses!$C$5:$C$3004,R$5),R$8)&lt;Resumen!$C$4,"Caducado",IF(EDATE(_xlfn.MAXIFS(Acuses!$D$5:$D$3004,Acuses!$A$5:$A$3004,$A18,Acuses!$B$5:$B$3004,R$4,Acuses!$C$5:$C$3004,R$5),R$8)&lt;Resumen!$C$4+30,"Caduca pronto","OK"))))))</f>
        <v/>
      </c>
      <c r="S18" s="26" t="str">
        <f aca="false">IF(OR($A18="",S$4=""),"",IF(NOT(OR(S$6="Toda la plantilla",ISNUMBER(SEARCH(";"&amp;SUBSTITUTE($C18," ","")&amp;";",";"&amp;SUBSTITUTE(S$7," ","")&amp;";")))),"—",IF(_xlfn.MAXIFS(Acuses!$C$5:$C$3004,Acuses!$A$5:$A$3004,$A18,Acuses!$B$5:$B$3004,S$4)&lt;S$5,"Pendiente",IF(S$8=0,"OK",IF(EDATE(_xlfn.MAXIFS(Acuses!$D$5:$D$3004,Acuses!$A$5:$A$3004,$A18,Acuses!$B$5:$B$3004,S$4,Acuses!$C$5:$C$3004,S$5),S$8)&lt;Resumen!$C$4,"Caducado",IF(EDATE(_xlfn.MAXIFS(Acuses!$D$5:$D$3004,Acuses!$A$5:$A$3004,$A18,Acuses!$B$5:$B$3004,S$4,Acuses!$C$5:$C$3004,S$5),S$8)&lt;Resumen!$C$4+30,"Caduca pronto","OK"))))))</f>
        <v/>
      </c>
      <c r="T18" s="26" t="str">
        <f aca="false">IF(OR($A18="",T$4=""),"",IF(NOT(OR(T$6="Toda la plantilla",ISNUMBER(SEARCH(";"&amp;SUBSTITUTE($C18," ","")&amp;";",";"&amp;SUBSTITUTE(T$7," ","")&amp;";")))),"—",IF(_xlfn.MAXIFS(Acuses!$C$5:$C$3004,Acuses!$A$5:$A$3004,$A18,Acuses!$B$5:$B$3004,T$4)&lt;T$5,"Pendiente",IF(T$8=0,"OK",IF(EDATE(_xlfn.MAXIFS(Acuses!$D$5:$D$3004,Acuses!$A$5:$A$3004,$A18,Acuses!$B$5:$B$3004,T$4,Acuses!$C$5:$C$3004,T$5),T$8)&lt;Resumen!$C$4,"Caducado",IF(EDATE(_xlfn.MAXIFS(Acuses!$D$5:$D$3004,Acuses!$A$5:$A$3004,$A18,Acuses!$B$5:$B$3004,T$4,Acuses!$C$5:$C$3004,T$5),T$8)&lt;Resumen!$C$4+30,"Caduca pronto","OK"))))))</f>
        <v/>
      </c>
      <c r="U18" s="26" t="str">
        <f aca="false">IF(OR($A18="",U$4=""),"",IF(NOT(OR(U$6="Toda la plantilla",ISNUMBER(SEARCH(";"&amp;SUBSTITUTE($C18," ","")&amp;";",";"&amp;SUBSTITUTE(U$7," ","")&amp;";")))),"—",IF(_xlfn.MAXIFS(Acuses!$C$5:$C$3004,Acuses!$A$5:$A$3004,$A18,Acuses!$B$5:$B$3004,U$4)&lt;U$5,"Pendiente",IF(U$8=0,"OK",IF(EDATE(_xlfn.MAXIFS(Acuses!$D$5:$D$3004,Acuses!$A$5:$A$3004,$A18,Acuses!$B$5:$B$3004,U$4,Acuses!$C$5:$C$3004,U$5),U$8)&lt;Resumen!$C$4,"Caducado",IF(EDATE(_xlfn.MAXIFS(Acuses!$D$5:$D$3004,Acuses!$A$5:$A$3004,$A18,Acuses!$B$5:$B$3004,U$4,Acuses!$C$5:$C$3004,U$5),U$8)&lt;Resumen!$C$4+30,"Caduca pronto","OK"))))))</f>
        <v/>
      </c>
      <c r="V18" s="26" t="str">
        <f aca="false">IF(OR($A18="",V$4=""),"",IF(NOT(OR(V$6="Toda la plantilla",ISNUMBER(SEARCH(";"&amp;SUBSTITUTE($C18," ","")&amp;";",";"&amp;SUBSTITUTE(V$7," ","")&amp;";")))),"—",IF(_xlfn.MAXIFS(Acuses!$C$5:$C$3004,Acuses!$A$5:$A$3004,$A18,Acuses!$B$5:$B$3004,V$4)&lt;V$5,"Pendiente",IF(V$8=0,"OK",IF(EDATE(_xlfn.MAXIFS(Acuses!$D$5:$D$3004,Acuses!$A$5:$A$3004,$A18,Acuses!$B$5:$B$3004,V$4,Acuses!$C$5:$C$3004,V$5),V$8)&lt;Resumen!$C$4,"Caducado",IF(EDATE(_xlfn.MAXIFS(Acuses!$D$5:$D$3004,Acuses!$A$5:$A$3004,$A18,Acuses!$B$5:$B$3004,V$4,Acuses!$C$5:$C$3004,V$5),V$8)&lt;Resumen!$C$4+30,"Caduca pronto","OK"))))))</f>
        <v/>
      </c>
      <c r="W18" s="26" t="str">
        <f aca="false">IF(OR($A18="",W$4=""),"",IF(NOT(OR(W$6="Toda la plantilla",ISNUMBER(SEARCH(";"&amp;SUBSTITUTE($C18," ","")&amp;";",";"&amp;SUBSTITUTE(W$7," ","")&amp;";")))),"—",IF(_xlfn.MAXIFS(Acuses!$C$5:$C$3004,Acuses!$A$5:$A$3004,$A18,Acuses!$B$5:$B$3004,W$4)&lt;W$5,"Pendiente",IF(W$8=0,"OK",IF(EDATE(_xlfn.MAXIFS(Acuses!$D$5:$D$3004,Acuses!$A$5:$A$3004,$A18,Acuses!$B$5:$B$3004,W$4,Acuses!$C$5:$C$3004,W$5),W$8)&lt;Resumen!$C$4,"Caducado",IF(EDATE(_xlfn.MAXIFS(Acuses!$D$5:$D$3004,Acuses!$A$5:$A$3004,$A18,Acuses!$B$5:$B$3004,W$4,Acuses!$C$5:$C$3004,W$5),W$8)&lt;Resumen!$C$4+30,"Caduca pronto","OK"))))))</f>
        <v/>
      </c>
      <c r="X18" s="26" t="str">
        <f aca="false">IF(OR($A18="",X$4=""),"",IF(NOT(OR(X$6="Toda la plantilla",ISNUMBER(SEARCH(";"&amp;SUBSTITUTE($C18," ","")&amp;";",";"&amp;SUBSTITUTE(X$7," ","")&amp;";")))),"—",IF(_xlfn.MAXIFS(Acuses!$C$5:$C$3004,Acuses!$A$5:$A$3004,$A18,Acuses!$B$5:$B$3004,X$4)&lt;X$5,"Pendiente",IF(X$8=0,"OK",IF(EDATE(_xlfn.MAXIFS(Acuses!$D$5:$D$3004,Acuses!$A$5:$A$3004,$A18,Acuses!$B$5:$B$3004,X$4,Acuses!$C$5:$C$3004,X$5),X$8)&lt;Resumen!$C$4,"Caducado",IF(EDATE(_xlfn.MAXIFS(Acuses!$D$5:$D$3004,Acuses!$A$5:$A$3004,$A18,Acuses!$B$5:$B$3004,X$4,Acuses!$C$5:$C$3004,X$5),X$8)&lt;Resumen!$C$4+30,"Caduca pronto","OK"))))))</f>
        <v/>
      </c>
      <c r="Y18" s="26" t="str">
        <f aca="false">IF(OR($A18="",Y$4=""),"",IF(NOT(OR(Y$6="Toda la plantilla",ISNUMBER(SEARCH(";"&amp;SUBSTITUTE($C18," ","")&amp;";",";"&amp;SUBSTITUTE(Y$7," ","")&amp;";")))),"—",IF(_xlfn.MAXIFS(Acuses!$C$5:$C$3004,Acuses!$A$5:$A$3004,$A18,Acuses!$B$5:$B$3004,Y$4)&lt;Y$5,"Pendiente",IF(Y$8=0,"OK",IF(EDATE(_xlfn.MAXIFS(Acuses!$D$5:$D$3004,Acuses!$A$5:$A$3004,$A18,Acuses!$B$5:$B$3004,Y$4,Acuses!$C$5:$C$3004,Y$5),Y$8)&lt;Resumen!$C$4,"Caducado",IF(EDATE(_xlfn.MAXIFS(Acuses!$D$5:$D$3004,Acuses!$A$5:$A$3004,$A18,Acuses!$B$5:$B$3004,Y$4,Acuses!$C$5:$C$3004,Y$5),Y$8)&lt;Resumen!$C$4+30,"Caduca pronto","OK"))))))</f>
        <v/>
      </c>
      <c r="Z18" s="26" t="str">
        <f aca="false">IF(OR($A18="",Z$4=""),"",IF(NOT(OR(Z$6="Toda la plantilla",ISNUMBER(SEARCH(";"&amp;SUBSTITUTE($C18," ","")&amp;";",";"&amp;SUBSTITUTE(Z$7," ","")&amp;";")))),"—",IF(_xlfn.MAXIFS(Acuses!$C$5:$C$3004,Acuses!$A$5:$A$3004,$A18,Acuses!$B$5:$B$3004,Z$4)&lt;Z$5,"Pendiente",IF(Z$8=0,"OK",IF(EDATE(_xlfn.MAXIFS(Acuses!$D$5:$D$3004,Acuses!$A$5:$A$3004,$A18,Acuses!$B$5:$B$3004,Z$4,Acuses!$C$5:$C$3004,Z$5),Z$8)&lt;Resumen!$C$4,"Caducado",IF(EDATE(_xlfn.MAXIFS(Acuses!$D$5:$D$3004,Acuses!$A$5:$A$3004,$A18,Acuses!$B$5:$B$3004,Z$4,Acuses!$C$5:$C$3004,Z$5),Z$8)&lt;Resumen!$C$4+30,"Caduca pronto","OK"))))))</f>
        <v/>
      </c>
      <c r="AA18" s="26" t="str">
        <f aca="false">IF(OR($A18="",AA$4=""),"",IF(NOT(OR(AA$6="Toda la plantilla",ISNUMBER(SEARCH(";"&amp;SUBSTITUTE($C18," ","")&amp;";",";"&amp;SUBSTITUTE(AA$7," ","")&amp;";")))),"—",IF(_xlfn.MAXIFS(Acuses!$C$5:$C$3004,Acuses!$A$5:$A$3004,$A18,Acuses!$B$5:$B$3004,AA$4)&lt;AA$5,"Pendiente",IF(AA$8=0,"OK",IF(EDATE(_xlfn.MAXIFS(Acuses!$D$5:$D$3004,Acuses!$A$5:$A$3004,$A18,Acuses!$B$5:$B$3004,AA$4,Acuses!$C$5:$C$3004,AA$5),AA$8)&lt;Resumen!$C$4,"Caducado",IF(EDATE(_xlfn.MAXIFS(Acuses!$D$5:$D$3004,Acuses!$A$5:$A$3004,$A18,Acuses!$B$5:$B$3004,AA$4,Acuses!$C$5:$C$3004,AA$5),AA$8)&lt;Resumen!$C$4+30,"Caduca pronto","OK"))))))</f>
        <v/>
      </c>
      <c r="AB18" s="26" t="str">
        <f aca="false">IF(OR($A18="",AB$4=""),"",IF(NOT(OR(AB$6="Toda la plantilla",ISNUMBER(SEARCH(";"&amp;SUBSTITUTE($C18," ","")&amp;";",";"&amp;SUBSTITUTE(AB$7," ","")&amp;";")))),"—",IF(_xlfn.MAXIFS(Acuses!$C$5:$C$3004,Acuses!$A$5:$A$3004,$A18,Acuses!$B$5:$B$3004,AB$4)&lt;AB$5,"Pendiente",IF(AB$8=0,"OK",IF(EDATE(_xlfn.MAXIFS(Acuses!$D$5:$D$3004,Acuses!$A$5:$A$3004,$A18,Acuses!$B$5:$B$3004,AB$4,Acuses!$C$5:$C$3004,AB$5),AB$8)&lt;Resumen!$C$4,"Caducado",IF(EDATE(_xlfn.MAXIFS(Acuses!$D$5:$D$3004,Acuses!$A$5:$A$3004,$A18,Acuses!$B$5:$B$3004,AB$4,Acuses!$C$5:$C$3004,AB$5),AB$8)&lt;Resumen!$C$4+30,"Caduca pronto","OK"))))))</f>
        <v/>
      </c>
      <c r="AC18" s="26" t="str">
        <f aca="false">IF(OR($A18="",AC$4=""),"",IF(NOT(OR(AC$6="Toda la plantilla",ISNUMBER(SEARCH(";"&amp;SUBSTITUTE($C18," ","")&amp;";",";"&amp;SUBSTITUTE(AC$7," ","")&amp;";")))),"—",IF(_xlfn.MAXIFS(Acuses!$C$5:$C$3004,Acuses!$A$5:$A$3004,$A18,Acuses!$B$5:$B$3004,AC$4)&lt;AC$5,"Pendiente",IF(AC$8=0,"OK",IF(EDATE(_xlfn.MAXIFS(Acuses!$D$5:$D$3004,Acuses!$A$5:$A$3004,$A18,Acuses!$B$5:$B$3004,AC$4,Acuses!$C$5:$C$3004,AC$5),AC$8)&lt;Resumen!$C$4,"Caducado",IF(EDATE(_xlfn.MAXIFS(Acuses!$D$5:$D$3004,Acuses!$A$5:$A$3004,$A18,Acuses!$B$5:$B$3004,AC$4,Acuses!$C$5:$C$3004,AC$5),AC$8)&lt;Resumen!$C$4+30,"Caduca pronto","OK"))))))</f>
        <v/>
      </c>
      <c r="AD18" s="26" t="str">
        <f aca="false">IF(OR($A18="",AD$4=""),"",IF(NOT(OR(AD$6="Toda la plantilla",ISNUMBER(SEARCH(";"&amp;SUBSTITUTE($C18," ","")&amp;";",";"&amp;SUBSTITUTE(AD$7," ","")&amp;";")))),"—",IF(_xlfn.MAXIFS(Acuses!$C$5:$C$3004,Acuses!$A$5:$A$3004,$A18,Acuses!$B$5:$B$3004,AD$4)&lt;AD$5,"Pendiente",IF(AD$8=0,"OK",IF(EDATE(_xlfn.MAXIFS(Acuses!$D$5:$D$3004,Acuses!$A$5:$A$3004,$A18,Acuses!$B$5:$B$3004,AD$4,Acuses!$C$5:$C$3004,AD$5),AD$8)&lt;Resumen!$C$4,"Caducado",IF(EDATE(_xlfn.MAXIFS(Acuses!$D$5:$D$3004,Acuses!$A$5:$A$3004,$A18,Acuses!$B$5:$B$3004,AD$4,Acuses!$C$5:$C$3004,AD$5),AD$8)&lt;Resumen!$C$4+30,"Caduca pronto","OK"))))))</f>
        <v/>
      </c>
      <c r="AE18" s="26" t="str">
        <f aca="false">IF(OR($A18="",AE$4=""),"",IF(NOT(OR(AE$6="Toda la plantilla",ISNUMBER(SEARCH(";"&amp;SUBSTITUTE($C18," ","")&amp;";",";"&amp;SUBSTITUTE(AE$7," ","")&amp;";")))),"—",IF(_xlfn.MAXIFS(Acuses!$C$5:$C$3004,Acuses!$A$5:$A$3004,$A18,Acuses!$B$5:$B$3004,AE$4)&lt;AE$5,"Pendiente",IF(AE$8=0,"OK",IF(EDATE(_xlfn.MAXIFS(Acuses!$D$5:$D$3004,Acuses!$A$5:$A$3004,$A18,Acuses!$B$5:$B$3004,AE$4,Acuses!$C$5:$C$3004,AE$5),AE$8)&lt;Resumen!$C$4,"Caducado",IF(EDATE(_xlfn.MAXIFS(Acuses!$D$5:$D$3004,Acuses!$A$5:$A$3004,$A18,Acuses!$B$5:$B$3004,AE$4,Acuses!$C$5:$C$3004,AE$5),AE$8)&lt;Resumen!$C$4+30,"Caduca pronto","OK"))))))</f>
        <v/>
      </c>
      <c r="AF18" s="26" t="str">
        <f aca="false">IF(OR($A18="",AF$4=""),"",IF(NOT(OR(AF$6="Toda la plantilla",ISNUMBER(SEARCH(";"&amp;SUBSTITUTE($C18," ","")&amp;";",";"&amp;SUBSTITUTE(AF$7," ","")&amp;";")))),"—",IF(_xlfn.MAXIFS(Acuses!$C$5:$C$3004,Acuses!$A$5:$A$3004,$A18,Acuses!$B$5:$B$3004,AF$4)&lt;AF$5,"Pendiente",IF(AF$8=0,"OK",IF(EDATE(_xlfn.MAXIFS(Acuses!$D$5:$D$3004,Acuses!$A$5:$A$3004,$A18,Acuses!$B$5:$B$3004,AF$4,Acuses!$C$5:$C$3004,AF$5),AF$8)&lt;Resumen!$C$4,"Caducado",IF(EDATE(_xlfn.MAXIFS(Acuses!$D$5:$D$3004,Acuses!$A$5:$A$3004,$A18,Acuses!$B$5:$B$3004,AF$4,Acuses!$C$5:$C$3004,AF$5),AF$8)&lt;Resumen!$C$4+30,"Caduca pronto","OK"))))))</f>
        <v/>
      </c>
      <c r="AG18" s="26" t="str">
        <f aca="false">IF(OR($A18="",AG$4=""),"",IF(NOT(OR(AG$6="Toda la plantilla",ISNUMBER(SEARCH(";"&amp;SUBSTITUTE($C18," ","")&amp;";",";"&amp;SUBSTITUTE(AG$7," ","")&amp;";")))),"—",IF(_xlfn.MAXIFS(Acuses!$C$5:$C$3004,Acuses!$A$5:$A$3004,$A18,Acuses!$B$5:$B$3004,AG$4)&lt;AG$5,"Pendiente",IF(AG$8=0,"OK",IF(EDATE(_xlfn.MAXIFS(Acuses!$D$5:$D$3004,Acuses!$A$5:$A$3004,$A18,Acuses!$B$5:$B$3004,AG$4,Acuses!$C$5:$C$3004,AG$5),AG$8)&lt;Resumen!$C$4,"Caducado",IF(EDATE(_xlfn.MAXIFS(Acuses!$D$5:$D$3004,Acuses!$A$5:$A$3004,$A18,Acuses!$B$5:$B$3004,AG$4,Acuses!$C$5:$C$3004,AG$5),AG$8)&lt;Resumen!$C$4+30,"Caduca pronto","OK"))))))</f>
        <v/>
      </c>
      <c r="AH18" s="26" t="str">
        <f aca="false">IF(OR($A18="",AH$4=""),"",IF(NOT(OR(AH$6="Toda la plantilla",ISNUMBER(SEARCH(";"&amp;SUBSTITUTE($C18," ","")&amp;";",";"&amp;SUBSTITUTE(AH$7," ","")&amp;";")))),"—",IF(_xlfn.MAXIFS(Acuses!$C$5:$C$3004,Acuses!$A$5:$A$3004,$A18,Acuses!$B$5:$B$3004,AH$4)&lt;AH$5,"Pendiente",IF(AH$8=0,"OK",IF(EDATE(_xlfn.MAXIFS(Acuses!$D$5:$D$3004,Acuses!$A$5:$A$3004,$A18,Acuses!$B$5:$B$3004,AH$4,Acuses!$C$5:$C$3004,AH$5),AH$8)&lt;Resumen!$C$4,"Caducado",IF(EDATE(_xlfn.MAXIFS(Acuses!$D$5:$D$3004,Acuses!$A$5:$A$3004,$A18,Acuses!$B$5:$B$3004,AH$4,Acuses!$C$5:$C$3004,AH$5),AH$8)&lt;Resumen!$C$4+30,"Caduca pronto","OK"))))))</f>
        <v/>
      </c>
      <c r="AI18" s="26" t="str">
        <f aca="false">IF(OR($A18="",AI$4=""),"",IF(NOT(OR(AI$6="Toda la plantilla",ISNUMBER(SEARCH(";"&amp;SUBSTITUTE($C18," ","")&amp;";",";"&amp;SUBSTITUTE(AI$7," ","")&amp;";")))),"—",IF(_xlfn.MAXIFS(Acuses!$C$5:$C$3004,Acuses!$A$5:$A$3004,$A18,Acuses!$B$5:$B$3004,AI$4)&lt;AI$5,"Pendiente",IF(AI$8=0,"OK",IF(EDATE(_xlfn.MAXIFS(Acuses!$D$5:$D$3004,Acuses!$A$5:$A$3004,$A18,Acuses!$B$5:$B$3004,AI$4,Acuses!$C$5:$C$3004,AI$5),AI$8)&lt;Resumen!$C$4,"Caducado",IF(EDATE(_xlfn.MAXIFS(Acuses!$D$5:$D$3004,Acuses!$A$5:$A$3004,$A18,Acuses!$B$5:$B$3004,AI$4,Acuses!$C$5:$C$3004,AI$5),AI$8)&lt;Resumen!$C$4+30,"Caduca pronto","OK"))))))</f>
        <v/>
      </c>
      <c r="AJ18" s="26" t="str">
        <f aca="false">IF(OR($A18="",AJ$4=""),"",IF(NOT(OR(AJ$6="Toda la plantilla",ISNUMBER(SEARCH(";"&amp;SUBSTITUTE($C18," ","")&amp;";",";"&amp;SUBSTITUTE(AJ$7," ","")&amp;";")))),"—",IF(_xlfn.MAXIFS(Acuses!$C$5:$C$3004,Acuses!$A$5:$A$3004,$A18,Acuses!$B$5:$B$3004,AJ$4)&lt;AJ$5,"Pendiente",IF(AJ$8=0,"OK",IF(EDATE(_xlfn.MAXIFS(Acuses!$D$5:$D$3004,Acuses!$A$5:$A$3004,$A18,Acuses!$B$5:$B$3004,AJ$4,Acuses!$C$5:$C$3004,AJ$5),AJ$8)&lt;Resumen!$C$4,"Caducado",IF(EDATE(_xlfn.MAXIFS(Acuses!$D$5:$D$3004,Acuses!$A$5:$A$3004,$A18,Acuses!$B$5:$B$3004,AJ$4,Acuses!$C$5:$C$3004,AJ$5),AJ$8)&lt;Resumen!$C$4+30,"Caduca pronto","OK"))))))</f>
        <v/>
      </c>
      <c r="AK18" s="26" t="str">
        <f aca="false">IF(OR($A18="",AK$4=""),"",IF(NOT(OR(AK$6="Toda la plantilla",ISNUMBER(SEARCH(";"&amp;SUBSTITUTE($C18," ","")&amp;";",";"&amp;SUBSTITUTE(AK$7," ","")&amp;";")))),"—",IF(_xlfn.MAXIFS(Acuses!$C$5:$C$3004,Acuses!$A$5:$A$3004,$A18,Acuses!$B$5:$B$3004,AK$4)&lt;AK$5,"Pendiente",IF(AK$8=0,"OK",IF(EDATE(_xlfn.MAXIFS(Acuses!$D$5:$D$3004,Acuses!$A$5:$A$3004,$A18,Acuses!$B$5:$B$3004,AK$4,Acuses!$C$5:$C$3004,AK$5),AK$8)&lt;Resumen!$C$4,"Caducado",IF(EDATE(_xlfn.MAXIFS(Acuses!$D$5:$D$3004,Acuses!$A$5:$A$3004,$A18,Acuses!$B$5:$B$3004,AK$4,Acuses!$C$5:$C$3004,AK$5),AK$8)&lt;Resumen!$C$4+30,"Caduca pronto","OK"))))))</f>
        <v/>
      </c>
      <c r="AL18" s="26" t="str">
        <f aca="false">IF(OR($A18="",AL$4=""),"",IF(NOT(OR(AL$6="Toda la plantilla",ISNUMBER(SEARCH(";"&amp;SUBSTITUTE($C18," ","")&amp;";",";"&amp;SUBSTITUTE(AL$7," ","")&amp;";")))),"—",IF(_xlfn.MAXIFS(Acuses!$C$5:$C$3004,Acuses!$A$5:$A$3004,$A18,Acuses!$B$5:$B$3004,AL$4)&lt;AL$5,"Pendiente",IF(AL$8=0,"OK",IF(EDATE(_xlfn.MAXIFS(Acuses!$D$5:$D$3004,Acuses!$A$5:$A$3004,$A18,Acuses!$B$5:$B$3004,AL$4,Acuses!$C$5:$C$3004,AL$5),AL$8)&lt;Resumen!$C$4,"Caducado",IF(EDATE(_xlfn.MAXIFS(Acuses!$D$5:$D$3004,Acuses!$A$5:$A$3004,$A18,Acuses!$B$5:$B$3004,AL$4,Acuses!$C$5:$C$3004,AL$5),AL$8)&lt;Resumen!$C$4+30,"Caduca pronto","OK"))))))</f>
        <v/>
      </c>
      <c r="AM18" s="26" t="str">
        <f aca="false">IF(OR($A18="",AM$4=""),"",IF(NOT(OR(AM$6="Toda la plantilla",ISNUMBER(SEARCH(";"&amp;SUBSTITUTE($C18," ","")&amp;";",";"&amp;SUBSTITUTE(AM$7," ","")&amp;";")))),"—",IF(_xlfn.MAXIFS(Acuses!$C$5:$C$3004,Acuses!$A$5:$A$3004,$A18,Acuses!$B$5:$B$3004,AM$4)&lt;AM$5,"Pendiente",IF(AM$8=0,"OK",IF(EDATE(_xlfn.MAXIFS(Acuses!$D$5:$D$3004,Acuses!$A$5:$A$3004,$A18,Acuses!$B$5:$B$3004,AM$4,Acuses!$C$5:$C$3004,AM$5),AM$8)&lt;Resumen!$C$4,"Caducado",IF(EDATE(_xlfn.MAXIFS(Acuses!$D$5:$D$3004,Acuses!$A$5:$A$3004,$A18,Acuses!$B$5:$B$3004,AM$4,Acuses!$C$5:$C$3004,AM$5),AM$8)&lt;Resumen!$C$4+30,"Caduca pronto","OK"))))))</f>
        <v/>
      </c>
      <c r="AN18" s="26" t="str">
        <f aca="false">IF(OR($A18="",AN$4=""),"",IF(NOT(OR(AN$6="Toda la plantilla",ISNUMBER(SEARCH(";"&amp;SUBSTITUTE($C18," ","")&amp;";",";"&amp;SUBSTITUTE(AN$7," ","")&amp;";")))),"—",IF(_xlfn.MAXIFS(Acuses!$C$5:$C$3004,Acuses!$A$5:$A$3004,$A18,Acuses!$B$5:$B$3004,AN$4)&lt;AN$5,"Pendiente",IF(AN$8=0,"OK",IF(EDATE(_xlfn.MAXIFS(Acuses!$D$5:$D$3004,Acuses!$A$5:$A$3004,$A18,Acuses!$B$5:$B$3004,AN$4,Acuses!$C$5:$C$3004,AN$5),AN$8)&lt;Resumen!$C$4,"Caducado",IF(EDATE(_xlfn.MAXIFS(Acuses!$D$5:$D$3004,Acuses!$A$5:$A$3004,$A18,Acuses!$B$5:$B$3004,AN$4,Acuses!$C$5:$C$3004,AN$5),AN$8)&lt;Resumen!$C$4+30,"Caduca pronto","OK"))))))</f>
        <v/>
      </c>
      <c r="AO18" s="26" t="str">
        <f aca="false">IF(OR($A18="",AO$4=""),"",IF(NOT(OR(AO$6="Toda la plantilla",ISNUMBER(SEARCH(";"&amp;SUBSTITUTE($C18," ","")&amp;";",";"&amp;SUBSTITUTE(AO$7," ","")&amp;";")))),"—",IF(_xlfn.MAXIFS(Acuses!$C$5:$C$3004,Acuses!$A$5:$A$3004,$A18,Acuses!$B$5:$B$3004,AO$4)&lt;AO$5,"Pendiente",IF(AO$8=0,"OK",IF(EDATE(_xlfn.MAXIFS(Acuses!$D$5:$D$3004,Acuses!$A$5:$A$3004,$A18,Acuses!$B$5:$B$3004,AO$4,Acuses!$C$5:$C$3004,AO$5),AO$8)&lt;Resumen!$C$4,"Caducado",IF(EDATE(_xlfn.MAXIFS(Acuses!$D$5:$D$3004,Acuses!$A$5:$A$3004,$A18,Acuses!$B$5:$B$3004,AO$4,Acuses!$C$5:$C$3004,AO$5),AO$8)&lt;Resumen!$C$4+30,"Caduca pronto","OK"))))))</f>
        <v/>
      </c>
      <c r="AP18" s="26" t="str">
        <f aca="false">IF(OR($A18="",AP$4=""),"",IF(NOT(OR(AP$6="Toda la plantilla",ISNUMBER(SEARCH(";"&amp;SUBSTITUTE($C18," ","")&amp;";",";"&amp;SUBSTITUTE(AP$7," ","")&amp;";")))),"—",IF(_xlfn.MAXIFS(Acuses!$C$5:$C$3004,Acuses!$A$5:$A$3004,$A18,Acuses!$B$5:$B$3004,AP$4)&lt;AP$5,"Pendiente",IF(AP$8=0,"OK",IF(EDATE(_xlfn.MAXIFS(Acuses!$D$5:$D$3004,Acuses!$A$5:$A$3004,$A18,Acuses!$B$5:$B$3004,AP$4,Acuses!$C$5:$C$3004,AP$5),AP$8)&lt;Resumen!$C$4,"Caducado",IF(EDATE(_xlfn.MAXIFS(Acuses!$D$5:$D$3004,Acuses!$A$5:$A$3004,$A18,Acuses!$B$5:$B$3004,AP$4,Acuses!$C$5:$C$3004,AP$5),AP$8)&lt;Resumen!$C$4+30,"Caduca pronto","OK"))))))</f>
        <v/>
      </c>
      <c r="AQ18" s="26" t="str">
        <f aca="false">IF(OR($A18="",AQ$4=""),"",IF(NOT(OR(AQ$6="Toda la plantilla",ISNUMBER(SEARCH(";"&amp;SUBSTITUTE($C18," ","")&amp;";",";"&amp;SUBSTITUTE(AQ$7," ","")&amp;";")))),"—",IF(_xlfn.MAXIFS(Acuses!$C$5:$C$3004,Acuses!$A$5:$A$3004,$A18,Acuses!$B$5:$B$3004,AQ$4)&lt;AQ$5,"Pendiente",IF(AQ$8=0,"OK",IF(EDATE(_xlfn.MAXIFS(Acuses!$D$5:$D$3004,Acuses!$A$5:$A$3004,$A18,Acuses!$B$5:$B$3004,AQ$4,Acuses!$C$5:$C$3004,AQ$5),AQ$8)&lt;Resumen!$C$4,"Caducado",IF(EDATE(_xlfn.MAXIFS(Acuses!$D$5:$D$3004,Acuses!$A$5:$A$3004,$A18,Acuses!$B$5:$B$3004,AQ$4,Acuses!$C$5:$C$3004,AQ$5),AQ$8)&lt;Resumen!$C$4+30,"Caduca pronto","OK"))))))</f>
        <v/>
      </c>
    </row>
    <row r="19" customFormat="false" ht="15" hidden="false" customHeight="false" outlineLevel="0" collapsed="false">
      <c r="A19" s="25" t="str">
        <f aca="false">IF(AND(Trabajadores!$A$14&lt;&gt;"",Trabajadores!$G$14&lt;&gt;"No"),Trabajadores!$A$14,"")</f>
        <v/>
      </c>
      <c r="B19" s="25" t="str">
        <f aca="false">IF($A19="","",Trabajadores!$B$14)</f>
        <v/>
      </c>
      <c r="C19" s="25" t="str">
        <f aca="false">IF($A19="","",Trabajadores!$C$14)</f>
        <v/>
      </c>
      <c r="D19" s="26" t="str">
        <f aca="false">IF(OR($A19="",D$4=""),"",IF(NOT(OR(D$6="Toda la plantilla",ISNUMBER(SEARCH(";"&amp;SUBSTITUTE($C19," ","")&amp;";",";"&amp;SUBSTITUTE(D$7," ","")&amp;";")))),"—",IF(_xlfn.MAXIFS(Acuses!$C$5:$C$3004,Acuses!$A$5:$A$3004,$A19,Acuses!$B$5:$B$3004,D$4)&lt;D$5,"Pendiente",IF(D$8=0,"OK",IF(EDATE(_xlfn.MAXIFS(Acuses!$D$5:$D$3004,Acuses!$A$5:$A$3004,$A19,Acuses!$B$5:$B$3004,D$4,Acuses!$C$5:$C$3004,D$5),D$8)&lt;Resumen!$C$4,"Caducado",IF(EDATE(_xlfn.MAXIFS(Acuses!$D$5:$D$3004,Acuses!$A$5:$A$3004,$A19,Acuses!$B$5:$B$3004,D$4,Acuses!$C$5:$C$3004,D$5),D$8)&lt;Resumen!$C$4+30,"Caduca pronto","OK"))))))</f>
        <v/>
      </c>
      <c r="E19" s="26" t="str">
        <f aca="false">IF(OR($A19="",E$4=""),"",IF(NOT(OR(E$6="Toda la plantilla",ISNUMBER(SEARCH(";"&amp;SUBSTITUTE($C19," ","")&amp;";",";"&amp;SUBSTITUTE(E$7," ","")&amp;";")))),"—",IF(_xlfn.MAXIFS(Acuses!$C$5:$C$3004,Acuses!$A$5:$A$3004,$A19,Acuses!$B$5:$B$3004,E$4)&lt;E$5,"Pendiente",IF(E$8=0,"OK",IF(EDATE(_xlfn.MAXIFS(Acuses!$D$5:$D$3004,Acuses!$A$5:$A$3004,$A19,Acuses!$B$5:$B$3004,E$4,Acuses!$C$5:$C$3004,E$5),E$8)&lt;Resumen!$C$4,"Caducado",IF(EDATE(_xlfn.MAXIFS(Acuses!$D$5:$D$3004,Acuses!$A$5:$A$3004,$A19,Acuses!$B$5:$B$3004,E$4,Acuses!$C$5:$C$3004,E$5),E$8)&lt;Resumen!$C$4+30,"Caduca pronto","OK"))))))</f>
        <v/>
      </c>
      <c r="F19" s="26" t="str">
        <f aca="false">IF(OR($A19="",F$4=""),"",IF(NOT(OR(F$6="Toda la plantilla",ISNUMBER(SEARCH(";"&amp;SUBSTITUTE($C19," ","")&amp;";",";"&amp;SUBSTITUTE(F$7," ","")&amp;";")))),"—",IF(_xlfn.MAXIFS(Acuses!$C$5:$C$3004,Acuses!$A$5:$A$3004,$A19,Acuses!$B$5:$B$3004,F$4)&lt;F$5,"Pendiente",IF(F$8=0,"OK",IF(EDATE(_xlfn.MAXIFS(Acuses!$D$5:$D$3004,Acuses!$A$5:$A$3004,$A19,Acuses!$B$5:$B$3004,F$4,Acuses!$C$5:$C$3004,F$5),F$8)&lt;Resumen!$C$4,"Caducado",IF(EDATE(_xlfn.MAXIFS(Acuses!$D$5:$D$3004,Acuses!$A$5:$A$3004,$A19,Acuses!$B$5:$B$3004,F$4,Acuses!$C$5:$C$3004,F$5),F$8)&lt;Resumen!$C$4+30,"Caduca pronto","OK"))))))</f>
        <v/>
      </c>
      <c r="G19" s="26" t="str">
        <f aca="false">IF(OR($A19="",G$4=""),"",IF(NOT(OR(G$6="Toda la plantilla",ISNUMBER(SEARCH(";"&amp;SUBSTITUTE($C19," ","")&amp;";",";"&amp;SUBSTITUTE(G$7," ","")&amp;";")))),"—",IF(_xlfn.MAXIFS(Acuses!$C$5:$C$3004,Acuses!$A$5:$A$3004,$A19,Acuses!$B$5:$B$3004,G$4)&lt;G$5,"Pendiente",IF(G$8=0,"OK",IF(EDATE(_xlfn.MAXIFS(Acuses!$D$5:$D$3004,Acuses!$A$5:$A$3004,$A19,Acuses!$B$5:$B$3004,G$4,Acuses!$C$5:$C$3004,G$5),G$8)&lt;Resumen!$C$4,"Caducado",IF(EDATE(_xlfn.MAXIFS(Acuses!$D$5:$D$3004,Acuses!$A$5:$A$3004,$A19,Acuses!$B$5:$B$3004,G$4,Acuses!$C$5:$C$3004,G$5),G$8)&lt;Resumen!$C$4+30,"Caduca pronto","OK"))))))</f>
        <v/>
      </c>
      <c r="H19" s="26" t="str">
        <f aca="false">IF(OR($A19="",H$4=""),"",IF(NOT(OR(H$6="Toda la plantilla",ISNUMBER(SEARCH(";"&amp;SUBSTITUTE($C19," ","")&amp;";",";"&amp;SUBSTITUTE(H$7," ","")&amp;";")))),"—",IF(_xlfn.MAXIFS(Acuses!$C$5:$C$3004,Acuses!$A$5:$A$3004,$A19,Acuses!$B$5:$B$3004,H$4)&lt;H$5,"Pendiente",IF(H$8=0,"OK",IF(EDATE(_xlfn.MAXIFS(Acuses!$D$5:$D$3004,Acuses!$A$5:$A$3004,$A19,Acuses!$B$5:$B$3004,H$4,Acuses!$C$5:$C$3004,H$5),H$8)&lt;Resumen!$C$4,"Caducado",IF(EDATE(_xlfn.MAXIFS(Acuses!$D$5:$D$3004,Acuses!$A$5:$A$3004,$A19,Acuses!$B$5:$B$3004,H$4,Acuses!$C$5:$C$3004,H$5),H$8)&lt;Resumen!$C$4+30,"Caduca pronto","OK"))))))</f>
        <v/>
      </c>
      <c r="I19" s="26" t="str">
        <f aca="false">IF(OR($A19="",I$4=""),"",IF(NOT(OR(I$6="Toda la plantilla",ISNUMBER(SEARCH(";"&amp;SUBSTITUTE($C19," ","")&amp;";",";"&amp;SUBSTITUTE(I$7," ","")&amp;";")))),"—",IF(_xlfn.MAXIFS(Acuses!$C$5:$C$3004,Acuses!$A$5:$A$3004,$A19,Acuses!$B$5:$B$3004,I$4)&lt;I$5,"Pendiente",IF(I$8=0,"OK",IF(EDATE(_xlfn.MAXIFS(Acuses!$D$5:$D$3004,Acuses!$A$5:$A$3004,$A19,Acuses!$B$5:$B$3004,I$4,Acuses!$C$5:$C$3004,I$5),I$8)&lt;Resumen!$C$4,"Caducado",IF(EDATE(_xlfn.MAXIFS(Acuses!$D$5:$D$3004,Acuses!$A$5:$A$3004,$A19,Acuses!$B$5:$B$3004,I$4,Acuses!$C$5:$C$3004,I$5),I$8)&lt;Resumen!$C$4+30,"Caduca pronto","OK"))))))</f>
        <v/>
      </c>
      <c r="J19" s="26" t="str">
        <f aca="false">IF(OR($A19="",J$4=""),"",IF(NOT(OR(J$6="Toda la plantilla",ISNUMBER(SEARCH(";"&amp;SUBSTITUTE($C19," ","")&amp;";",";"&amp;SUBSTITUTE(J$7," ","")&amp;";")))),"—",IF(_xlfn.MAXIFS(Acuses!$C$5:$C$3004,Acuses!$A$5:$A$3004,$A19,Acuses!$B$5:$B$3004,J$4)&lt;J$5,"Pendiente",IF(J$8=0,"OK",IF(EDATE(_xlfn.MAXIFS(Acuses!$D$5:$D$3004,Acuses!$A$5:$A$3004,$A19,Acuses!$B$5:$B$3004,J$4,Acuses!$C$5:$C$3004,J$5),J$8)&lt;Resumen!$C$4,"Caducado",IF(EDATE(_xlfn.MAXIFS(Acuses!$D$5:$D$3004,Acuses!$A$5:$A$3004,$A19,Acuses!$B$5:$B$3004,J$4,Acuses!$C$5:$C$3004,J$5),J$8)&lt;Resumen!$C$4+30,"Caduca pronto","OK"))))))</f>
        <v/>
      </c>
      <c r="K19" s="26" t="str">
        <f aca="false">IF(OR($A19="",K$4=""),"",IF(NOT(OR(K$6="Toda la plantilla",ISNUMBER(SEARCH(";"&amp;SUBSTITUTE($C19," ","")&amp;";",";"&amp;SUBSTITUTE(K$7," ","")&amp;";")))),"—",IF(_xlfn.MAXIFS(Acuses!$C$5:$C$3004,Acuses!$A$5:$A$3004,$A19,Acuses!$B$5:$B$3004,K$4)&lt;K$5,"Pendiente",IF(K$8=0,"OK",IF(EDATE(_xlfn.MAXIFS(Acuses!$D$5:$D$3004,Acuses!$A$5:$A$3004,$A19,Acuses!$B$5:$B$3004,K$4,Acuses!$C$5:$C$3004,K$5),K$8)&lt;Resumen!$C$4,"Caducado",IF(EDATE(_xlfn.MAXIFS(Acuses!$D$5:$D$3004,Acuses!$A$5:$A$3004,$A19,Acuses!$B$5:$B$3004,K$4,Acuses!$C$5:$C$3004,K$5),K$8)&lt;Resumen!$C$4+30,"Caduca pronto","OK"))))))</f>
        <v/>
      </c>
      <c r="L19" s="26" t="str">
        <f aca="false">IF(OR($A19="",L$4=""),"",IF(NOT(OR(L$6="Toda la plantilla",ISNUMBER(SEARCH(";"&amp;SUBSTITUTE($C19," ","")&amp;";",";"&amp;SUBSTITUTE(L$7," ","")&amp;";")))),"—",IF(_xlfn.MAXIFS(Acuses!$C$5:$C$3004,Acuses!$A$5:$A$3004,$A19,Acuses!$B$5:$B$3004,L$4)&lt;L$5,"Pendiente",IF(L$8=0,"OK",IF(EDATE(_xlfn.MAXIFS(Acuses!$D$5:$D$3004,Acuses!$A$5:$A$3004,$A19,Acuses!$B$5:$B$3004,L$4,Acuses!$C$5:$C$3004,L$5),L$8)&lt;Resumen!$C$4,"Caducado",IF(EDATE(_xlfn.MAXIFS(Acuses!$D$5:$D$3004,Acuses!$A$5:$A$3004,$A19,Acuses!$B$5:$B$3004,L$4,Acuses!$C$5:$C$3004,L$5),L$8)&lt;Resumen!$C$4+30,"Caduca pronto","OK"))))))</f>
        <v/>
      </c>
      <c r="M19" s="26" t="str">
        <f aca="false">IF(OR($A19="",M$4=""),"",IF(NOT(OR(M$6="Toda la plantilla",ISNUMBER(SEARCH(";"&amp;SUBSTITUTE($C19," ","")&amp;";",";"&amp;SUBSTITUTE(M$7," ","")&amp;";")))),"—",IF(_xlfn.MAXIFS(Acuses!$C$5:$C$3004,Acuses!$A$5:$A$3004,$A19,Acuses!$B$5:$B$3004,M$4)&lt;M$5,"Pendiente",IF(M$8=0,"OK",IF(EDATE(_xlfn.MAXIFS(Acuses!$D$5:$D$3004,Acuses!$A$5:$A$3004,$A19,Acuses!$B$5:$B$3004,M$4,Acuses!$C$5:$C$3004,M$5),M$8)&lt;Resumen!$C$4,"Caducado",IF(EDATE(_xlfn.MAXIFS(Acuses!$D$5:$D$3004,Acuses!$A$5:$A$3004,$A19,Acuses!$B$5:$B$3004,M$4,Acuses!$C$5:$C$3004,M$5),M$8)&lt;Resumen!$C$4+30,"Caduca pronto","OK"))))))</f>
        <v/>
      </c>
      <c r="N19" s="26" t="str">
        <f aca="false">IF(OR($A19="",N$4=""),"",IF(NOT(OR(N$6="Toda la plantilla",ISNUMBER(SEARCH(";"&amp;SUBSTITUTE($C19," ","")&amp;";",";"&amp;SUBSTITUTE(N$7," ","")&amp;";")))),"—",IF(_xlfn.MAXIFS(Acuses!$C$5:$C$3004,Acuses!$A$5:$A$3004,$A19,Acuses!$B$5:$B$3004,N$4)&lt;N$5,"Pendiente",IF(N$8=0,"OK",IF(EDATE(_xlfn.MAXIFS(Acuses!$D$5:$D$3004,Acuses!$A$5:$A$3004,$A19,Acuses!$B$5:$B$3004,N$4,Acuses!$C$5:$C$3004,N$5),N$8)&lt;Resumen!$C$4,"Caducado",IF(EDATE(_xlfn.MAXIFS(Acuses!$D$5:$D$3004,Acuses!$A$5:$A$3004,$A19,Acuses!$B$5:$B$3004,N$4,Acuses!$C$5:$C$3004,N$5),N$8)&lt;Resumen!$C$4+30,"Caduca pronto","OK"))))))</f>
        <v/>
      </c>
      <c r="O19" s="26" t="str">
        <f aca="false">IF(OR($A19="",O$4=""),"",IF(NOT(OR(O$6="Toda la plantilla",ISNUMBER(SEARCH(";"&amp;SUBSTITUTE($C19," ","")&amp;";",";"&amp;SUBSTITUTE(O$7," ","")&amp;";")))),"—",IF(_xlfn.MAXIFS(Acuses!$C$5:$C$3004,Acuses!$A$5:$A$3004,$A19,Acuses!$B$5:$B$3004,O$4)&lt;O$5,"Pendiente",IF(O$8=0,"OK",IF(EDATE(_xlfn.MAXIFS(Acuses!$D$5:$D$3004,Acuses!$A$5:$A$3004,$A19,Acuses!$B$5:$B$3004,O$4,Acuses!$C$5:$C$3004,O$5),O$8)&lt;Resumen!$C$4,"Caducado",IF(EDATE(_xlfn.MAXIFS(Acuses!$D$5:$D$3004,Acuses!$A$5:$A$3004,$A19,Acuses!$B$5:$B$3004,O$4,Acuses!$C$5:$C$3004,O$5),O$8)&lt;Resumen!$C$4+30,"Caduca pronto","OK"))))))</f>
        <v/>
      </c>
      <c r="P19" s="26" t="str">
        <f aca="false">IF(OR($A19="",P$4=""),"",IF(NOT(OR(P$6="Toda la plantilla",ISNUMBER(SEARCH(";"&amp;SUBSTITUTE($C19," ","")&amp;";",";"&amp;SUBSTITUTE(P$7," ","")&amp;";")))),"—",IF(_xlfn.MAXIFS(Acuses!$C$5:$C$3004,Acuses!$A$5:$A$3004,$A19,Acuses!$B$5:$B$3004,P$4)&lt;P$5,"Pendiente",IF(P$8=0,"OK",IF(EDATE(_xlfn.MAXIFS(Acuses!$D$5:$D$3004,Acuses!$A$5:$A$3004,$A19,Acuses!$B$5:$B$3004,P$4,Acuses!$C$5:$C$3004,P$5),P$8)&lt;Resumen!$C$4,"Caducado",IF(EDATE(_xlfn.MAXIFS(Acuses!$D$5:$D$3004,Acuses!$A$5:$A$3004,$A19,Acuses!$B$5:$B$3004,P$4,Acuses!$C$5:$C$3004,P$5),P$8)&lt;Resumen!$C$4+30,"Caduca pronto","OK"))))))</f>
        <v/>
      </c>
      <c r="Q19" s="26" t="str">
        <f aca="false">IF(OR($A19="",Q$4=""),"",IF(NOT(OR(Q$6="Toda la plantilla",ISNUMBER(SEARCH(";"&amp;SUBSTITUTE($C19," ","")&amp;";",";"&amp;SUBSTITUTE(Q$7," ","")&amp;";")))),"—",IF(_xlfn.MAXIFS(Acuses!$C$5:$C$3004,Acuses!$A$5:$A$3004,$A19,Acuses!$B$5:$B$3004,Q$4)&lt;Q$5,"Pendiente",IF(Q$8=0,"OK",IF(EDATE(_xlfn.MAXIFS(Acuses!$D$5:$D$3004,Acuses!$A$5:$A$3004,$A19,Acuses!$B$5:$B$3004,Q$4,Acuses!$C$5:$C$3004,Q$5),Q$8)&lt;Resumen!$C$4,"Caducado",IF(EDATE(_xlfn.MAXIFS(Acuses!$D$5:$D$3004,Acuses!$A$5:$A$3004,$A19,Acuses!$B$5:$B$3004,Q$4,Acuses!$C$5:$C$3004,Q$5),Q$8)&lt;Resumen!$C$4+30,"Caduca pronto","OK"))))))</f>
        <v/>
      </c>
      <c r="R19" s="26" t="str">
        <f aca="false">IF(OR($A19="",R$4=""),"",IF(NOT(OR(R$6="Toda la plantilla",ISNUMBER(SEARCH(";"&amp;SUBSTITUTE($C19," ","")&amp;";",";"&amp;SUBSTITUTE(R$7," ","")&amp;";")))),"—",IF(_xlfn.MAXIFS(Acuses!$C$5:$C$3004,Acuses!$A$5:$A$3004,$A19,Acuses!$B$5:$B$3004,R$4)&lt;R$5,"Pendiente",IF(R$8=0,"OK",IF(EDATE(_xlfn.MAXIFS(Acuses!$D$5:$D$3004,Acuses!$A$5:$A$3004,$A19,Acuses!$B$5:$B$3004,R$4,Acuses!$C$5:$C$3004,R$5),R$8)&lt;Resumen!$C$4,"Caducado",IF(EDATE(_xlfn.MAXIFS(Acuses!$D$5:$D$3004,Acuses!$A$5:$A$3004,$A19,Acuses!$B$5:$B$3004,R$4,Acuses!$C$5:$C$3004,R$5),R$8)&lt;Resumen!$C$4+30,"Caduca pronto","OK"))))))</f>
        <v/>
      </c>
      <c r="S19" s="26" t="str">
        <f aca="false">IF(OR($A19="",S$4=""),"",IF(NOT(OR(S$6="Toda la plantilla",ISNUMBER(SEARCH(";"&amp;SUBSTITUTE($C19," ","")&amp;";",";"&amp;SUBSTITUTE(S$7," ","")&amp;";")))),"—",IF(_xlfn.MAXIFS(Acuses!$C$5:$C$3004,Acuses!$A$5:$A$3004,$A19,Acuses!$B$5:$B$3004,S$4)&lt;S$5,"Pendiente",IF(S$8=0,"OK",IF(EDATE(_xlfn.MAXIFS(Acuses!$D$5:$D$3004,Acuses!$A$5:$A$3004,$A19,Acuses!$B$5:$B$3004,S$4,Acuses!$C$5:$C$3004,S$5),S$8)&lt;Resumen!$C$4,"Caducado",IF(EDATE(_xlfn.MAXIFS(Acuses!$D$5:$D$3004,Acuses!$A$5:$A$3004,$A19,Acuses!$B$5:$B$3004,S$4,Acuses!$C$5:$C$3004,S$5),S$8)&lt;Resumen!$C$4+30,"Caduca pronto","OK"))))))</f>
        <v/>
      </c>
      <c r="T19" s="26" t="str">
        <f aca="false">IF(OR($A19="",T$4=""),"",IF(NOT(OR(T$6="Toda la plantilla",ISNUMBER(SEARCH(";"&amp;SUBSTITUTE($C19," ","")&amp;";",";"&amp;SUBSTITUTE(T$7," ","")&amp;";")))),"—",IF(_xlfn.MAXIFS(Acuses!$C$5:$C$3004,Acuses!$A$5:$A$3004,$A19,Acuses!$B$5:$B$3004,T$4)&lt;T$5,"Pendiente",IF(T$8=0,"OK",IF(EDATE(_xlfn.MAXIFS(Acuses!$D$5:$D$3004,Acuses!$A$5:$A$3004,$A19,Acuses!$B$5:$B$3004,T$4,Acuses!$C$5:$C$3004,T$5),T$8)&lt;Resumen!$C$4,"Caducado",IF(EDATE(_xlfn.MAXIFS(Acuses!$D$5:$D$3004,Acuses!$A$5:$A$3004,$A19,Acuses!$B$5:$B$3004,T$4,Acuses!$C$5:$C$3004,T$5),T$8)&lt;Resumen!$C$4+30,"Caduca pronto","OK"))))))</f>
        <v/>
      </c>
      <c r="U19" s="26" t="str">
        <f aca="false">IF(OR($A19="",U$4=""),"",IF(NOT(OR(U$6="Toda la plantilla",ISNUMBER(SEARCH(";"&amp;SUBSTITUTE($C19," ","")&amp;";",";"&amp;SUBSTITUTE(U$7," ","")&amp;";")))),"—",IF(_xlfn.MAXIFS(Acuses!$C$5:$C$3004,Acuses!$A$5:$A$3004,$A19,Acuses!$B$5:$B$3004,U$4)&lt;U$5,"Pendiente",IF(U$8=0,"OK",IF(EDATE(_xlfn.MAXIFS(Acuses!$D$5:$D$3004,Acuses!$A$5:$A$3004,$A19,Acuses!$B$5:$B$3004,U$4,Acuses!$C$5:$C$3004,U$5),U$8)&lt;Resumen!$C$4,"Caducado",IF(EDATE(_xlfn.MAXIFS(Acuses!$D$5:$D$3004,Acuses!$A$5:$A$3004,$A19,Acuses!$B$5:$B$3004,U$4,Acuses!$C$5:$C$3004,U$5),U$8)&lt;Resumen!$C$4+30,"Caduca pronto","OK"))))))</f>
        <v/>
      </c>
      <c r="V19" s="26" t="str">
        <f aca="false">IF(OR($A19="",V$4=""),"",IF(NOT(OR(V$6="Toda la plantilla",ISNUMBER(SEARCH(";"&amp;SUBSTITUTE($C19," ","")&amp;";",";"&amp;SUBSTITUTE(V$7," ","")&amp;";")))),"—",IF(_xlfn.MAXIFS(Acuses!$C$5:$C$3004,Acuses!$A$5:$A$3004,$A19,Acuses!$B$5:$B$3004,V$4)&lt;V$5,"Pendiente",IF(V$8=0,"OK",IF(EDATE(_xlfn.MAXIFS(Acuses!$D$5:$D$3004,Acuses!$A$5:$A$3004,$A19,Acuses!$B$5:$B$3004,V$4,Acuses!$C$5:$C$3004,V$5),V$8)&lt;Resumen!$C$4,"Caducado",IF(EDATE(_xlfn.MAXIFS(Acuses!$D$5:$D$3004,Acuses!$A$5:$A$3004,$A19,Acuses!$B$5:$B$3004,V$4,Acuses!$C$5:$C$3004,V$5),V$8)&lt;Resumen!$C$4+30,"Caduca pronto","OK"))))))</f>
        <v/>
      </c>
      <c r="W19" s="26" t="str">
        <f aca="false">IF(OR($A19="",W$4=""),"",IF(NOT(OR(W$6="Toda la plantilla",ISNUMBER(SEARCH(";"&amp;SUBSTITUTE($C19," ","")&amp;";",";"&amp;SUBSTITUTE(W$7," ","")&amp;";")))),"—",IF(_xlfn.MAXIFS(Acuses!$C$5:$C$3004,Acuses!$A$5:$A$3004,$A19,Acuses!$B$5:$B$3004,W$4)&lt;W$5,"Pendiente",IF(W$8=0,"OK",IF(EDATE(_xlfn.MAXIFS(Acuses!$D$5:$D$3004,Acuses!$A$5:$A$3004,$A19,Acuses!$B$5:$B$3004,W$4,Acuses!$C$5:$C$3004,W$5),W$8)&lt;Resumen!$C$4,"Caducado",IF(EDATE(_xlfn.MAXIFS(Acuses!$D$5:$D$3004,Acuses!$A$5:$A$3004,$A19,Acuses!$B$5:$B$3004,W$4,Acuses!$C$5:$C$3004,W$5),W$8)&lt;Resumen!$C$4+30,"Caduca pronto","OK"))))))</f>
        <v/>
      </c>
      <c r="X19" s="26" t="str">
        <f aca="false">IF(OR($A19="",X$4=""),"",IF(NOT(OR(X$6="Toda la plantilla",ISNUMBER(SEARCH(";"&amp;SUBSTITUTE($C19," ","")&amp;";",";"&amp;SUBSTITUTE(X$7," ","")&amp;";")))),"—",IF(_xlfn.MAXIFS(Acuses!$C$5:$C$3004,Acuses!$A$5:$A$3004,$A19,Acuses!$B$5:$B$3004,X$4)&lt;X$5,"Pendiente",IF(X$8=0,"OK",IF(EDATE(_xlfn.MAXIFS(Acuses!$D$5:$D$3004,Acuses!$A$5:$A$3004,$A19,Acuses!$B$5:$B$3004,X$4,Acuses!$C$5:$C$3004,X$5),X$8)&lt;Resumen!$C$4,"Caducado",IF(EDATE(_xlfn.MAXIFS(Acuses!$D$5:$D$3004,Acuses!$A$5:$A$3004,$A19,Acuses!$B$5:$B$3004,X$4,Acuses!$C$5:$C$3004,X$5),X$8)&lt;Resumen!$C$4+30,"Caduca pronto","OK"))))))</f>
        <v/>
      </c>
      <c r="Y19" s="26" t="str">
        <f aca="false">IF(OR($A19="",Y$4=""),"",IF(NOT(OR(Y$6="Toda la plantilla",ISNUMBER(SEARCH(";"&amp;SUBSTITUTE($C19," ","")&amp;";",";"&amp;SUBSTITUTE(Y$7," ","")&amp;";")))),"—",IF(_xlfn.MAXIFS(Acuses!$C$5:$C$3004,Acuses!$A$5:$A$3004,$A19,Acuses!$B$5:$B$3004,Y$4)&lt;Y$5,"Pendiente",IF(Y$8=0,"OK",IF(EDATE(_xlfn.MAXIFS(Acuses!$D$5:$D$3004,Acuses!$A$5:$A$3004,$A19,Acuses!$B$5:$B$3004,Y$4,Acuses!$C$5:$C$3004,Y$5),Y$8)&lt;Resumen!$C$4,"Caducado",IF(EDATE(_xlfn.MAXIFS(Acuses!$D$5:$D$3004,Acuses!$A$5:$A$3004,$A19,Acuses!$B$5:$B$3004,Y$4,Acuses!$C$5:$C$3004,Y$5),Y$8)&lt;Resumen!$C$4+30,"Caduca pronto","OK"))))))</f>
        <v/>
      </c>
      <c r="Z19" s="26" t="str">
        <f aca="false">IF(OR($A19="",Z$4=""),"",IF(NOT(OR(Z$6="Toda la plantilla",ISNUMBER(SEARCH(";"&amp;SUBSTITUTE($C19," ","")&amp;";",";"&amp;SUBSTITUTE(Z$7," ","")&amp;";")))),"—",IF(_xlfn.MAXIFS(Acuses!$C$5:$C$3004,Acuses!$A$5:$A$3004,$A19,Acuses!$B$5:$B$3004,Z$4)&lt;Z$5,"Pendiente",IF(Z$8=0,"OK",IF(EDATE(_xlfn.MAXIFS(Acuses!$D$5:$D$3004,Acuses!$A$5:$A$3004,$A19,Acuses!$B$5:$B$3004,Z$4,Acuses!$C$5:$C$3004,Z$5),Z$8)&lt;Resumen!$C$4,"Caducado",IF(EDATE(_xlfn.MAXIFS(Acuses!$D$5:$D$3004,Acuses!$A$5:$A$3004,$A19,Acuses!$B$5:$B$3004,Z$4,Acuses!$C$5:$C$3004,Z$5),Z$8)&lt;Resumen!$C$4+30,"Caduca pronto","OK"))))))</f>
        <v/>
      </c>
      <c r="AA19" s="26" t="str">
        <f aca="false">IF(OR($A19="",AA$4=""),"",IF(NOT(OR(AA$6="Toda la plantilla",ISNUMBER(SEARCH(";"&amp;SUBSTITUTE($C19," ","")&amp;";",";"&amp;SUBSTITUTE(AA$7," ","")&amp;";")))),"—",IF(_xlfn.MAXIFS(Acuses!$C$5:$C$3004,Acuses!$A$5:$A$3004,$A19,Acuses!$B$5:$B$3004,AA$4)&lt;AA$5,"Pendiente",IF(AA$8=0,"OK",IF(EDATE(_xlfn.MAXIFS(Acuses!$D$5:$D$3004,Acuses!$A$5:$A$3004,$A19,Acuses!$B$5:$B$3004,AA$4,Acuses!$C$5:$C$3004,AA$5),AA$8)&lt;Resumen!$C$4,"Caducado",IF(EDATE(_xlfn.MAXIFS(Acuses!$D$5:$D$3004,Acuses!$A$5:$A$3004,$A19,Acuses!$B$5:$B$3004,AA$4,Acuses!$C$5:$C$3004,AA$5),AA$8)&lt;Resumen!$C$4+30,"Caduca pronto","OK"))))))</f>
        <v/>
      </c>
      <c r="AB19" s="26" t="str">
        <f aca="false">IF(OR($A19="",AB$4=""),"",IF(NOT(OR(AB$6="Toda la plantilla",ISNUMBER(SEARCH(";"&amp;SUBSTITUTE($C19," ","")&amp;";",";"&amp;SUBSTITUTE(AB$7," ","")&amp;";")))),"—",IF(_xlfn.MAXIFS(Acuses!$C$5:$C$3004,Acuses!$A$5:$A$3004,$A19,Acuses!$B$5:$B$3004,AB$4)&lt;AB$5,"Pendiente",IF(AB$8=0,"OK",IF(EDATE(_xlfn.MAXIFS(Acuses!$D$5:$D$3004,Acuses!$A$5:$A$3004,$A19,Acuses!$B$5:$B$3004,AB$4,Acuses!$C$5:$C$3004,AB$5),AB$8)&lt;Resumen!$C$4,"Caducado",IF(EDATE(_xlfn.MAXIFS(Acuses!$D$5:$D$3004,Acuses!$A$5:$A$3004,$A19,Acuses!$B$5:$B$3004,AB$4,Acuses!$C$5:$C$3004,AB$5),AB$8)&lt;Resumen!$C$4+30,"Caduca pronto","OK"))))))</f>
        <v/>
      </c>
      <c r="AC19" s="26" t="str">
        <f aca="false">IF(OR($A19="",AC$4=""),"",IF(NOT(OR(AC$6="Toda la plantilla",ISNUMBER(SEARCH(";"&amp;SUBSTITUTE($C19," ","")&amp;";",";"&amp;SUBSTITUTE(AC$7," ","")&amp;";")))),"—",IF(_xlfn.MAXIFS(Acuses!$C$5:$C$3004,Acuses!$A$5:$A$3004,$A19,Acuses!$B$5:$B$3004,AC$4)&lt;AC$5,"Pendiente",IF(AC$8=0,"OK",IF(EDATE(_xlfn.MAXIFS(Acuses!$D$5:$D$3004,Acuses!$A$5:$A$3004,$A19,Acuses!$B$5:$B$3004,AC$4,Acuses!$C$5:$C$3004,AC$5),AC$8)&lt;Resumen!$C$4,"Caducado",IF(EDATE(_xlfn.MAXIFS(Acuses!$D$5:$D$3004,Acuses!$A$5:$A$3004,$A19,Acuses!$B$5:$B$3004,AC$4,Acuses!$C$5:$C$3004,AC$5),AC$8)&lt;Resumen!$C$4+30,"Caduca pronto","OK"))))))</f>
        <v/>
      </c>
      <c r="AD19" s="26" t="str">
        <f aca="false">IF(OR($A19="",AD$4=""),"",IF(NOT(OR(AD$6="Toda la plantilla",ISNUMBER(SEARCH(";"&amp;SUBSTITUTE($C19," ","")&amp;";",";"&amp;SUBSTITUTE(AD$7," ","")&amp;";")))),"—",IF(_xlfn.MAXIFS(Acuses!$C$5:$C$3004,Acuses!$A$5:$A$3004,$A19,Acuses!$B$5:$B$3004,AD$4)&lt;AD$5,"Pendiente",IF(AD$8=0,"OK",IF(EDATE(_xlfn.MAXIFS(Acuses!$D$5:$D$3004,Acuses!$A$5:$A$3004,$A19,Acuses!$B$5:$B$3004,AD$4,Acuses!$C$5:$C$3004,AD$5),AD$8)&lt;Resumen!$C$4,"Caducado",IF(EDATE(_xlfn.MAXIFS(Acuses!$D$5:$D$3004,Acuses!$A$5:$A$3004,$A19,Acuses!$B$5:$B$3004,AD$4,Acuses!$C$5:$C$3004,AD$5),AD$8)&lt;Resumen!$C$4+30,"Caduca pronto","OK"))))))</f>
        <v/>
      </c>
      <c r="AE19" s="26" t="str">
        <f aca="false">IF(OR($A19="",AE$4=""),"",IF(NOT(OR(AE$6="Toda la plantilla",ISNUMBER(SEARCH(";"&amp;SUBSTITUTE($C19," ","")&amp;";",";"&amp;SUBSTITUTE(AE$7," ","")&amp;";")))),"—",IF(_xlfn.MAXIFS(Acuses!$C$5:$C$3004,Acuses!$A$5:$A$3004,$A19,Acuses!$B$5:$B$3004,AE$4)&lt;AE$5,"Pendiente",IF(AE$8=0,"OK",IF(EDATE(_xlfn.MAXIFS(Acuses!$D$5:$D$3004,Acuses!$A$5:$A$3004,$A19,Acuses!$B$5:$B$3004,AE$4,Acuses!$C$5:$C$3004,AE$5),AE$8)&lt;Resumen!$C$4,"Caducado",IF(EDATE(_xlfn.MAXIFS(Acuses!$D$5:$D$3004,Acuses!$A$5:$A$3004,$A19,Acuses!$B$5:$B$3004,AE$4,Acuses!$C$5:$C$3004,AE$5),AE$8)&lt;Resumen!$C$4+30,"Caduca pronto","OK"))))))</f>
        <v/>
      </c>
      <c r="AF19" s="26" t="str">
        <f aca="false">IF(OR($A19="",AF$4=""),"",IF(NOT(OR(AF$6="Toda la plantilla",ISNUMBER(SEARCH(";"&amp;SUBSTITUTE($C19," ","")&amp;";",";"&amp;SUBSTITUTE(AF$7," ","")&amp;";")))),"—",IF(_xlfn.MAXIFS(Acuses!$C$5:$C$3004,Acuses!$A$5:$A$3004,$A19,Acuses!$B$5:$B$3004,AF$4)&lt;AF$5,"Pendiente",IF(AF$8=0,"OK",IF(EDATE(_xlfn.MAXIFS(Acuses!$D$5:$D$3004,Acuses!$A$5:$A$3004,$A19,Acuses!$B$5:$B$3004,AF$4,Acuses!$C$5:$C$3004,AF$5),AF$8)&lt;Resumen!$C$4,"Caducado",IF(EDATE(_xlfn.MAXIFS(Acuses!$D$5:$D$3004,Acuses!$A$5:$A$3004,$A19,Acuses!$B$5:$B$3004,AF$4,Acuses!$C$5:$C$3004,AF$5),AF$8)&lt;Resumen!$C$4+30,"Caduca pronto","OK"))))))</f>
        <v/>
      </c>
      <c r="AG19" s="26" t="str">
        <f aca="false">IF(OR($A19="",AG$4=""),"",IF(NOT(OR(AG$6="Toda la plantilla",ISNUMBER(SEARCH(";"&amp;SUBSTITUTE($C19," ","")&amp;";",";"&amp;SUBSTITUTE(AG$7," ","")&amp;";")))),"—",IF(_xlfn.MAXIFS(Acuses!$C$5:$C$3004,Acuses!$A$5:$A$3004,$A19,Acuses!$B$5:$B$3004,AG$4)&lt;AG$5,"Pendiente",IF(AG$8=0,"OK",IF(EDATE(_xlfn.MAXIFS(Acuses!$D$5:$D$3004,Acuses!$A$5:$A$3004,$A19,Acuses!$B$5:$B$3004,AG$4,Acuses!$C$5:$C$3004,AG$5),AG$8)&lt;Resumen!$C$4,"Caducado",IF(EDATE(_xlfn.MAXIFS(Acuses!$D$5:$D$3004,Acuses!$A$5:$A$3004,$A19,Acuses!$B$5:$B$3004,AG$4,Acuses!$C$5:$C$3004,AG$5),AG$8)&lt;Resumen!$C$4+30,"Caduca pronto","OK"))))))</f>
        <v/>
      </c>
      <c r="AH19" s="26" t="str">
        <f aca="false">IF(OR($A19="",AH$4=""),"",IF(NOT(OR(AH$6="Toda la plantilla",ISNUMBER(SEARCH(";"&amp;SUBSTITUTE($C19," ","")&amp;";",";"&amp;SUBSTITUTE(AH$7," ","")&amp;";")))),"—",IF(_xlfn.MAXIFS(Acuses!$C$5:$C$3004,Acuses!$A$5:$A$3004,$A19,Acuses!$B$5:$B$3004,AH$4)&lt;AH$5,"Pendiente",IF(AH$8=0,"OK",IF(EDATE(_xlfn.MAXIFS(Acuses!$D$5:$D$3004,Acuses!$A$5:$A$3004,$A19,Acuses!$B$5:$B$3004,AH$4,Acuses!$C$5:$C$3004,AH$5),AH$8)&lt;Resumen!$C$4,"Caducado",IF(EDATE(_xlfn.MAXIFS(Acuses!$D$5:$D$3004,Acuses!$A$5:$A$3004,$A19,Acuses!$B$5:$B$3004,AH$4,Acuses!$C$5:$C$3004,AH$5),AH$8)&lt;Resumen!$C$4+30,"Caduca pronto","OK"))))))</f>
        <v/>
      </c>
      <c r="AI19" s="26" t="str">
        <f aca="false">IF(OR($A19="",AI$4=""),"",IF(NOT(OR(AI$6="Toda la plantilla",ISNUMBER(SEARCH(";"&amp;SUBSTITUTE($C19," ","")&amp;";",";"&amp;SUBSTITUTE(AI$7," ","")&amp;";")))),"—",IF(_xlfn.MAXIFS(Acuses!$C$5:$C$3004,Acuses!$A$5:$A$3004,$A19,Acuses!$B$5:$B$3004,AI$4)&lt;AI$5,"Pendiente",IF(AI$8=0,"OK",IF(EDATE(_xlfn.MAXIFS(Acuses!$D$5:$D$3004,Acuses!$A$5:$A$3004,$A19,Acuses!$B$5:$B$3004,AI$4,Acuses!$C$5:$C$3004,AI$5),AI$8)&lt;Resumen!$C$4,"Caducado",IF(EDATE(_xlfn.MAXIFS(Acuses!$D$5:$D$3004,Acuses!$A$5:$A$3004,$A19,Acuses!$B$5:$B$3004,AI$4,Acuses!$C$5:$C$3004,AI$5),AI$8)&lt;Resumen!$C$4+30,"Caduca pronto","OK"))))))</f>
        <v/>
      </c>
      <c r="AJ19" s="26" t="str">
        <f aca="false">IF(OR($A19="",AJ$4=""),"",IF(NOT(OR(AJ$6="Toda la plantilla",ISNUMBER(SEARCH(";"&amp;SUBSTITUTE($C19," ","")&amp;";",";"&amp;SUBSTITUTE(AJ$7," ","")&amp;";")))),"—",IF(_xlfn.MAXIFS(Acuses!$C$5:$C$3004,Acuses!$A$5:$A$3004,$A19,Acuses!$B$5:$B$3004,AJ$4)&lt;AJ$5,"Pendiente",IF(AJ$8=0,"OK",IF(EDATE(_xlfn.MAXIFS(Acuses!$D$5:$D$3004,Acuses!$A$5:$A$3004,$A19,Acuses!$B$5:$B$3004,AJ$4,Acuses!$C$5:$C$3004,AJ$5),AJ$8)&lt;Resumen!$C$4,"Caducado",IF(EDATE(_xlfn.MAXIFS(Acuses!$D$5:$D$3004,Acuses!$A$5:$A$3004,$A19,Acuses!$B$5:$B$3004,AJ$4,Acuses!$C$5:$C$3004,AJ$5),AJ$8)&lt;Resumen!$C$4+30,"Caduca pronto","OK"))))))</f>
        <v/>
      </c>
      <c r="AK19" s="26" t="str">
        <f aca="false">IF(OR($A19="",AK$4=""),"",IF(NOT(OR(AK$6="Toda la plantilla",ISNUMBER(SEARCH(";"&amp;SUBSTITUTE($C19," ","")&amp;";",";"&amp;SUBSTITUTE(AK$7," ","")&amp;";")))),"—",IF(_xlfn.MAXIFS(Acuses!$C$5:$C$3004,Acuses!$A$5:$A$3004,$A19,Acuses!$B$5:$B$3004,AK$4)&lt;AK$5,"Pendiente",IF(AK$8=0,"OK",IF(EDATE(_xlfn.MAXIFS(Acuses!$D$5:$D$3004,Acuses!$A$5:$A$3004,$A19,Acuses!$B$5:$B$3004,AK$4,Acuses!$C$5:$C$3004,AK$5),AK$8)&lt;Resumen!$C$4,"Caducado",IF(EDATE(_xlfn.MAXIFS(Acuses!$D$5:$D$3004,Acuses!$A$5:$A$3004,$A19,Acuses!$B$5:$B$3004,AK$4,Acuses!$C$5:$C$3004,AK$5),AK$8)&lt;Resumen!$C$4+30,"Caduca pronto","OK"))))))</f>
        <v/>
      </c>
      <c r="AL19" s="26" t="str">
        <f aca="false">IF(OR($A19="",AL$4=""),"",IF(NOT(OR(AL$6="Toda la plantilla",ISNUMBER(SEARCH(";"&amp;SUBSTITUTE($C19," ","")&amp;";",";"&amp;SUBSTITUTE(AL$7," ","")&amp;";")))),"—",IF(_xlfn.MAXIFS(Acuses!$C$5:$C$3004,Acuses!$A$5:$A$3004,$A19,Acuses!$B$5:$B$3004,AL$4)&lt;AL$5,"Pendiente",IF(AL$8=0,"OK",IF(EDATE(_xlfn.MAXIFS(Acuses!$D$5:$D$3004,Acuses!$A$5:$A$3004,$A19,Acuses!$B$5:$B$3004,AL$4,Acuses!$C$5:$C$3004,AL$5),AL$8)&lt;Resumen!$C$4,"Caducado",IF(EDATE(_xlfn.MAXIFS(Acuses!$D$5:$D$3004,Acuses!$A$5:$A$3004,$A19,Acuses!$B$5:$B$3004,AL$4,Acuses!$C$5:$C$3004,AL$5),AL$8)&lt;Resumen!$C$4+30,"Caduca pronto","OK"))))))</f>
        <v/>
      </c>
      <c r="AM19" s="26" t="str">
        <f aca="false">IF(OR($A19="",AM$4=""),"",IF(NOT(OR(AM$6="Toda la plantilla",ISNUMBER(SEARCH(";"&amp;SUBSTITUTE($C19," ","")&amp;";",";"&amp;SUBSTITUTE(AM$7," ","")&amp;";")))),"—",IF(_xlfn.MAXIFS(Acuses!$C$5:$C$3004,Acuses!$A$5:$A$3004,$A19,Acuses!$B$5:$B$3004,AM$4)&lt;AM$5,"Pendiente",IF(AM$8=0,"OK",IF(EDATE(_xlfn.MAXIFS(Acuses!$D$5:$D$3004,Acuses!$A$5:$A$3004,$A19,Acuses!$B$5:$B$3004,AM$4,Acuses!$C$5:$C$3004,AM$5),AM$8)&lt;Resumen!$C$4,"Caducado",IF(EDATE(_xlfn.MAXIFS(Acuses!$D$5:$D$3004,Acuses!$A$5:$A$3004,$A19,Acuses!$B$5:$B$3004,AM$4,Acuses!$C$5:$C$3004,AM$5),AM$8)&lt;Resumen!$C$4+30,"Caduca pronto","OK"))))))</f>
        <v/>
      </c>
      <c r="AN19" s="26" t="str">
        <f aca="false">IF(OR($A19="",AN$4=""),"",IF(NOT(OR(AN$6="Toda la plantilla",ISNUMBER(SEARCH(";"&amp;SUBSTITUTE($C19," ","")&amp;";",";"&amp;SUBSTITUTE(AN$7," ","")&amp;";")))),"—",IF(_xlfn.MAXIFS(Acuses!$C$5:$C$3004,Acuses!$A$5:$A$3004,$A19,Acuses!$B$5:$B$3004,AN$4)&lt;AN$5,"Pendiente",IF(AN$8=0,"OK",IF(EDATE(_xlfn.MAXIFS(Acuses!$D$5:$D$3004,Acuses!$A$5:$A$3004,$A19,Acuses!$B$5:$B$3004,AN$4,Acuses!$C$5:$C$3004,AN$5),AN$8)&lt;Resumen!$C$4,"Caducado",IF(EDATE(_xlfn.MAXIFS(Acuses!$D$5:$D$3004,Acuses!$A$5:$A$3004,$A19,Acuses!$B$5:$B$3004,AN$4,Acuses!$C$5:$C$3004,AN$5),AN$8)&lt;Resumen!$C$4+30,"Caduca pronto","OK"))))))</f>
        <v/>
      </c>
      <c r="AO19" s="26" t="str">
        <f aca="false">IF(OR($A19="",AO$4=""),"",IF(NOT(OR(AO$6="Toda la plantilla",ISNUMBER(SEARCH(";"&amp;SUBSTITUTE($C19," ","")&amp;";",";"&amp;SUBSTITUTE(AO$7," ","")&amp;";")))),"—",IF(_xlfn.MAXIFS(Acuses!$C$5:$C$3004,Acuses!$A$5:$A$3004,$A19,Acuses!$B$5:$B$3004,AO$4)&lt;AO$5,"Pendiente",IF(AO$8=0,"OK",IF(EDATE(_xlfn.MAXIFS(Acuses!$D$5:$D$3004,Acuses!$A$5:$A$3004,$A19,Acuses!$B$5:$B$3004,AO$4,Acuses!$C$5:$C$3004,AO$5),AO$8)&lt;Resumen!$C$4,"Caducado",IF(EDATE(_xlfn.MAXIFS(Acuses!$D$5:$D$3004,Acuses!$A$5:$A$3004,$A19,Acuses!$B$5:$B$3004,AO$4,Acuses!$C$5:$C$3004,AO$5),AO$8)&lt;Resumen!$C$4+30,"Caduca pronto","OK"))))))</f>
        <v/>
      </c>
      <c r="AP19" s="26" t="str">
        <f aca="false">IF(OR($A19="",AP$4=""),"",IF(NOT(OR(AP$6="Toda la plantilla",ISNUMBER(SEARCH(";"&amp;SUBSTITUTE($C19," ","")&amp;";",";"&amp;SUBSTITUTE(AP$7," ","")&amp;";")))),"—",IF(_xlfn.MAXIFS(Acuses!$C$5:$C$3004,Acuses!$A$5:$A$3004,$A19,Acuses!$B$5:$B$3004,AP$4)&lt;AP$5,"Pendiente",IF(AP$8=0,"OK",IF(EDATE(_xlfn.MAXIFS(Acuses!$D$5:$D$3004,Acuses!$A$5:$A$3004,$A19,Acuses!$B$5:$B$3004,AP$4,Acuses!$C$5:$C$3004,AP$5),AP$8)&lt;Resumen!$C$4,"Caducado",IF(EDATE(_xlfn.MAXIFS(Acuses!$D$5:$D$3004,Acuses!$A$5:$A$3004,$A19,Acuses!$B$5:$B$3004,AP$4,Acuses!$C$5:$C$3004,AP$5),AP$8)&lt;Resumen!$C$4+30,"Caduca pronto","OK"))))))</f>
        <v/>
      </c>
      <c r="AQ19" s="26" t="str">
        <f aca="false">IF(OR($A19="",AQ$4=""),"",IF(NOT(OR(AQ$6="Toda la plantilla",ISNUMBER(SEARCH(";"&amp;SUBSTITUTE($C19," ","")&amp;";",";"&amp;SUBSTITUTE(AQ$7," ","")&amp;";")))),"—",IF(_xlfn.MAXIFS(Acuses!$C$5:$C$3004,Acuses!$A$5:$A$3004,$A19,Acuses!$B$5:$B$3004,AQ$4)&lt;AQ$5,"Pendiente",IF(AQ$8=0,"OK",IF(EDATE(_xlfn.MAXIFS(Acuses!$D$5:$D$3004,Acuses!$A$5:$A$3004,$A19,Acuses!$B$5:$B$3004,AQ$4,Acuses!$C$5:$C$3004,AQ$5),AQ$8)&lt;Resumen!$C$4,"Caducado",IF(EDATE(_xlfn.MAXIFS(Acuses!$D$5:$D$3004,Acuses!$A$5:$A$3004,$A19,Acuses!$B$5:$B$3004,AQ$4,Acuses!$C$5:$C$3004,AQ$5),AQ$8)&lt;Resumen!$C$4+30,"Caduca pronto","OK"))))))</f>
        <v/>
      </c>
    </row>
    <row r="20" customFormat="false" ht="15" hidden="false" customHeight="false" outlineLevel="0" collapsed="false">
      <c r="A20" s="25" t="str">
        <f aca="false">IF(AND(Trabajadores!$A$15&lt;&gt;"",Trabajadores!$G$15&lt;&gt;"No"),Trabajadores!$A$15,"")</f>
        <v/>
      </c>
      <c r="B20" s="25" t="str">
        <f aca="false">IF($A20="","",Trabajadores!$B$15)</f>
        <v/>
      </c>
      <c r="C20" s="25" t="str">
        <f aca="false">IF($A20="","",Trabajadores!$C$15)</f>
        <v/>
      </c>
      <c r="D20" s="26" t="str">
        <f aca="false">IF(OR($A20="",D$4=""),"",IF(NOT(OR(D$6="Toda la plantilla",ISNUMBER(SEARCH(";"&amp;SUBSTITUTE($C20," ","")&amp;";",";"&amp;SUBSTITUTE(D$7," ","")&amp;";")))),"—",IF(_xlfn.MAXIFS(Acuses!$C$5:$C$3004,Acuses!$A$5:$A$3004,$A20,Acuses!$B$5:$B$3004,D$4)&lt;D$5,"Pendiente",IF(D$8=0,"OK",IF(EDATE(_xlfn.MAXIFS(Acuses!$D$5:$D$3004,Acuses!$A$5:$A$3004,$A20,Acuses!$B$5:$B$3004,D$4,Acuses!$C$5:$C$3004,D$5),D$8)&lt;Resumen!$C$4,"Caducado",IF(EDATE(_xlfn.MAXIFS(Acuses!$D$5:$D$3004,Acuses!$A$5:$A$3004,$A20,Acuses!$B$5:$B$3004,D$4,Acuses!$C$5:$C$3004,D$5),D$8)&lt;Resumen!$C$4+30,"Caduca pronto","OK"))))))</f>
        <v/>
      </c>
      <c r="E20" s="26" t="str">
        <f aca="false">IF(OR($A20="",E$4=""),"",IF(NOT(OR(E$6="Toda la plantilla",ISNUMBER(SEARCH(";"&amp;SUBSTITUTE($C20," ","")&amp;";",";"&amp;SUBSTITUTE(E$7," ","")&amp;";")))),"—",IF(_xlfn.MAXIFS(Acuses!$C$5:$C$3004,Acuses!$A$5:$A$3004,$A20,Acuses!$B$5:$B$3004,E$4)&lt;E$5,"Pendiente",IF(E$8=0,"OK",IF(EDATE(_xlfn.MAXIFS(Acuses!$D$5:$D$3004,Acuses!$A$5:$A$3004,$A20,Acuses!$B$5:$B$3004,E$4,Acuses!$C$5:$C$3004,E$5),E$8)&lt;Resumen!$C$4,"Caducado",IF(EDATE(_xlfn.MAXIFS(Acuses!$D$5:$D$3004,Acuses!$A$5:$A$3004,$A20,Acuses!$B$5:$B$3004,E$4,Acuses!$C$5:$C$3004,E$5),E$8)&lt;Resumen!$C$4+30,"Caduca pronto","OK"))))))</f>
        <v/>
      </c>
      <c r="F20" s="26" t="str">
        <f aca="false">IF(OR($A20="",F$4=""),"",IF(NOT(OR(F$6="Toda la plantilla",ISNUMBER(SEARCH(";"&amp;SUBSTITUTE($C20," ","")&amp;";",";"&amp;SUBSTITUTE(F$7," ","")&amp;";")))),"—",IF(_xlfn.MAXIFS(Acuses!$C$5:$C$3004,Acuses!$A$5:$A$3004,$A20,Acuses!$B$5:$B$3004,F$4)&lt;F$5,"Pendiente",IF(F$8=0,"OK",IF(EDATE(_xlfn.MAXIFS(Acuses!$D$5:$D$3004,Acuses!$A$5:$A$3004,$A20,Acuses!$B$5:$B$3004,F$4,Acuses!$C$5:$C$3004,F$5),F$8)&lt;Resumen!$C$4,"Caducado",IF(EDATE(_xlfn.MAXIFS(Acuses!$D$5:$D$3004,Acuses!$A$5:$A$3004,$A20,Acuses!$B$5:$B$3004,F$4,Acuses!$C$5:$C$3004,F$5),F$8)&lt;Resumen!$C$4+30,"Caduca pronto","OK"))))))</f>
        <v/>
      </c>
      <c r="G20" s="26" t="str">
        <f aca="false">IF(OR($A20="",G$4=""),"",IF(NOT(OR(G$6="Toda la plantilla",ISNUMBER(SEARCH(";"&amp;SUBSTITUTE($C20," ","")&amp;";",";"&amp;SUBSTITUTE(G$7," ","")&amp;";")))),"—",IF(_xlfn.MAXIFS(Acuses!$C$5:$C$3004,Acuses!$A$5:$A$3004,$A20,Acuses!$B$5:$B$3004,G$4)&lt;G$5,"Pendiente",IF(G$8=0,"OK",IF(EDATE(_xlfn.MAXIFS(Acuses!$D$5:$D$3004,Acuses!$A$5:$A$3004,$A20,Acuses!$B$5:$B$3004,G$4,Acuses!$C$5:$C$3004,G$5),G$8)&lt;Resumen!$C$4,"Caducado",IF(EDATE(_xlfn.MAXIFS(Acuses!$D$5:$D$3004,Acuses!$A$5:$A$3004,$A20,Acuses!$B$5:$B$3004,G$4,Acuses!$C$5:$C$3004,G$5),G$8)&lt;Resumen!$C$4+30,"Caduca pronto","OK"))))))</f>
        <v/>
      </c>
      <c r="H20" s="26" t="str">
        <f aca="false">IF(OR($A20="",H$4=""),"",IF(NOT(OR(H$6="Toda la plantilla",ISNUMBER(SEARCH(";"&amp;SUBSTITUTE($C20," ","")&amp;";",";"&amp;SUBSTITUTE(H$7," ","")&amp;";")))),"—",IF(_xlfn.MAXIFS(Acuses!$C$5:$C$3004,Acuses!$A$5:$A$3004,$A20,Acuses!$B$5:$B$3004,H$4)&lt;H$5,"Pendiente",IF(H$8=0,"OK",IF(EDATE(_xlfn.MAXIFS(Acuses!$D$5:$D$3004,Acuses!$A$5:$A$3004,$A20,Acuses!$B$5:$B$3004,H$4,Acuses!$C$5:$C$3004,H$5),H$8)&lt;Resumen!$C$4,"Caducado",IF(EDATE(_xlfn.MAXIFS(Acuses!$D$5:$D$3004,Acuses!$A$5:$A$3004,$A20,Acuses!$B$5:$B$3004,H$4,Acuses!$C$5:$C$3004,H$5),H$8)&lt;Resumen!$C$4+30,"Caduca pronto","OK"))))))</f>
        <v/>
      </c>
      <c r="I20" s="26" t="str">
        <f aca="false">IF(OR($A20="",I$4=""),"",IF(NOT(OR(I$6="Toda la plantilla",ISNUMBER(SEARCH(";"&amp;SUBSTITUTE($C20," ","")&amp;";",";"&amp;SUBSTITUTE(I$7," ","")&amp;";")))),"—",IF(_xlfn.MAXIFS(Acuses!$C$5:$C$3004,Acuses!$A$5:$A$3004,$A20,Acuses!$B$5:$B$3004,I$4)&lt;I$5,"Pendiente",IF(I$8=0,"OK",IF(EDATE(_xlfn.MAXIFS(Acuses!$D$5:$D$3004,Acuses!$A$5:$A$3004,$A20,Acuses!$B$5:$B$3004,I$4,Acuses!$C$5:$C$3004,I$5),I$8)&lt;Resumen!$C$4,"Caducado",IF(EDATE(_xlfn.MAXIFS(Acuses!$D$5:$D$3004,Acuses!$A$5:$A$3004,$A20,Acuses!$B$5:$B$3004,I$4,Acuses!$C$5:$C$3004,I$5),I$8)&lt;Resumen!$C$4+30,"Caduca pronto","OK"))))))</f>
        <v/>
      </c>
      <c r="J20" s="26" t="str">
        <f aca="false">IF(OR($A20="",J$4=""),"",IF(NOT(OR(J$6="Toda la plantilla",ISNUMBER(SEARCH(";"&amp;SUBSTITUTE($C20," ","")&amp;";",";"&amp;SUBSTITUTE(J$7," ","")&amp;";")))),"—",IF(_xlfn.MAXIFS(Acuses!$C$5:$C$3004,Acuses!$A$5:$A$3004,$A20,Acuses!$B$5:$B$3004,J$4)&lt;J$5,"Pendiente",IF(J$8=0,"OK",IF(EDATE(_xlfn.MAXIFS(Acuses!$D$5:$D$3004,Acuses!$A$5:$A$3004,$A20,Acuses!$B$5:$B$3004,J$4,Acuses!$C$5:$C$3004,J$5),J$8)&lt;Resumen!$C$4,"Caducado",IF(EDATE(_xlfn.MAXIFS(Acuses!$D$5:$D$3004,Acuses!$A$5:$A$3004,$A20,Acuses!$B$5:$B$3004,J$4,Acuses!$C$5:$C$3004,J$5),J$8)&lt;Resumen!$C$4+30,"Caduca pronto","OK"))))))</f>
        <v/>
      </c>
      <c r="K20" s="26" t="str">
        <f aca="false">IF(OR($A20="",K$4=""),"",IF(NOT(OR(K$6="Toda la plantilla",ISNUMBER(SEARCH(";"&amp;SUBSTITUTE($C20," ","")&amp;";",";"&amp;SUBSTITUTE(K$7," ","")&amp;";")))),"—",IF(_xlfn.MAXIFS(Acuses!$C$5:$C$3004,Acuses!$A$5:$A$3004,$A20,Acuses!$B$5:$B$3004,K$4)&lt;K$5,"Pendiente",IF(K$8=0,"OK",IF(EDATE(_xlfn.MAXIFS(Acuses!$D$5:$D$3004,Acuses!$A$5:$A$3004,$A20,Acuses!$B$5:$B$3004,K$4,Acuses!$C$5:$C$3004,K$5),K$8)&lt;Resumen!$C$4,"Caducado",IF(EDATE(_xlfn.MAXIFS(Acuses!$D$5:$D$3004,Acuses!$A$5:$A$3004,$A20,Acuses!$B$5:$B$3004,K$4,Acuses!$C$5:$C$3004,K$5),K$8)&lt;Resumen!$C$4+30,"Caduca pronto","OK"))))))</f>
        <v/>
      </c>
      <c r="L20" s="26" t="str">
        <f aca="false">IF(OR($A20="",L$4=""),"",IF(NOT(OR(L$6="Toda la plantilla",ISNUMBER(SEARCH(";"&amp;SUBSTITUTE($C20," ","")&amp;";",";"&amp;SUBSTITUTE(L$7," ","")&amp;";")))),"—",IF(_xlfn.MAXIFS(Acuses!$C$5:$C$3004,Acuses!$A$5:$A$3004,$A20,Acuses!$B$5:$B$3004,L$4)&lt;L$5,"Pendiente",IF(L$8=0,"OK",IF(EDATE(_xlfn.MAXIFS(Acuses!$D$5:$D$3004,Acuses!$A$5:$A$3004,$A20,Acuses!$B$5:$B$3004,L$4,Acuses!$C$5:$C$3004,L$5),L$8)&lt;Resumen!$C$4,"Caducado",IF(EDATE(_xlfn.MAXIFS(Acuses!$D$5:$D$3004,Acuses!$A$5:$A$3004,$A20,Acuses!$B$5:$B$3004,L$4,Acuses!$C$5:$C$3004,L$5),L$8)&lt;Resumen!$C$4+30,"Caduca pronto","OK"))))))</f>
        <v/>
      </c>
      <c r="M20" s="26" t="str">
        <f aca="false">IF(OR($A20="",M$4=""),"",IF(NOT(OR(M$6="Toda la plantilla",ISNUMBER(SEARCH(";"&amp;SUBSTITUTE($C20," ","")&amp;";",";"&amp;SUBSTITUTE(M$7," ","")&amp;";")))),"—",IF(_xlfn.MAXIFS(Acuses!$C$5:$C$3004,Acuses!$A$5:$A$3004,$A20,Acuses!$B$5:$B$3004,M$4)&lt;M$5,"Pendiente",IF(M$8=0,"OK",IF(EDATE(_xlfn.MAXIFS(Acuses!$D$5:$D$3004,Acuses!$A$5:$A$3004,$A20,Acuses!$B$5:$B$3004,M$4,Acuses!$C$5:$C$3004,M$5),M$8)&lt;Resumen!$C$4,"Caducado",IF(EDATE(_xlfn.MAXIFS(Acuses!$D$5:$D$3004,Acuses!$A$5:$A$3004,$A20,Acuses!$B$5:$B$3004,M$4,Acuses!$C$5:$C$3004,M$5),M$8)&lt;Resumen!$C$4+30,"Caduca pronto","OK"))))))</f>
        <v/>
      </c>
      <c r="N20" s="26" t="str">
        <f aca="false">IF(OR($A20="",N$4=""),"",IF(NOT(OR(N$6="Toda la plantilla",ISNUMBER(SEARCH(";"&amp;SUBSTITUTE($C20," ","")&amp;";",";"&amp;SUBSTITUTE(N$7," ","")&amp;";")))),"—",IF(_xlfn.MAXIFS(Acuses!$C$5:$C$3004,Acuses!$A$5:$A$3004,$A20,Acuses!$B$5:$B$3004,N$4)&lt;N$5,"Pendiente",IF(N$8=0,"OK",IF(EDATE(_xlfn.MAXIFS(Acuses!$D$5:$D$3004,Acuses!$A$5:$A$3004,$A20,Acuses!$B$5:$B$3004,N$4,Acuses!$C$5:$C$3004,N$5),N$8)&lt;Resumen!$C$4,"Caducado",IF(EDATE(_xlfn.MAXIFS(Acuses!$D$5:$D$3004,Acuses!$A$5:$A$3004,$A20,Acuses!$B$5:$B$3004,N$4,Acuses!$C$5:$C$3004,N$5),N$8)&lt;Resumen!$C$4+30,"Caduca pronto","OK"))))))</f>
        <v/>
      </c>
      <c r="O20" s="26" t="str">
        <f aca="false">IF(OR($A20="",O$4=""),"",IF(NOT(OR(O$6="Toda la plantilla",ISNUMBER(SEARCH(";"&amp;SUBSTITUTE($C20," ","")&amp;";",";"&amp;SUBSTITUTE(O$7," ","")&amp;";")))),"—",IF(_xlfn.MAXIFS(Acuses!$C$5:$C$3004,Acuses!$A$5:$A$3004,$A20,Acuses!$B$5:$B$3004,O$4)&lt;O$5,"Pendiente",IF(O$8=0,"OK",IF(EDATE(_xlfn.MAXIFS(Acuses!$D$5:$D$3004,Acuses!$A$5:$A$3004,$A20,Acuses!$B$5:$B$3004,O$4,Acuses!$C$5:$C$3004,O$5),O$8)&lt;Resumen!$C$4,"Caducado",IF(EDATE(_xlfn.MAXIFS(Acuses!$D$5:$D$3004,Acuses!$A$5:$A$3004,$A20,Acuses!$B$5:$B$3004,O$4,Acuses!$C$5:$C$3004,O$5),O$8)&lt;Resumen!$C$4+30,"Caduca pronto","OK"))))))</f>
        <v/>
      </c>
      <c r="P20" s="26" t="str">
        <f aca="false">IF(OR($A20="",P$4=""),"",IF(NOT(OR(P$6="Toda la plantilla",ISNUMBER(SEARCH(";"&amp;SUBSTITUTE($C20," ","")&amp;";",";"&amp;SUBSTITUTE(P$7," ","")&amp;";")))),"—",IF(_xlfn.MAXIFS(Acuses!$C$5:$C$3004,Acuses!$A$5:$A$3004,$A20,Acuses!$B$5:$B$3004,P$4)&lt;P$5,"Pendiente",IF(P$8=0,"OK",IF(EDATE(_xlfn.MAXIFS(Acuses!$D$5:$D$3004,Acuses!$A$5:$A$3004,$A20,Acuses!$B$5:$B$3004,P$4,Acuses!$C$5:$C$3004,P$5),P$8)&lt;Resumen!$C$4,"Caducado",IF(EDATE(_xlfn.MAXIFS(Acuses!$D$5:$D$3004,Acuses!$A$5:$A$3004,$A20,Acuses!$B$5:$B$3004,P$4,Acuses!$C$5:$C$3004,P$5),P$8)&lt;Resumen!$C$4+30,"Caduca pronto","OK"))))))</f>
        <v/>
      </c>
      <c r="Q20" s="26" t="str">
        <f aca="false">IF(OR($A20="",Q$4=""),"",IF(NOT(OR(Q$6="Toda la plantilla",ISNUMBER(SEARCH(";"&amp;SUBSTITUTE($C20," ","")&amp;";",";"&amp;SUBSTITUTE(Q$7," ","")&amp;";")))),"—",IF(_xlfn.MAXIFS(Acuses!$C$5:$C$3004,Acuses!$A$5:$A$3004,$A20,Acuses!$B$5:$B$3004,Q$4)&lt;Q$5,"Pendiente",IF(Q$8=0,"OK",IF(EDATE(_xlfn.MAXIFS(Acuses!$D$5:$D$3004,Acuses!$A$5:$A$3004,$A20,Acuses!$B$5:$B$3004,Q$4,Acuses!$C$5:$C$3004,Q$5),Q$8)&lt;Resumen!$C$4,"Caducado",IF(EDATE(_xlfn.MAXIFS(Acuses!$D$5:$D$3004,Acuses!$A$5:$A$3004,$A20,Acuses!$B$5:$B$3004,Q$4,Acuses!$C$5:$C$3004,Q$5),Q$8)&lt;Resumen!$C$4+30,"Caduca pronto","OK"))))))</f>
        <v/>
      </c>
      <c r="R20" s="26" t="str">
        <f aca="false">IF(OR($A20="",R$4=""),"",IF(NOT(OR(R$6="Toda la plantilla",ISNUMBER(SEARCH(";"&amp;SUBSTITUTE($C20," ","")&amp;";",";"&amp;SUBSTITUTE(R$7," ","")&amp;";")))),"—",IF(_xlfn.MAXIFS(Acuses!$C$5:$C$3004,Acuses!$A$5:$A$3004,$A20,Acuses!$B$5:$B$3004,R$4)&lt;R$5,"Pendiente",IF(R$8=0,"OK",IF(EDATE(_xlfn.MAXIFS(Acuses!$D$5:$D$3004,Acuses!$A$5:$A$3004,$A20,Acuses!$B$5:$B$3004,R$4,Acuses!$C$5:$C$3004,R$5),R$8)&lt;Resumen!$C$4,"Caducado",IF(EDATE(_xlfn.MAXIFS(Acuses!$D$5:$D$3004,Acuses!$A$5:$A$3004,$A20,Acuses!$B$5:$B$3004,R$4,Acuses!$C$5:$C$3004,R$5),R$8)&lt;Resumen!$C$4+30,"Caduca pronto","OK"))))))</f>
        <v/>
      </c>
      <c r="S20" s="26" t="str">
        <f aca="false">IF(OR($A20="",S$4=""),"",IF(NOT(OR(S$6="Toda la plantilla",ISNUMBER(SEARCH(";"&amp;SUBSTITUTE($C20," ","")&amp;";",";"&amp;SUBSTITUTE(S$7," ","")&amp;";")))),"—",IF(_xlfn.MAXIFS(Acuses!$C$5:$C$3004,Acuses!$A$5:$A$3004,$A20,Acuses!$B$5:$B$3004,S$4)&lt;S$5,"Pendiente",IF(S$8=0,"OK",IF(EDATE(_xlfn.MAXIFS(Acuses!$D$5:$D$3004,Acuses!$A$5:$A$3004,$A20,Acuses!$B$5:$B$3004,S$4,Acuses!$C$5:$C$3004,S$5),S$8)&lt;Resumen!$C$4,"Caducado",IF(EDATE(_xlfn.MAXIFS(Acuses!$D$5:$D$3004,Acuses!$A$5:$A$3004,$A20,Acuses!$B$5:$B$3004,S$4,Acuses!$C$5:$C$3004,S$5),S$8)&lt;Resumen!$C$4+30,"Caduca pronto","OK"))))))</f>
        <v/>
      </c>
      <c r="T20" s="26" t="str">
        <f aca="false">IF(OR($A20="",T$4=""),"",IF(NOT(OR(T$6="Toda la plantilla",ISNUMBER(SEARCH(";"&amp;SUBSTITUTE($C20," ","")&amp;";",";"&amp;SUBSTITUTE(T$7," ","")&amp;";")))),"—",IF(_xlfn.MAXIFS(Acuses!$C$5:$C$3004,Acuses!$A$5:$A$3004,$A20,Acuses!$B$5:$B$3004,T$4)&lt;T$5,"Pendiente",IF(T$8=0,"OK",IF(EDATE(_xlfn.MAXIFS(Acuses!$D$5:$D$3004,Acuses!$A$5:$A$3004,$A20,Acuses!$B$5:$B$3004,T$4,Acuses!$C$5:$C$3004,T$5),T$8)&lt;Resumen!$C$4,"Caducado",IF(EDATE(_xlfn.MAXIFS(Acuses!$D$5:$D$3004,Acuses!$A$5:$A$3004,$A20,Acuses!$B$5:$B$3004,T$4,Acuses!$C$5:$C$3004,T$5),T$8)&lt;Resumen!$C$4+30,"Caduca pronto","OK"))))))</f>
        <v/>
      </c>
      <c r="U20" s="26" t="str">
        <f aca="false">IF(OR($A20="",U$4=""),"",IF(NOT(OR(U$6="Toda la plantilla",ISNUMBER(SEARCH(";"&amp;SUBSTITUTE($C20," ","")&amp;";",";"&amp;SUBSTITUTE(U$7," ","")&amp;";")))),"—",IF(_xlfn.MAXIFS(Acuses!$C$5:$C$3004,Acuses!$A$5:$A$3004,$A20,Acuses!$B$5:$B$3004,U$4)&lt;U$5,"Pendiente",IF(U$8=0,"OK",IF(EDATE(_xlfn.MAXIFS(Acuses!$D$5:$D$3004,Acuses!$A$5:$A$3004,$A20,Acuses!$B$5:$B$3004,U$4,Acuses!$C$5:$C$3004,U$5),U$8)&lt;Resumen!$C$4,"Caducado",IF(EDATE(_xlfn.MAXIFS(Acuses!$D$5:$D$3004,Acuses!$A$5:$A$3004,$A20,Acuses!$B$5:$B$3004,U$4,Acuses!$C$5:$C$3004,U$5),U$8)&lt;Resumen!$C$4+30,"Caduca pronto","OK"))))))</f>
        <v/>
      </c>
      <c r="V20" s="26" t="str">
        <f aca="false">IF(OR($A20="",V$4=""),"",IF(NOT(OR(V$6="Toda la plantilla",ISNUMBER(SEARCH(";"&amp;SUBSTITUTE($C20," ","")&amp;";",";"&amp;SUBSTITUTE(V$7," ","")&amp;";")))),"—",IF(_xlfn.MAXIFS(Acuses!$C$5:$C$3004,Acuses!$A$5:$A$3004,$A20,Acuses!$B$5:$B$3004,V$4)&lt;V$5,"Pendiente",IF(V$8=0,"OK",IF(EDATE(_xlfn.MAXIFS(Acuses!$D$5:$D$3004,Acuses!$A$5:$A$3004,$A20,Acuses!$B$5:$B$3004,V$4,Acuses!$C$5:$C$3004,V$5),V$8)&lt;Resumen!$C$4,"Caducado",IF(EDATE(_xlfn.MAXIFS(Acuses!$D$5:$D$3004,Acuses!$A$5:$A$3004,$A20,Acuses!$B$5:$B$3004,V$4,Acuses!$C$5:$C$3004,V$5),V$8)&lt;Resumen!$C$4+30,"Caduca pronto","OK"))))))</f>
        <v/>
      </c>
      <c r="W20" s="26" t="str">
        <f aca="false">IF(OR($A20="",W$4=""),"",IF(NOT(OR(W$6="Toda la plantilla",ISNUMBER(SEARCH(";"&amp;SUBSTITUTE($C20," ","")&amp;";",";"&amp;SUBSTITUTE(W$7," ","")&amp;";")))),"—",IF(_xlfn.MAXIFS(Acuses!$C$5:$C$3004,Acuses!$A$5:$A$3004,$A20,Acuses!$B$5:$B$3004,W$4)&lt;W$5,"Pendiente",IF(W$8=0,"OK",IF(EDATE(_xlfn.MAXIFS(Acuses!$D$5:$D$3004,Acuses!$A$5:$A$3004,$A20,Acuses!$B$5:$B$3004,W$4,Acuses!$C$5:$C$3004,W$5),W$8)&lt;Resumen!$C$4,"Caducado",IF(EDATE(_xlfn.MAXIFS(Acuses!$D$5:$D$3004,Acuses!$A$5:$A$3004,$A20,Acuses!$B$5:$B$3004,W$4,Acuses!$C$5:$C$3004,W$5),W$8)&lt;Resumen!$C$4+30,"Caduca pronto","OK"))))))</f>
        <v/>
      </c>
      <c r="X20" s="26" t="str">
        <f aca="false">IF(OR($A20="",X$4=""),"",IF(NOT(OR(X$6="Toda la plantilla",ISNUMBER(SEARCH(";"&amp;SUBSTITUTE($C20," ","")&amp;";",";"&amp;SUBSTITUTE(X$7," ","")&amp;";")))),"—",IF(_xlfn.MAXIFS(Acuses!$C$5:$C$3004,Acuses!$A$5:$A$3004,$A20,Acuses!$B$5:$B$3004,X$4)&lt;X$5,"Pendiente",IF(X$8=0,"OK",IF(EDATE(_xlfn.MAXIFS(Acuses!$D$5:$D$3004,Acuses!$A$5:$A$3004,$A20,Acuses!$B$5:$B$3004,X$4,Acuses!$C$5:$C$3004,X$5),X$8)&lt;Resumen!$C$4,"Caducado",IF(EDATE(_xlfn.MAXIFS(Acuses!$D$5:$D$3004,Acuses!$A$5:$A$3004,$A20,Acuses!$B$5:$B$3004,X$4,Acuses!$C$5:$C$3004,X$5),X$8)&lt;Resumen!$C$4+30,"Caduca pronto","OK"))))))</f>
        <v/>
      </c>
      <c r="Y20" s="26" t="str">
        <f aca="false">IF(OR($A20="",Y$4=""),"",IF(NOT(OR(Y$6="Toda la plantilla",ISNUMBER(SEARCH(";"&amp;SUBSTITUTE($C20," ","")&amp;";",";"&amp;SUBSTITUTE(Y$7," ","")&amp;";")))),"—",IF(_xlfn.MAXIFS(Acuses!$C$5:$C$3004,Acuses!$A$5:$A$3004,$A20,Acuses!$B$5:$B$3004,Y$4)&lt;Y$5,"Pendiente",IF(Y$8=0,"OK",IF(EDATE(_xlfn.MAXIFS(Acuses!$D$5:$D$3004,Acuses!$A$5:$A$3004,$A20,Acuses!$B$5:$B$3004,Y$4,Acuses!$C$5:$C$3004,Y$5),Y$8)&lt;Resumen!$C$4,"Caducado",IF(EDATE(_xlfn.MAXIFS(Acuses!$D$5:$D$3004,Acuses!$A$5:$A$3004,$A20,Acuses!$B$5:$B$3004,Y$4,Acuses!$C$5:$C$3004,Y$5),Y$8)&lt;Resumen!$C$4+30,"Caduca pronto","OK"))))))</f>
        <v/>
      </c>
      <c r="Z20" s="26" t="str">
        <f aca="false">IF(OR($A20="",Z$4=""),"",IF(NOT(OR(Z$6="Toda la plantilla",ISNUMBER(SEARCH(";"&amp;SUBSTITUTE($C20," ","")&amp;";",";"&amp;SUBSTITUTE(Z$7," ","")&amp;";")))),"—",IF(_xlfn.MAXIFS(Acuses!$C$5:$C$3004,Acuses!$A$5:$A$3004,$A20,Acuses!$B$5:$B$3004,Z$4)&lt;Z$5,"Pendiente",IF(Z$8=0,"OK",IF(EDATE(_xlfn.MAXIFS(Acuses!$D$5:$D$3004,Acuses!$A$5:$A$3004,$A20,Acuses!$B$5:$B$3004,Z$4,Acuses!$C$5:$C$3004,Z$5),Z$8)&lt;Resumen!$C$4,"Caducado",IF(EDATE(_xlfn.MAXIFS(Acuses!$D$5:$D$3004,Acuses!$A$5:$A$3004,$A20,Acuses!$B$5:$B$3004,Z$4,Acuses!$C$5:$C$3004,Z$5),Z$8)&lt;Resumen!$C$4+30,"Caduca pronto","OK"))))))</f>
        <v/>
      </c>
      <c r="AA20" s="26" t="str">
        <f aca="false">IF(OR($A20="",AA$4=""),"",IF(NOT(OR(AA$6="Toda la plantilla",ISNUMBER(SEARCH(";"&amp;SUBSTITUTE($C20," ","")&amp;";",";"&amp;SUBSTITUTE(AA$7," ","")&amp;";")))),"—",IF(_xlfn.MAXIFS(Acuses!$C$5:$C$3004,Acuses!$A$5:$A$3004,$A20,Acuses!$B$5:$B$3004,AA$4)&lt;AA$5,"Pendiente",IF(AA$8=0,"OK",IF(EDATE(_xlfn.MAXIFS(Acuses!$D$5:$D$3004,Acuses!$A$5:$A$3004,$A20,Acuses!$B$5:$B$3004,AA$4,Acuses!$C$5:$C$3004,AA$5),AA$8)&lt;Resumen!$C$4,"Caducado",IF(EDATE(_xlfn.MAXIFS(Acuses!$D$5:$D$3004,Acuses!$A$5:$A$3004,$A20,Acuses!$B$5:$B$3004,AA$4,Acuses!$C$5:$C$3004,AA$5),AA$8)&lt;Resumen!$C$4+30,"Caduca pronto","OK"))))))</f>
        <v/>
      </c>
      <c r="AB20" s="26" t="str">
        <f aca="false">IF(OR($A20="",AB$4=""),"",IF(NOT(OR(AB$6="Toda la plantilla",ISNUMBER(SEARCH(";"&amp;SUBSTITUTE($C20," ","")&amp;";",";"&amp;SUBSTITUTE(AB$7," ","")&amp;";")))),"—",IF(_xlfn.MAXIFS(Acuses!$C$5:$C$3004,Acuses!$A$5:$A$3004,$A20,Acuses!$B$5:$B$3004,AB$4)&lt;AB$5,"Pendiente",IF(AB$8=0,"OK",IF(EDATE(_xlfn.MAXIFS(Acuses!$D$5:$D$3004,Acuses!$A$5:$A$3004,$A20,Acuses!$B$5:$B$3004,AB$4,Acuses!$C$5:$C$3004,AB$5),AB$8)&lt;Resumen!$C$4,"Caducado",IF(EDATE(_xlfn.MAXIFS(Acuses!$D$5:$D$3004,Acuses!$A$5:$A$3004,$A20,Acuses!$B$5:$B$3004,AB$4,Acuses!$C$5:$C$3004,AB$5),AB$8)&lt;Resumen!$C$4+30,"Caduca pronto","OK"))))))</f>
        <v/>
      </c>
      <c r="AC20" s="26" t="str">
        <f aca="false">IF(OR($A20="",AC$4=""),"",IF(NOT(OR(AC$6="Toda la plantilla",ISNUMBER(SEARCH(";"&amp;SUBSTITUTE($C20," ","")&amp;";",";"&amp;SUBSTITUTE(AC$7," ","")&amp;";")))),"—",IF(_xlfn.MAXIFS(Acuses!$C$5:$C$3004,Acuses!$A$5:$A$3004,$A20,Acuses!$B$5:$B$3004,AC$4)&lt;AC$5,"Pendiente",IF(AC$8=0,"OK",IF(EDATE(_xlfn.MAXIFS(Acuses!$D$5:$D$3004,Acuses!$A$5:$A$3004,$A20,Acuses!$B$5:$B$3004,AC$4,Acuses!$C$5:$C$3004,AC$5),AC$8)&lt;Resumen!$C$4,"Caducado",IF(EDATE(_xlfn.MAXIFS(Acuses!$D$5:$D$3004,Acuses!$A$5:$A$3004,$A20,Acuses!$B$5:$B$3004,AC$4,Acuses!$C$5:$C$3004,AC$5),AC$8)&lt;Resumen!$C$4+30,"Caduca pronto","OK"))))))</f>
        <v/>
      </c>
      <c r="AD20" s="26" t="str">
        <f aca="false">IF(OR($A20="",AD$4=""),"",IF(NOT(OR(AD$6="Toda la plantilla",ISNUMBER(SEARCH(";"&amp;SUBSTITUTE($C20," ","")&amp;";",";"&amp;SUBSTITUTE(AD$7," ","")&amp;";")))),"—",IF(_xlfn.MAXIFS(Acuses!$C$5:$C$3004,Acuses!$A$5:$A$3004,$A20,Acuses!$B$5:$B$3004,AD$4)&lt;AD$5,"Pendiente",IF(AD$8=0,"OK",IF(EDATE(_xlfn.MAXIFS(Acuses!$D$5:$D$3004,Acuses!$A$5:$A$3004,$A20,Acuses!$B$5:$B$3004,AD$4,Acuses!$C$5:$C$3004,AD$5),AD$8)&lt;Resumen!$C$4,"Caducado",IF(EDATE(_xlfn.MAXIFS(Acuses!$D$5:$D$3004,Acuses!$A$5:$A$3004,$A20,Acuses!$B$5:$B$3004,AD$4,Acuses!$C$5:$C$3004,AD$5),AD$8)&lt;Resumen!$C$4+30,"Caduca pronto","OK"))))))</f>
        <v/>
      </c>
      <c r="AE20" s="26" t="str">
        <f aca="false">IF(OR($A20="",AE$4=""),"",IF(NOT(OR(AE$6="Toda la plantilla",ISNUMBER(SEARCH(";"&amp;SUBSTITUTE($C20," ","")&amp;";",";"&amp;SUBSTITUTE(AE$7," ","")&amp;";")))),"—",IF(_xlfn.MAXIFS(Acuses!$C$5:$C$3004,Acuses!$A$5:$A$3004,$A20,Acuses!$B$5:$B$3004,AE$4)&lt;AE$5,"Pendiente",IF(AE$8=0,"OK",IF(EDATE(_xlfn.MAXIFS(Acuses!$D$5:$D$3004,Acuses!$A$5:$A$3004,$A20,Acuses!$B$5:$B$3004,AE$4,Acuses!$C$5:$C$3004,AE$5),AE$8)&lt;Resumen!$C$4,"Caducado",IF(EDATE(_xlfn.MAXIFS(Acuses!$D$5:$D$3004,Acuses!$A$5:$A$3004,$A20,Acuses!$B$5:$B$3004,AE$4,Acuses!$C$5:$C$3004,AE$5),AE$8)&lt;Resumen!$C$4+30,"Caduca pronto","OK"))))))</f>
        <v/>
      </c>
      <c r="AF20" s="26" t="str">
        <f aca="false">IF(OR($A20="",AF$4=""),"",IF(NOT(OR(AF$6="Toda la plantilla",ISNUMBER(SEARCH(";"&amp;SUBSTITUTE($C20," ","")&amp;";",";"&amp;SUBSTITUTE(AF$7," ","")&amp;";")))),"—",IF(_xlfn.MAXIFS(Acuses!$C$5:$C$3004,Acuses!$A$5:$A$3004,$A20,Acuses!$B$5:$B$3004,AF$4)&lt;AF$5,"Pendiente",IF(AF$8=0,"OK",IF(EDATE(_xlfn.MAXIFS(Acuses!$D$5:$D$3004,Acuses!$A$5:$A$3004,$A20,Acuses!$B$5:$B$3004,AF$4,Acuses!$C$5:$C$3004,AF$5),AF$8)&lt;Resumen!$C$4,"Caducado",IF(EDATE(_xlfn.MAXIFS(Acuses!$D$5:$D$3004,Acuses!$A$5:$A$3004,$A20,Acuses!$B$5:$B$3004,AF$4,Acuses!$C$5:$C$3004,AF$5),AF$8)&lt;Resumen!$C$4+30,"Caduca pronto","OK"))))))</f>
        <v/>
      </c>
      <c r="AG20" s="26" t="str">
        <f aca="false">IF(OR($A20="",AG$4=""),"",IF(NOT(OR(AG$6="Toda la plantilla",ISNUMBER(SEARCH(";"&amp;SUBSTITUTE($C20," ","")&amp;";",";"&amp;SUBSTITUTE(AG$7," ","")&amp;";")))),"—",IF(_xlfn.MAXIFS(Acuses!$C$5:$C$3004,Acuses!$A$5:$A$3004,$A20,Acuses!$B$5:$B$3004,AG$4)&lt;AG$5,"Pendiente",IF(AG$8=0,"OK",IF(EDATE(_xlfn.MAXIFS(Acuses!$D$5:$D$3004,Acuses!$A$5:$A$3004,$A20,Acuses!$B$5:$B$3004,AG$4,Acuses!$C$5:$C$3004,AG$5),AG$8)&lt;Resumen!$C$4,"Caducado",IF(EDATE(_xlfn.MAXIFS(Acuses!$D$5:$D$3004,Acuses!$A$5:$A$3004,$A20,Acuses!$B$5:$B$3004,AG$4,Acuses!$C$5:$C$3004,AG$5),AG$8)&lt;Resumen!$C$4+30,"Caduca pronto","OK"))))))</f>
        <v/>
      </c>
      <c r="AH20" s="26" t="str">
        <f aca="false">IF(OR($A20="",AH$4=""),"",IF(NOT(OR(AH$6="Toda la plantilla",ISNUMBER(SEARCH(";"&amp;SUBSTITUTE($C20," ","")&amp;";",";"&amp;SUBSTITUTE(AH$7," ","")&amp;";")))),"—",IF(_xlfn.MAXIFS(Acuses!$C$5:$C$3004,Acuses!$A$5:$A$3004,$A20,Acuses!$B$5:$B$3004,AH$4)&lt;AH$5,"Pendiente",IF(AH$8=0,"OK",IF(EDATE(_xlfn.MAXIFS(Acuses!$D$5:$D$3004,Acuses!$A$5:$A$3004,$A20,Acuses!$B$5:$B$3004,AH$4,Acuses!$C$5:$C$3004,AH$5),AH$8)&lt;Resumen!$C$4,"Caducado",IF(EDATE(_xlfn.MAXIFS(Acuses!$D$5:$D$3004,Acuses!$A$5:$A$3004,$A20,Acuses!$B$5:$B$3004,AH$4,Acuses!$C$5:$C$3004,AH$5),AH$8)&lt;Resumen!$C$4+30,"Caduca pronto","OK"))))))</f>
        <v/>
      </c>
      <c r="AI20" s="26" t="str">
        <f aca="false">IF(OR($A20="",AI$4=""),"",IF(NOT(OR(AI$6="Toda la plantilla",ISNUMBER(SEARCH(";"&amp;SUBSTITUTE($C20," ","")&amp;";",";"&amp;SUBSTITUTE(AI$7," ","")&amp;";")))),"—",IF(_xlfn.MAXIFS(Acuses!$C$5:$C$3004,Acuses!$A$5:$A$3004,$A20,Acuses!$B$5:$B$3004,AI$4)&lt;AI$5,"Pendiente",IF(AI$8=0,"OK",IF(EDATE(_xlfn.MAXIFS(Acuses!$D$5:$D$3004,Acuses!$A$5:$A$3004,$A20,Acuses!$B$5:$B$3004,AI$4,Acuses!$C$5:$C$3004,AI$5),AI$8)&lt;Resumen!$C$4,"Caducado",IF(EDATE(_xlfn.MAXIFS(Acuses!$D$5:$D$3004,Acuses!$A$5:$A$3004,$A20,Acuses!$B$5:$B$3004,AI$4,Acuses!$C$5:$C$3004,AI$5),AI$8)&lt;Resumen!$C$4+30,"Caduca pronto","OK"))))))</f>
        <v/>
      </c>
      <c r="AJ20" s="26" t="str">
        <f aca="false">IF(OR($A20="",AJ$4=""),"",IF(NOT(OR(AJ$6="Toda la plantilla",ISNUMBER(SEARCH(";"&amp;SUBSTITUTE($C20," ","")&amp;";",";"&amp;SUBSTITUTE(AJ$7," ","")&amp;";")))),"—",IF(_xlfn.MAXIFS(Acuses!$C$5:$C$3004,Acuses!$A$5:$A$3004,$A20,Acuses!$B$5:$B$3004,AJ$4)&lt;AJ$5,"Pendiente",IF(AJ$8=0,"OK",IF(EDATE(_xlfn.MAXIFS(Acuses!$D$5:$D$3004,Acuses!$A$5:$A$3004,$A20,Acuses!$B$5:$B$3004,AJ$4,Acuses!$C$5:$C$3004,AJ$5),AJ$8)&lt;Resumen!$C$4,"Caducado",IF(EDATE(_xlfn.MAXIFS(Acuses!$D$5:$D$3004,Acuses!$A$5:$A$3004,$A20,Acuses!$B$5:$B$3004,AJ$4,Acuses!$C$5:$C$3004,AJ$5),AJ$8)&lt;Resumen!$C$4+30,"Caduca pronto","OK"))))))</f>
        <v/>
      </c>
      <c r="AK20" s="26" t="str">
        <f aca="false">IF(OR($A20="",AK$4=""),"",IF(NOT(OR(AK$6="Toda la plantilla",ISNUMBER(SEARCH(";"&amp;SUBSTITUTE($C20," ","")&amp;";",";"&amp;SUBSTITUTE(AK$7," ","")&amp;";")))),"—",IF(_xlfn.MAXIFS(Acuses!$C$5:$C$3004,Acuses!$A$5:$A$3004,$A20,Acuses!$B$5:$B$3004,AK$4)&lt;AK$5,"Pendiente",IF(AK$8=0,"OK",IF(EDATE(_xlfn.MAXIFS(Acuses!$D$5:$D$3004,Acuses!$A$5:$A$3004,$A20,Acuses!$B$5:$B$3004,AK$4,Acuses!$C$5:$C$3004,AK$5),AK$8)&lt;Resumen!$C$4,"Caducado",IF(EDATE(_xlfn.MAXIFS(Acuses!$D$5:$D$3004,Acuses!$A$5:$A$3004,$A20,Acuses!$B$5:$B$3004,AK$4,Acuses!$C$5:$C$3004,AK$5),AK$8)&lt;Resumen!$C$4+30,"Caduca pronto","OK"))))))</f>
        <v/>
      </c>
      <c r="AL20" s="26" t="str">
        <f aca="false">IF(OR($A20="",AL$4=""),"",IF(NOT(OR(AL$6="Toda la plantilla",ISNUMBER(SEARCH(";"&amp;SUBSTITUTE($C20," ","")&amp;";",";"&amp;SUBSTITUTE(AL$7," ","")&amp;";")))),"—",IF(_xlfn.MAXIFS(Acuses!$C$5:$C$3004,Acuses!$A$5:$A$3004,$A20,Acuses!$B$5:$B$3004,AL$4)&lt;AL$5,"Pendiente",IF(AL$8=0,"OK",IF(EDATE(_xlfn.MAXIFS(Acuses!$D$5:$D$3004,Acuses!$A$5:$A$3004,$A20,Acuses!$B$5:$B$3004,AL$4,Acuses!$C$5:$C$3004,AL$5),AL$8)&lt;Resumen!$C$4,"Caducado",IF(EDATE(_xlfn.MAXIFS(Acuses!$D$5:$D$3004,Acuses!$A$5:$A$3004,$A20,Acuses!$B$5:$B$3004,AL$4,Acuses!$C$5:$C$3004,AL$5),AL$8)&lt;Resumen!$C$4+30,"Caduca pronto","OK"))))))</f>
        <v/>
      </c>
      <c r="AM20" s="26" t="str">
        <f aca="false">IF(OR($A20="",AM$4=""),"",IF(NOT(OR(AM$6="Toda la plantilla",ISNUMBER(SEARCH(";"&amp;SUBSTITUTE($C20," ","")&amp;";",";"&amp;SUBSTITUTE(AM$7," ","")&amp;";")))),"—",IF(_xlfn.MAXIFS(Acuses!$C$5:$C$3004,Acuses!$A$5:$A$3004,$A20,Acuses!$B$5:$B$3004,AM$4)&lt;AM$5,"Pendiente",IF(AM$8=0,"OK",IF(EDATE(_xlfn.MAXIFS(Acuses!$D$5:$D$3004,Acuses!$A$5:$A$3004,$A20,Acuses!$B$5:$B$3004,AM$4,Acuses!$C$5:$C$3004,AM$5),AM$8)&lt;Resumen!$C$4,"Caducado",IF(EDATE(_xlfn.MAXIFS(Acuses!$D$5:$D$3004,Acuses!$A$5:$A$3004,$A20,Acuses!$B$5:$B$3004,AM$4,Acuses!$C$5:$C$3004,AM$5),AM$8)&lt;Resumen!$C$4+30,"Caduca pronto","OK"))))))</f>
        <v/>
      </c>
      <c r="AN20" s="26" t="str">
        <f aca="false">IF(OR($A20="",AN$4=""),"",IF(NOT(OR(AN$6="Toda la plantilla",ISNUMBER(SEARCH(";"&amp;SUBSTITUTE($C20," ","")&amp;";",";"&amp;SUBSTITUTE(AN$7," ","")&amp;";")))),"—",IF(_xlfn.MAXIFS(Acuses!$C$5:$C$3004,Acuses!$A$5:$A$3004,$A20,Acuses!$B$5:$B$3004,AN$4)&lt;AN$5,"Pendiente",IF(AN$8=0,"OK",IF(EDATE(_xlfn.MAXIFS(Acuses!$D$5:$D$3004,Acuses!$A$5:$A$3004,$A20,Acuses!$B$5:$B$3004,AN$4,Acuses!$C$5:$C$3004,AN$5),AN$8)&lt;Resumen!$C$4,"Caducado",IF(EDATE(_xlfn.MAXIFS(Acuses!$D$5:$D$3004,Acuses!$A$5:$A$3004,$A20,Acuses!$B$5:$B$3004,AN$4,Acuses!$C$5:$C$3004,AN$5),AN$8)&lt;Resumen!$C$4+30,"Caduca pronto","OK"))))))</f>
        <v/>
      </c>
      <c r="AO20" s="26" t="str">
        <f aca="false">IF(OR($A20="",AO$4=""),"",IF(NOT(OR(AO$6="Toda la plantilla",ISNUMBER(SEARCH(";"&amp;SUBSTITUTE($C20," ","")&amp;";",";"&amp;SUBSTITUTE(AO$7," ","")&amp;";")))),"—",IF(_xlfn.MAXIFS(Acuses!$C$5:$C$3004,Acuses!$A$5:$A$3004,$A20,Acuses!$B$5:$B$3004,AO$4)&lt;AO$5,"Pendiente",IF(AO$8=0,"OK",IF(EDATE(_xlfn.MAXIFS(Acuses!$D$5:$D$3004,Acuses!$A$5:$A$3004,$A20,Acuses!$B$5:$B$3004,AO$4,Acuses!$C$5:$C$3004,AO$5),AO$8)&lt;Resumen!$C$4,"Caducado",IF(EDATE(_xlfn.MAXIFS(Acuses!$D$5:$D$3004,Acuses!$A$5:$A$3004,$A20,Acuses!$B$5:$B$3004,AO$4,Acuses!$C$5:$C$3004,AO$5),AO$8)&lt;Resumen!$C$4+30,"Caduca pronto","OK"))))))</f>
        <v/>
      </c>
      <c r="AP20" s="26" t="str">
        <f aca="false">IF(OR($A20="",AP$4=""),"",IF(NOT(OR(AP$6="Toda la plantilla",ISNUMBER(SEARCH(";"&amp;SUBSTITUTE($C20," ","")&amp;";",";"&amp;SUBSTITUTE(AP$7," ","")&amp;";")))),"—",IF(_xlfn.MAXIFS(Acuses!$C$5:$C$3004,Acuses!$A$5:$A$3004,$A20,Acuses!$B$5:$B$3004,AP$4)&lt;AP$5,"Pendiente",IF(AP$8=0,"OK",IF(EDATE(_xlfn.MAXIFS(Acuses!$D$5:$D$3004,Acuses!$A$5:$A$3004,$A20,Acuses!$B$5:$B$3004,AP$4,Acuses!$C$5:$C$3004,AP$5),AP$8)&lt;Resumen!$C$4,"Caducado",IF(EDATE(_xlfn.MAXIFS(Acuses!$D$5:$D$3004,Acuses!$A$5:$A$3004,$A20,Acuses!$B$5:$B$3004,AP$4,Acuses!$C$5:$C$3004,AP$5),AP$8)&lt;Resumen!$C$4+30,"Caduca pronto","OK"))))))</f>
        <v/>
      </c>
      <c r="AQ20" s="26" t="str">
        <f aca="false">IF(OR($A20="",AQ$4=""),"",IF(NOT(OR(AQ$6="Toda la plantilla",ISNUMBER(SEARCH(";"&amp;SUBSTITUTE($C20," ","")&amp;";",";"&amp;SUBSTITUTE(AQ$7," ","")&amp;";")))),"—",IF(_xlfn.MAXIFS(Acuses!$C$5:$C$3004,Acuses!$A$5:$A$3004,$A20,Acuses!$B$5:$B$3004,AQ$4)&lt;AQ$5,"Pendiente",IF(AQ$8=0,"OK",IF(EDATE(_xlfn.MAXIFS(Acuses!$D$5:$D$3004,Acuses!$A$5:$A$3004,$A20,Acuses!$B$5:$B$3004,AQ$4,Acuses!$C$5:$C$3004,AQ$5),AQ$8)&lt;Resumen!$C$4,"Caducado",IF(EDATE(_xlfn.MAXIFS(Acuses!$D$5:$D$3004,Acuses!$A$5:$A$3004,$A20,Acuses!$B$5:$B$3004,AQ$4,Acuses!$C$5:$C$3004,AQ$5),AQ$8)&lt;Resumen!$C$4+30,"Caduca pronto","OK"))))))</f>
        <v/>
      </c>
    </row>
    <row r="21" customFormat="false" ht="15" hidden="false" customHeight="false" outlineLevel="0" collapsed="false">
      <c r="A21" s="25" t="str">
        <f aca="false">IF(AND(Trabajadores!$A$16&lt;&gt;"",Trabajadores!$G$16&lt;&gt;"No"),Trabajadores!$A$16,"")</f>
        <v/>
      </c>
      <c r="B21" s="25" t="str">
        <f aca="false">IF($A21="","",Trabajadores!$B$16)</f>
        <v/>
      </c>
      <c r="C21" s="25" t="str">
        <f aca="false">IF($A21="","",Trabajadores!$C$16)</f>
        <v/>
      </c>
      <c r="D21" s="26" t="str">
        <f aca="false">IF(OR($A21="",D$4=""),"",IF(NOT(OR(D$6="Toda la plantilla",ISNUMBER(SEARCH(";"&amp;SUBSTITUTE($C21," ","")&amp;";",";"&amp;SUBSTITUTE(D$7," ","")&amp;";")))),"—",IF(_xlfn.MAXIFS(Acuses!$C$5:$C$3004,Acuses!$A$5:$A$3004,$A21,Acuses!$B$5:$B$3004,D$4)&lt;D$5,"Pendiente",IF(D$8=0,"OK",IF(EDATE(_xlfn.MAXIFS(Acuses!$D$5:$D$3004,Acuses!$A$5:$A$3004,$A21,Acuses!$B$5:$B$3004,D$4,Acuses!$C$5:$C$3004,D$5),D$8)&lt;Resumen!$C$4,"Caducado",IF(EDATE(_xlfn.MAXIFS(Acuses!$D$5:$D$3004,Acuses!$A$5:$A$3004,$A21,Acuses!$B$5:$B$3004,D$4,Acuses!$C$5:$C$3004,D$5),D$8)&lt;Resumen!$C$4+30,"Caduca pronto","OK"))))))</f>
        <v/>
      </c>
      <c r="E21" s="26" t="str">
        <f aca="false">IF(OR($A21="",E$4=""),"",IF(NOT(OR(E$6="Toda la plantilla",ISNUMBER(SEARCH(";"&amp;SUBSTITUTE($C21," ","")&amp;";",";"&amp;SUBSTITUTE(E$7," ","")&amp;";")))),"—",IF(_xlfn.MAXIFS(Acuses!$C$5:$C$3004,Acuses!$A$5:$A$3004,$A21,Acuses!$B$5:$B$3004,E$4)&lt;E$5,"Pendiente",IF(E$8=0,"OK",IF(EDATE(_xlfn.MAXIFS(Acuses!$D$5:$D$3004,Acuses!$A$5:$A$3004,$A21,Acuses!$B$5:$B$3004,E$4,Acuses!$C$5:$C$3004,E$5),E$8)&lt;Resumen!$C$4,"Caducado",IF(EDATE(_xlfn.MAXIFS(Acuses!$D$5:$D$3004,Acuses!$A$5:$A$3004,$A21,Acuses!$B$5:$B$3004,E$4,Acuses!$C$5:$C$3004,E$5),E$8)&lt;Resumen!$C$4+30,"Caduca pronto","OK"))))))</f>
        <v/>
      </c>
      <c r="F21" s="26" t="str">
        <f aca="false">IF(OR($A21="",F$4=""),"",IF(NOT(OR(F$6="Toda la plantilla",ISNUMBER(SEARCH(";"&amp;SUBSTITUTE($C21," ","")&amp;";",";"&amp;SUBSTITUTE(F$7," ","")&amp;";")))),"—",IF(_xlfn.MAXIFS(Acuses!$C$5:$C$3004,Acuses!$A$5:$A$3004,$A21,Acuses!$B$5:$B$3004,F$4)&lt;F$5,"Pendiente",IF(F$8=0,"OK",IF(EDATE(_xlfn.MAXIFS(Acuses!$D$5:$D$3004,Acuses!$A$5:$A$3004,$A21,Acuses!$B$5:$B$3004,F$4,Acuses!$C$5:$C$3004,F$5),F$8)&lt;Resumen!$C$4,"Caducado",IF(EDATE(_xlfn.MAXIFS(Acuses!$D$5:$D$3004,Acuses!$A$5:$A$3004,$A21,Acuses!$B$5:$B$3004,F$4,Acuses!$C$5:$C$3004,F$5),F$8)&lt;Resumen!$C$4+30,"Caduca pronto","OK"))))))</f>
        <v/>
      </c>
      <c r="G21" s="26" t="str">
        <f aca="false">IF(OR($A21="",G$4=""),"",IF(NOT(OR(G$6="Toda la plantilla",ISNUMBER(SEARCH(";"&amp;SUBSTITUTE($C21," ","")&amp;";",";"&amp;SUBSTITUTE(G$7," ","")&amp;";")))),"—",IF(_xlfn.MAXIFS(Acuses!$C$5:$C$3004,Acuses!$A$5:$A$3004,$A21,Acuses!$B$5:$B$3004,G$4)&lt;G$5,"Pendiente",IF(G$8=0,"OK",IF(EDATE(_xlfn.MAXIFS(Acuses!$D$5:$D$3004,Acuses!$A$5:$A$3004,$A21,Acuses!$B$5:$B$3004,G$4,Acuses!$C$5:$C$3004,G$5),G$8)&lt;Resumen!$C$4,"Caducado",IF(EDATE(_xlfn.MAXIFS(Acuses!$D$5:$D$3004,Acuses!$A$5:$A$3004,$A21,Acuses!$B$5:$B$3004,G$4,Acuses!$C$5:$C$3004,G$5),G$8)&lt;Resumen!$C$4+30,"Caduca pronto","OK"))))))</f>
        <v/>
      </c>
      <c r="H21" s="26" t="str">
        <f aca="false">IF(OR($A21="",H$4=""),"",IF(NOT(OR(H$6="Toda la plantilla",ISNUMBER(SEARCH(";"&amp;SUBSTITUTE($C21," ","")&amp;";",";"&amp;SUBSTITUTE(H$7," ","")&amp;";")))),"—",IF(_xlfn.MAXIFS(Acuses!$C$5:$C$3004,Acuses!$A$5:$A$3004,$A21,Acuses!$B$5:$B$3004,H$4)&lt;H$5,"Pendiente",IF(H$8=0,"OK",IF(EDATE(_xlfn.MAXIFS(Acuses!$D$5:$D$3004,Acuses!$A$5:$A$3004,$A21,Acuses!$B$5:$B$3004,H$4,Acuses!$C$5:$C$3004,H$5),H$8)&lt;Resumen!$C$4,"Caducado",IF(EDATE(_xlfn.MAXIFS(Acuses!$D$5:$D$3004,Acuses!$A$5:$A$3004,$A21,Acuses!$B$5:$B$3004,H$4,Acuses!$C$5:$C$3004,H$5),H$8)&lt;Resumen!$C$4+30,"Caduca pronto","OK"))))))</f>
        <v/>
      </c>
      <c r="I21" s="26" t="str">
        <f aca="false">IF(OR($A21="",I$4=""),"",IF(NOT(OR(I$6="Toda la plantilla",ISNUMBER(SEARCH(";"&amp;SUBSTITUTE($C21," ","")&amp;";",";"&amp;SUBSTITUTE(I$7," ","")&amp;";")))),"—",IF(_xlfn.MAXIFS(Acuses!$C$5:$C$3004,Acuses!$A$5:$A$3004,$A21,Acuses!$B$5:$B$3004,I$4)&lt;I$5,"Pendiente",IF(I$8=0,"OK",IF(EDATE(_xlfn.MAXIFS(Acuses!$D$5:$D$3004,Acuses!$A$5:$A$3004,$A21,Acuses!$B$5:$B$3004,I$4,Acuses!$C$5:$C$3004,I$5),I$8)&lt;Resumen!$C$4,"Caducado",IF(EDATE(_xlfn.MAXIFS(Acuses!$D$5:$D$3004,Acuses!$A$5:$A$3004,$A21,Acuses!$B$5:$B$3004,I$4,Acuses!$C$5:$C$3004,I$5),I$8)&lt;Resumen!$C$4+30,"Caduca pronto","OK"))))))</f>
        <v/>
      </c>
      <c r="J21" s="26" t="str">
        <f aca="false">IF(OR($A21="",J$4=""),"",IF(NOT(OR(J$6="Toda la plantilla",ISNUMBER(SEARCH(";"&amp;SUBSTITUTE($C21," ","")&amp;";",";"&amp;SUBSTITUTE(J$7," ","")&amp;";")))),"—",IF(_xlfn.MAXIFS(Acuses!$C$5:$C$3004,Acuses!$A$5:$A$3004,$A21,Acuses!$B$5:$B$3004,J$4)&lt;J$5,"Pendiente",IF(J$8=0,"OK",IF(EDATE(_xlfn.MAXIFS(Acuses!$D$5:$D$3004,Acuses!$A$5:$A$3004,$A21,Acuses!$B$5:$B$3004,J$4,Acuses!$C$5:$C$3004,J$5),J$8)&lt;Resumen!$C$4,"Caducado",IF(EDATE(_xlfn.MAXIFS(Acuses!$D$5:$D$3004,Acuses!$A$5:$A$3004,$A21,Acuses!$B$5:$B$3004,J$4,Acuses!$C$5:$C$3004,J$5),J$8)&lt;Resumen!$C$4+30,"Caduca pronto","OK"))))))</f>
        <v/>
      </c>
      <c r="K21" s="26" t="str">
        <f aca="false">IF(OR($A21="",K$4=""),"",IF(NOT(OR(K$6="Toda la plantilla",ISNUMBER(SEARCH(";"&amp;SUBSTITUTE($C21," ","")&amp;";",";"&amp;SUBSTITUTE(K$7," ","")&amp;";")))),"—",IF(_xlfn.MAXIFS(Acuses!$C$5:$C$3004,Acuses!$A$5:$A$3004,$A21,Acuses!$B$5:$B$3004,K$4)&lt;K$5,"Pendiente",IF(K$8=0,"OK",IF(EDATE(_xlfn.MAXIFS(Acuses!$D$5:$D$3004,Acuses!$A$5:$A$3004,$A21,Acuses!$B$5:$B$3004,K$4,Acuses!$C$5:$C$3004,K$5),K$8)&lt;Resumen!$C$4,"Caducado",IF(EDATE(_xlfn.MAXIFS(Acuses!$D$5:$D$3004,Acuses!$A$5:$A$3004,$A21,Acuses!$B$5:$B$3004,K$4,Acuses!$C$5:$C$3004,K$5),K$8)&lt;Resumen!$C$4+30,"Caduca pronto","OK"))))))</f>
        <v/>
      </c>
      <c r="L21" s="26" t="str">
        <f aca="false">IF(OR($A21="",L$4=""),"",IF(NOT(OR(L$6="Toda la plantilla",ISNUMBER(SEARCH(";"&amp;SUBSTITUTE($C21," ","")&amp;";",";"&amp;SUBSTITUTE(L$7," ","")&amp;";")))),"—",IF(_xlfn.MAXIFS(Acuses!$C$5:$C$3004,Acuses!$A$5:$A$3004,$A21,Acuses!$B$5:$B$3004,L$4)&lt;L$5,"Pendiente",IF(L$8=0,"OK",IF(EDATE(_xlfn.MAXIFS(Acuses!$D$5:$D$3004,Acuses!$A$5:$A$3004,$A21,Acuses!$B$5:$B$3004,L$4,Acuses!$C$5:$C$3004,L$5),L$8)&lt;Resumen!$C$4,"Caducado",IF(EDATE(_xlfn.MAXIFS(Acuses!$D$5:$D$3004,Acuses!$A$5:$A$3004,$A21,Acuses!$B$5:$B$3004,L$4,Acuses!$C$5:$C$3004,L$5),L$8)&lt;Resumen!$C$4+30,"Caduca pronto","OK"))))))</f>
        <v/>
      </c>
      <c r="M21" s="26" t="str">
        <f aca="false">IF(OR($A21="",M$4=""),"",IF(NOT(OR(M$6="Toda la plantilla",ISNUMBER(SEARCH(";"&amp;SUBSTITUTE($C21," ","")&amp;";",";"&amp;SUBSTITUTE(M$7," ","")&amp;";")))),"—",IF(_xlfn.MAXIFS(Acuses!$C$5:$C$3004,Acuses!$A$5:$A$3004,$A21,Acuses!$B$5:$B$3004,M$4)&lt;M$5,"Pendiente",IF(M$8=0,"OK",IF(EDATE(_xlfn.MAXIFS(Acuses!$D$5:$D$3004,Acuses!$A$5:$A$3004,$A21,Acuses!$B$5:$B$3004,M$4,Acuses!$C$5:$C$3004,M$5),M$8)&lt;Resumen!$C$4,"Caducado",IF(EDATE(_xlfn.MAXIFS(Acuses!$D$5:$D$3004,Acuses!$A$5:$A$3004,$A21,Acuses!$B$5:$B$3004,M$4,Acuses!$C$5:$C$3004,M$5),M$8)&lt;Resumen!$C$4+30,"Caduca pronto","OK"))))))</f>
        <v/>
      </c>
      <c r="N21" s="26" t="str">
        <f aca="false">IF(OR($A21="",N$4=""),"",IF(NOT(OR(N$6="Toda la plantilla",ISNUMBER(SEARCH(";"&amp;SUBSTITUTE($C21," ","")&amp;";",";"&amp;SUBSTITUTE(N$7," ","")&amp;";")))),"—",IF(_xlfn.MAXIFS(Acuses!$C$5:$C$3004,Acuses!$A$5:$A$3004,$A21,Acuses!$B$5:$B$3004,N$4)&lt;N$5,"Pendiente",IF(N$8=0,"OK",IF(EDATE(_xlfn.MAXIFS(Acuses!$D$5:$D$3004,Acuses!$A$5:$A$3004,$A21,Acuses!$B$5:$B$3004,N$4,Acuses!$C$5:$C$3004,N$5),N$8)&lt;Resumen!$C$4,"Caducado",IF(EDATE(_xlfn.MAXIFS(Acuses!$D$5:$D$3004,Acuses!$A$5:$A$3004,$A21,Acuses!$B$5:$B$3004,N$4,Acuses!$C$5:$C$3004,N$5),N$8)&lt;Resumen!$C$4+30,"Caduca pronto","OK"))))))</f>
        <v/>
      </c>
      <c r="O21" s="26" t="str">
        <f aca="false">IF(OR($A21="",O$4=""),"",IF(NOT(OR(O$6="Toda la plantilla",ISNUMBER(SEARCH(";"&amp;SUBSTITUTE($C21," ","")&amp;";",";"&amp;SUBSTITUTE(O$7," ","")&amp;";")))),"—",IF(_xlfn.MAXIFS(Acuses!$C$5:$C$3004,Acuses!$A$5:$A$3004,$A21,Acuses!$B$5:$B$3004,O$4)&lt;O$5,"Pendiente",IF(O$8=0,"OK",IF(EDATE(_xlfn.MAXIFS(Acuses!$D$5:$D$3004,Acuses!$A$5:$A$3004,$A21,Acuses!$B$5:$B$3004,O$4,Acuses!$C$5:$C$3004,O$5),O$8)&lt;Resumen!$C$4,"Caducado",IF(EDATE(_xlfn.MAXIFS(Acuses!$D$5:$D$3004,Acuses!$A$5:$A$3004,$A21,Acuses!$B$5:$B$3004,O$4,Acuses!$C$5:$C$3004,O$5),O$8)&lt;Resumen!$C$4+30,"Caduca pronto","OK"))))))</f>
        <v/>
      </c>
      <c r="P21" s="26" t="str">
        <f aca="false">IF(OR($A21="",P$4=""),"",IF(NOT(OR(P$6="Toda la plantilla",ISNUMBER(SEARCH(";"&amp;SUBSTITUTE($C21," ","")&amp;";",";"&amp;SUBSTITUTE(P$7," ","")&amp;";")))),"—",IF(_xlfn.MAXIFS(Acuses!$C$5:$C$3004,Acuses!$A$5:$A$3004,$A21,Acuses!$B$5:$B$3004,P$4)&lt;P$5,"Pendiente",IF(P$8=0,"OK",IF(EDATE(_xlfn.MAXIFS(Acuses!$D$5:$D$3004,Acuses!$A$5:$A$3004,$A21,Acuses!$B$5:$B$3004,P$4,Acuses!$C$5:$C$3004,P$5),P$8)&lt;Resumen!$C$4,"Caducado",IF(EDATE(_xlfn.MAXIFS(Acuses!$D$5:$D$3004,Acuses!$A$5:$A$3004,$A21,Acuses!$B$5:$B$3004,P$4,Acuses!$C$5:$C$3004,P$5),P$8)&lt;Resumen!$C$4+30,"Caduca pronto","OK"))))))</f>
        <v/>
      </c>
      <c r="Q21" s="26" t="str">
        <f aca="false">IF(OR($A21="",Q$4=""),"",IF(NOT(OR(Q$6="Toda la plantilla",ISNUMBER(SEARCH(";"&amp;SUBSTITUTE($C21," ","")&amp;";",";"&amp;SUBSTITUTE(Q$7," ","")&amp;";")))),"—",IF(_xlfn.MAXIFS(Acuses!$C$5:$C$3004,Acuses!$A$5:$A$3004,$A21,Acuses!$B$5:$B$3004,Q$4)&lt;Q$5,"Pendiente",IF(Q$8=0,"OK",IF(EDATE(_xlfn.MAXIFS(Acuses!$D$5:$D$3004,Acuses!$A$5:$A$3004,$A21,Acuses!$B$5:$B$3004,Q$4,Acuses!$C$5:$C$3004,Q$5),Q$8)&lt;Resumen!$C$4,"Caducado",IF(EDATE(_xlfn.MAXIFS(Acuses!$D$5:$D$3004,Acuses!$A$5:$A$3004,$A21,Acuses!$B$5:$B$3004,Q$4,Acuses!$C$5:$C$3004,Q$5),Q$8)&lt;Resumen!$C$4+30,"Caduca pronto","OK"))))))</f>
        <v/>
      </c>
      <c r="R21" s="26" t="str">
        <f aca="false">IF(OR($A21="",R$4=""),"",IF(NOT(OR(R$6="Toda la plantilla",ISNUMBER(SEARCH(";"&amp;SUBSTITUTE($C21," ","")&amp;";",";"&amp;SUBSTITUTE(R$7," ","")&amp;";")))),"—",IF(_xlfn.MAXIFS(Acuses!$C$5:$C$3004,Acuses!$A$5:$A$3004,$A21,Acuses!$B$5:$B$3004,R$4)&lt;R$5,"Pendiente",IF(R$8=0,"OK",IF(EDATE(_xlfn.MAXIFS(Acuses!$D$5:$D$3004,Acuses!$A$5:$A$3004,$A21,Acuses!$B$5:$B$3004,R$4,Acuses!$C$5:$C$3004,R$5),R$8)&lt;Resumen!$C$4,"Caducado",IF(EDATE(_xlfn.MAXIFS(Acuses!$D$5:$D$3004,Acuses!$A$5:$A$3004,$A21,Acuses!$B$5:$B$3004,R$4,Acuses!$C$5:$C$3004,R$5),R$8)&lt;Resumen!$C$4+30,"Caduca pronto","OK"))))))</f>
        <v/>
      </c>
      <c r="S21" s="26" t="str">
        <f aca="false">IF(OR($A21="",S$4=""),"",IF(NOT(OR(S$6="Toda la plantilla",ISNUMBER(SEARCH(";"&amp;SUBSTITUTE($C21," ","")&amp;";",";"&amp;SUBSTITUTE(S$7," ","")&amp;";")))),"—",IF(_xlfn.MAXIFS(Acuses!$C$5:$C$3004,Acuses!$A$5:$A$3004,$A21,Acuses!$B$5:$B$3004,S$4)&lt;S$5,"Pendiente",IF(S$8=0,"OK",IF(EDATE(_xlfn.MAXIFS(Acuses!$D$5:$D$3004,Acuses!$A$5:$A$3004,$A21,Acuses!$B$5:$B$3004,S$4,Acuses!$C$5:$C$3004,S$5),S$8)&lt;Resumen!$C$4,"Caducado",IF(EDATE(_xlfn.MAXIFS(Acuses!$D$5:$D$3004,Acuses!$A$5:$A$3004,$A21,Acuses!$B$5:$B$3004,S$4,Acuses!$C$5:$C$3004,S$5),S$8)&lt;Resumen!$C$4+30,"Caduca pronto","OK"))))))</f>
        <v/>
      </c>
      <c r="T21" s="26" t="str">
        <f aca="false">IF(OR($A21="",T$4=""),"",IF(NOT(OR(T$6="Toda la plantilla",ISNUMBER(SEARCH(";"&amp;SUBSTITUTE($C21," ","")&amp;";",";"&amp;SUBSTITUTE(T$7," ","")&amp;";")))),"—",IF(_xlfn.MAXIFS(Acuses!$C$5:$C$3004,Acuses!$A$5:$A$3004,$A21,Acuses!$B$5:$B$3004,T$4)&lt;T$5,"Pendiente",IF(T$8=0,"OK",IF(EDATE(_xlfn.MAXIFS(Acuses!$D$5:$D$3004,Acuses!$A$5:$A$3004,$A21,Acuses!$B$5:$B$3004,T$4,Acuses!$C$5:$C$3004,T$5),T$8)&lt;Resumen!$C$4,"Caducado",IF(EDATE(_xlfn.MAXIFS(Acuses!$D$5:$D$3004,Acuses!$A$5:$A$3004,$A21,Acuses!$B$5:$B$3004,T$4,Acuses!$C$5:$C$3004,T$5),T$8)&lt;Resumen!$C$4+30,"Caduca pronto","OK"))))))</f>
        <v/>
      </c>
      <c r="U21" s="26" t="str">
        <f aca="false">IF(OR($A21="",U$4=""),"",IF(NOT(OR(U$6="Toda la plantilla",ISNUMBER(SEARCH(";"&amp;SUBSTITUTE($C21," ","")&amp;";",";"&amp;SUBSTITUTE(U$7," ","")&amp;";")))),"—",IF(_xlfn.MAXIFS(Acuses!$C$5:$C$3004,Acuses!$A$5:$A$3004,$A21,Acuses!$B$5:$B$3004,U$4)&lt;U$5,"Pendiente",IF(U$8=0,"OK",IF(EDATE(_xlfn.MAXIFS(Acuses!$D$5:$D$3004,Acuses!$A$5:$A$3004,$A21,Acuses!$B$5:$B$3004,U$4,Acuses!$C$5:$C$3004,U$5),U$8)&lt;Resumen!$C$4,"Caducado",IF(EDATE(_xlfn.MAXIFS(Acuses!$D$5:$D$3004,Acuses!$A$5:$A$3004,$A21,Acuses!$B$5:$B$3004,U$4,Acuses!$C$5:$C$3004,U$5),U$8)&lt;Resumen!$C$4+30,"Caduca pronto","OK"))))))</f>
        <v/>
      </c>
      <c r="V21" s="26" t="str">
        <f aca="false">IF(OR($A21="",V$4=""),"",IF(NOT(OR(V$6="Toda la plantilla",ISNUMBER(SEARCH(";"&amp;SUBSTITUTE($C21," ","")&amp;";",";"&amp;SUBSTITUTE(V$7," ","")&amp;";")))),"—",IF(_xlfn.MAXIFS(Acuses!$C$5:$C$3004,Acuses!$A$5:$A$3004,$A21,Acuses!$B$5:$B$3004,V$4)&lt;V$5,"Pendiente",IF(V$8=0,"OK",IF(EDATE(_xlfn.MAXIFS(Acuses!$D$5:$D$3004,Acuses!$A$5:$A$3004,$A21,Acuses!$B$5:$B$3004,V$4,Acuses!$C$5:$C$3004,V$5),V$8)&lt;Resumen!$C$4,"Caducado",IF(EDATE(_xlfn.MAXIFS(Acuses!$D$5:$D$3004,Acuses!$A$5:$A$3004,$A21,Acuses!$B$5:$B$3004,V$4,Acuses!$C$5:$C$3004,V$5),V$8)&lt;Resumen!$C$4+30,"Caduca pronto","OK"))))))</f>
        <v/>
      </c>
      <c r="W21" s="26" t="str">
        <f aca="false">IF(OR($A21="",W$4=""),"",IF(NOT(OR(W$6="Toda la plantilla",ISNUMBER(SEARCH(";"&amp;SUBSTITUTE($C21," ","")&amp;";",";"&amp;SUBSTITUTE(W$7," ","")&amp;";")))),"—",IF(_xlfn.MAXIFS(Acuses!$C$5:$C$3004,Acuses!$A$5:$A$3004,$A21,Acuses!$B$5:$B$3004,W$4)&lt;W$5,"Pendiente",IF(W$8=0,"OK",IF(EDATE(_xlfn.MAXIFS(Acuses!$D$5:$D$3004,Acuses!$A$5:$A$3004,$A21,Acuses!$B$5:$B$3004,W$4,Acuses!$C$5:$C$3004,W$5),W$8)&lt;Resumen!$C$4,"Caducado",IF(EDATE(_xlfn.MAXIFS(Acuses!$D$5:$D$3004,Acuses!$A$5:$A$3004,$A21,Acuses!$B$5:$B$3004,W$4,Acuses!$C$5:$C$3004,W$5),W$8)&lt;Resumen!$C$4+30,"Caduca pronto","OK"))))))</f>
        <v/>
      </c>
      <c r="X21" s="26" t="str">
        <f aca="false">IF(OR($A21="",X$4=""),"",IF(NOT(OR(X$6="Toda la plantilla",ISNUMBER(SEARCH(";"&amp;SUBSTITUTE($C21," ","")&amp;";",";"&amp;SUBSTITUTE(X$7," ","")&amp;";")))),"—",IF(_xlfn.MAXIFS(Acuses!$C$5:$C$3004,Acuses!$A$5:$A$3004,$A21,Acuses!$B$5:$B$3004,X$4)&lt;X$5,"Pendiente",IF(X$8=0,"OK",IF(EDATE(_xlfn.MAXIFS(Acuses!$D$5:$D$3004,Acuses!$A$5:$A$3004,$A21,Acuses!$B$5:$B$3004,X$4,Acuses!$C$5:$C$3004,X$5),X$8)&lt;Resumen!$C$4,"Caducado",IF(EDATE(_xlfn.MAXIFS(Acuses!$D$5:$D$3004,Acuses!$A$5:$A$3004,$A21,Acuses!$B$5:$B$3004,X$4,Acuses!$C$5:$C$3004,X$5),X$8)&lt;Resumen!$C$4+30,"Caduca pronto","OK"))))))</f>
        <v/>
      </c>
      <c r="Y21" s="26" t="str">
        <f aca="false">IF(OR($A21="",Y$4=""),"",IF(NOT(OR(Y$6="Toda la plantilla",ISNUMBER(SEARCH(";"&amp;SUBSTITUTE($C21," ","")&amp;";",";"&amp;SUBSTITUTE(Y$7," ","")&amp;";")))),"—",IF(_xlfn.MAXIFS(Acuses!$C$5:$C$3004,Acuses!$A$5:$A$3004,$A21,Acuses!$B$5:$B$3004,Y$4)&lt;Y$5,"Pendiente",IF(Y$8=0,"OK",IF(EDATE(_xlfn.MAXIFS(Acuses!$D$5:$D$3004,Acuses!$A$5:$A$3004,$A21,Acuses!$B$5:$B$3004,Y$4,Acuses!$C$5:$C$3004,Y$5),Y$8)&lt;Resumen!$C$4,"Caducado",IF(EDATE(_xlfn.MAXIFS(Acuses!$D$5:$D$3004,Acuses!$A$5:$A$3004,$A21,Acuses!$B$5:$B$3004,Y$4,Acuses!$C$5:$C$3004,Y$5),Y$8)&lt;Resumen!$C$4+30,"Caduca pronto","OK"))))))</f>
        <v/>
      </c>
      <c r="Z21" s="26" t="str">
        <f aca="false">IF(OR($A21="",Z$4=""),"",IF(NOT(OR(Z$6="Toda la plantilla",ISNUMBER(SEARCH(";"&amp;SUBSTITUTE($C21," ","")&amp;";",";"&amp;SUBSTITUTE(Z$7," ","")&amp;";")))),"—",IF(_xlfn.MAXIFS(Acuses!$C$5:$C$3004,Acuses!$A$5:$A$3004,$A21,Acuses!$B$5:$B$3004,Z$4)&lt;Z$5,"Pendiente",IF(Z$8=0,"OK",IF(EDATE(_xlfn.MAXIFS(Acuses!$D$5:$D$3004,Acuses!$A$5:$A$3004,$A21,Acuses!$B$5:$B$3004,Z$4,Acuses!$C$5:$C$3004,Z$5),Z$8)&lt;Resumen!$C$4,"Caducado",IF(EDATE(_xlfn.MAXIFS(Acuses!$D$5:$D$3004,Acuses!$A$5:$A$3004,$A21,Acuses!$B$5:$B$3004,Z$4,Acuses!$C$5:$C$3004,Z$5),Z$8)&lt;Resumen!$C$4+30,"Caduca pronto","OK"))))))</f>
        <v/>
      </c>
      <c r="AA21" s="26" t="str">
        <f aca="false">IF(OR($A21="",AA$4=""),"",IF(NOT(OR(AA$6="Toda la plantilla",ISNUMBER(SEARCH(";"&amp;SUBSTITUTE($C21," ","")&amp;";",";"&amp;SUBSTITUTE(AA$7," ","")&amp;";")))),"—",IF(_xlfn.MAXIFS(Acuses!$C$5:$C$3004,Acuses!$A$5:$A$3004,$A21,Acuses!$B$5:$B$3004,AA$4)&lt;AA$5,"Pendiente",IF(AA$8=0,"OK",IF(EDATE(_xlfn.MAXIFS(Acuses!$D$5:$D$3004,Acuses!$A$5:$A$3004,$A21,Acuses!$B$5:$B$3004,AA$4,Acuses!$C$5:$C$3004,AA$5),AA$8)&lt;Resumen!$C$4,"Caducado",IF(EDATE(_xlfn.MAXIFS(Acuses!$D$5:$D$3004,Acuses!$A$5:$A$3004,$A21,Acuses!$B$5:$B$3004,AA$4,Acuses!$C$5:$C$3004,AA$5),AA$8)&lt;Resumen!$C$4+30,"Caduca pronto","OK"))))))</f>
        <v/>
      </c>
      <c r="AB21" s="26" t="str">
        <f aca="false">IF(OR($A21="",AB$4=""),"",IF(NOT(OR(AB$6="Toda la plantilla",ISNUMBER(SEARCH(";"&amp;SUBSTITUTE($C21," ","")&amp;";",";"&amp;SUBSTITUTE(AB$7," ","")&amp;";")))),"—",IF(_xlfn.MAXIFS(Acuses!$C$5:$C$3004,Acuses!$A$5:$A$3004,$A21,Acuses!$B$5:$B$3004,AB$4)&lt;AB$5,"Pendiente",IF(AB$8=0,"OK",IF(EDATE(_xlfn.MAXIFS(Acuses!$D$5:$D$3004,Acuses!$A$5:$A$3004,$A21,Acuses!$B$5:$B$3004,AB$4,Acuses!$C$5:$C$3004,AB$5),AB$8)&lt;Resumen!$C$4,"Caducado",IF(EDATE(_xlfn.MAXIFS(Acuses!$D$5:$D$3004,Acuses!$A$5:$A$3004,$A21,Acuses!$B$5:$B$3004,AB$4,Acuses!$C$5:$C$3004,AB$5),AB$8)&lt;Resumen!$C$4+30,"Caduca pronto","OK"))))))</f>
        <v/>
      </c>
      <c r="AC21" s="26" t="str">
        <f aca="false">IF(OR($A21="",AC$4=""),"",IF(NOT(OR(AC$6="Toda la plantilla",ISNUMBER(SEARCH(";"&amp;SUBSTITUTE($C21," ","")&amp;";",";"&amp;SUBSTITUTE(AC$7," ","")&amp;";")))),"—",IF(_xlfn.MAXIFS(Acuses!$C$5:$C$3004,Acuses!$A$5:$A$3004,$A21,Acuses!$B$5:$B$3004,AC$4)&lt;AC$5,"Pendiente",IF(AC$8=0,"OK",IF(EDATE(_xlfn.MAXIFS(Acuses!$D$5:$D$3004,Acuses!$A$5:$A$3004,$A21,Acuses!$B$5:$B$3004,AC$4,Acuses!$C$5:$C$3004,AC$5),AC$8)&lt;Resumen!$C$4,"Caducado",IF(EDATE(_xlfn.MAXIFS(Acuses!$D$5:$D$3004,Acuses!$A$5:$A$3004,$A21,Acuses!$B$5:$B$3004,AC$4,Acuses!$C$5:$C$3004,AC$5),AC$8)&lt;Resumen!$C$4+30,"Caduca pronto","OK"))))))</f>
        <v/>
      </c>
      <c r="AD21" s="26" t="str">
        <f aca="false">IF(OR($A21="",AD$4=""),"",IF(NOT(OR(AD$6="Toda la plantilla",ISNUMBER(SEARCH(";"&amp;SUBSTITUTE($C21," ","")&amp;";",";"&amp;SUBSTITUTE(AD$7," ","")&amp;";")))),"—",IF(_xlfn.MAXIFS(Acuses!$C$5:$C$3004,Acuses!$A$5:$A$3004,$A21,Acuses!$B$5:$B$3004,AD$4)&lt;AD$5,"Pendiente",IF(AD$8=0,"OK",IF(EDATE(_xlfn.MAXIFS(Acuses!$D$5:$D$3004,Acuses!$A$5:$A$3004,$A21,Acuses!$B$5:$B$3004,AD$4,Acuses!$C$5:$C$3004,AD$5),AD$8)&lt;Resumen!$C$4,"Caducado",IF(EDATE(_xlfn.MAXIFS(Acuses!$D$5:$D$3004,Acuses!$A$5:$A$3004,$A21,Acuses!$B$5:$B$3004,AD$4,Acuses!$C$5:$C$3004,AD$5),AD$8)&lt;Resumen!$C$4+30,"Caduca pronto","OK"))))))</f>
        <v/>
      </c>
      <c r="AE21" s="26" t="str">
        <f aca="false">IF(OR($A21="",AE$4=""),"",IF(NOT(OR(AE$6="Toda la plantilla",ISNUMBER(SEARCH(";"&amp;SUBSTITUTE($C21," ","")&amp;";",";"&amp;SUBSTITUTE(AE$7," ","")&amp;";")))),"—",IF(_xlfn.MAXIFS(Acuses!$C$5:$C$3004,Acuses!$A$5:$A$3004,$A21,Acuses!$B$5:$B$3004,AE$4)&lt;AE$5,"Pendiente",IF(AE$8=0,"OK",IF(EDATE(_xlfn.MAXIFS(Acuses!$D$5:$D$3004,Acuses!$A$5:$A$3004,$A21,Acuses!$B$5:$B$3004,AE$4,Acuses!$C$5:$C$3004,AE$5),AE$8)&lt;Resumen!$C$4,"Caducado",IF(EDATE(_xlfn.MAXIFS(Acuses!$D$5:$D$3004,Acuses!$A$5:$A$3004,$A21,Acuses!$B$5:$B$3004,AE$4,Acuses!$C$5:$C$3004,AE$5),AE$8)&lt;Resumen!$C$4+30,"Caduca pronto","OK"))))))</f>
        <v/>
      </c>
      <c r="AF21" s="26" t="str">
        <f aca="false">IF(OR($A21="",AF$4=""),"",IF(NOT(OR(AF$6="Toda la plantilla",ISNUMBER(SEARCH(";"&amp;SUBSTITUTE($C21," ","")&amp;";",";"&amp;SUBSTITUTE(AF$7," ","")&amp;";")))),"—",IF(_xlfn.MAXIFS(Acuses!$C$5:$C$3004,Acuses!$A$5:$A$3004,$A21,Acuses!$B$5:$B$3004,AF$4)&lt;AF$5,"Pendiente",IF(AF$8=0,"OK",IF(EDATE(_xlfn.MAXIFS(Acuses!$D$5:$D$3004,Acuses!$A$5:$A$3004,$A21,Acuses!$B$5:$B$3004,AF$4,Acuses!$C$5:$C$3004,AF$5),AF$8)&lt;Resumen!$C$4,"Caducado",IF(EDATE(_xlfn.MAXIFS(Acuses!$D$5:$D$3004,Acuses!$A$5:$A$3004,$A21,Acuses!$B$5:$B$3004,AF$4,Acuses!$C$5:$C$3004,AF$5),AF$8)&lt;Resumen!$C$4+30,"Caduca pronto","OK"))))))</f>
        <v/>
      </c>
      <c r="AG21" s="26" t="str">
        <f aca="false">IF(OR($A21="",AG$4=""),"",IF(NOT(OR(AG$6="Toda la plantilla",ISNUMBER(SEARCH(";"&amp;SUBSTITUTE($C21," ","")&amp;";",";"&amp;SUBSTITUTE(AG$7," ","")&amp;";")))),"—",IF(_xlfn.MAXIFS(Acuses!$C$5:$C$3004,Acuses!$A$5:$A$3004,$A21,Acuses!$B$5:$B$3004,AG$4)&lt;AG$5,"Pendiente",IF(AG$8=0,"OK",IF(EDATE(_xlfn.MAXIFS(Acuses!$D$5:$D$3004,Acuses!$A$5:$A$3004,$A21,Acuses!$B$5:$B$3004,AG$4,Acuses!$C$5:$C$3004,AG$5),AG$8)&lt;Resumen!$C$4,"Caducado",IF(EDATE(_xlfn.MAXIFS(Acuses!$D$5:$D$3004,Acuses!$A$5:$A$3004,$A21,Acuses!$B$5:$B$3004,AG$4,Acuses!$C$5:$C$3004,AG$5),AG$8)&lt;Resumen!$C$4+30,"Caduca pronto","OK"))))))</f>
        <v/>
      </c>
      <c r="AH21" s="26" t="str">
        <f aca="false">IF(OR($A21="",AH$4=""),"",IF(NOT(OR(AH$6="Toda la plantilla",ISNUMBER(SEARCH(";"&amp;SUBSTITUTE($C21," ","")&amp;";",";"&amp;SUBSTITUTE(AH$7," ","")&amp;";")))),"—",IF(_xlfn.MAXIFS(Acuses!$C$5:$C$3004,Acuses!$A$5:$A$3004,$A21,Acuses!$B$5:$B$3004,AH$4)&lt;AH$5,"Pendiente",IF(AH$8=0,"OK",IF(EDATE(_xlfn.MAXIFS(Acuses!$D$5:$D$3004,Acuses!$A$5:$A$3004,$A21,Acuses!$B$5:$B$3004,AH$4,Acuses!$C$5:$C$3004,AH$5),AH$8)&lt;Resumen!$C$4,"Caducado",IF(EDATE(_xlfn.MAXIFS(Acuses!$D$5:$D$3004,Acuses!$A$5:$A$3004,$A21,Acuses!$B$5:$B$3004,AH$4,Acuses!$C$5:$C$3004,AH$5),AH$8)&lt;Resumen!$C$4+30,"Caduca pronto","OK"))))))</f>
        <v/>
      </c>
      <c r="AI21" s="26" t="str">
        <f aca="false">IF(OR($A21="",AI$4=""),"",IF(NOT(OR(AI$6="Toda la plantilla",ISNUMBER(SEARCH(";"&amp;SUBSTITUTE($C21," ","")&amp;";",";"&amp;SUBSTITUTE(AI$7," ","")&amp;";")))),"—",IF(_xlfn.MAXIFS(Acuses!$C$5:$C$3004,Acuses!$A$5:$A$3004,$A21,Acuses!$B$5:$B$3004,AI$4)&lt;AI$5,"Pendiente",IF(AI$8=0,"OK",IF(EDATE(_xlfn.MAXIFS(Acuses!$D$5:$D$3004,Acuses!$A$5:$A$3004,$A21,Acuses!$B$5:$B$3004,AI$4,Acuses!$C$5:$C$3004,AI$5),AI$8)&lt;Resumen!$C$4,"Caducado",IF(EDATE(_xlfn.MAXIFS(Acuses!$D$5:$D$3004,Acuses!$A$5:$A$3004,$A21,Acuses!$B$5:$B$3004,AI$4,Acuses!$C$5:$C$3004,AI$5),AI$8)&lt;Resumen!$C$4+30,"Caduca pronto","OK"))))))</f>
        <v/>
      </c>
      <c r="AJ21" s="26" t="str">
        <f aca="false">IF(OR($A21="",AJ$4=""),"",IF(NOT(OR(AJ$6="Toda la plantilla",ISNUMBER(SEARCH(";"&amp;SUBSTITUTE($C21," ","")&amp;";",";"&amp;SUBSTITUTE(AJ$7," ","")&amp;";")))),"—",IF(_xlfn.MAXIFS(Acuses!$C$5:$C$3004,Acuses!$A$5:$A$3004,$A21,Acuses!$B$5:$B$3004,AJ$4)&lt;AJ$5,"Pendiente",IF(AJ$8=0,"OK",IF(EDATE(_xlfn.MAXIFS(Acuses!$D$5:$D$3004,Acuses!$A$5:$A$3004,$A21,Acuses!$B$5:$B$3004,AJ$4,Acuses!$C$5:$C$3004,AJ$5),AJ$8)&lt;Resumen!$C$4,"Caducado",IF(EDATE(_xlfn.MAXIFS(Acuses!$D$5:$D$3004,Acuses!$A$5:$A$3004,$A21,Acuses!$B$5:$B$3004,AJ$4,Acuses!$C$5:$C$3004,AJ$5),AJ$8)&lt;Resumen!$C$4+30,"Caduca pronto","OK"))))))</f>
        <v/>
      </c>
      <c r="AK21" s="26" t="str">
        <f aca="false">IF(OR($A21="",AK$4=""),"",IF(NOT(OR(AK$6="Toda la plantilla",ISNUMBER(SEARCH(";"&amp;SUBSTITUTE($C21," ","")&amp;";",";"&amp;SUBSTITUTE(AK$7," ","")&amp;";")))),"—",IF(_xlfn.MAXIFS(Acuses!$C$5:$C$3004,Acuses!$A$5:$A$3004,$A21,Acuses!$B$5:$B$3004,AK$4)&lt;AK$5,"Pendiente",IF(AK$8=0,"OK",IF(EDATE(_xlfn.MAXIFS(Acuses!$D$5:$D$3004,Acuses!$A$5:$A$3004,$A21,Acuses!$B$5:$B$3004,AK$4,Acuses!$C$5:$C$3004,AK$5),AK$8)&lt;Resumen!$C$4,"Caducado",IF(EDATE(_xlfn.MAXIFS(Acuses!$D$5:$D$3004,Acuses!$A$5:$A$3004,$A21,Acuses!$B$5:$B$3004,AK$4,Acuses!$C$5:$C$3004,AK$5),AK$8)&lt;Resumen!$C$4+30,"Caduca pronto","OK"))))))</f>
        <v/>
      </c>
      <c r="AL21" s="26" t="str">
        <f aca="false">IF(OR($A21="",AL$4=""),"",IF(NOT(OR(AL$6="Toda la plantilla",ISNUMBER(SEARCH(";"&amp;SUBSTITUTE($C21," ","")&amp;";",";"&amp;SUBSTITUTE(AL$7," ","")&amp;";")))),"—",IF(_xlfn.MAXIFS(Acuses!$C$5:$C$3004,Acuses!$A$5:$A$3004,$A21,Acuses!$B$5:$B$3004,AL$4)&lt;AL$5,"Pendiente",IF(AL$8=0,"OK",IF(EDATE(_xlfn.MAXIFS(Acuses!$D$5:$D$3004,Acuses!$A$5:$A$3004,$A21,Acuses!$B$5:$B$3004,AL$4,Acuses!$C$5:$C$3004,AL$5),AL$8)&lt;Resumen!$C$4,"Caducado",IF(EDATE(_xlfn.MAXIFS(Acuses!$D$5:$D$3004,Acuses!$A$5:$A$3004,$A21,Acuses!$B$5:$B$3004,AL$4,Acuses!$C$5:$C$3004,AL$5),AL$8)&lt;Resumen!$C$4+30,"Caduca pronto","OK"))))))</f>
        <v/>
      </c>
      <c r="AM21" s="26" t="str">
        <f aca="false">IF(OR($A21="",AM$4=""),"",IF(NOT(OR(AM$6="Toda la plantilla",ISNUMBER(SEARCH(";"&amp;SUBSTITUTE($C21," ","")&amp;";",";"&amp;SUBSTITUTE(AM$7," ","")&amp;";")))),"—",IF(_xlfn.MAXIFS(Acuses!$C$5:$C$3004,Acuses!$A$5:$A$3004,$A21,Acuses!$B$5:$B$3004,AM$4)&lt;AM$5,"Pendiente",IF(AM$8=0,"OK",IF(EDATE(_xlfn.MAXIFS(Acuses!$D$5:$D$3004,Acuses!$A$5:$A$3004,$A21,Acuses!$B$5:$B$3004,AM$4,Acuses!$C$5:$C$3004,AM$5),AM$8)&lt;Resumen!$C$4,"Caducado",IF(EDATE(_xlfn.MAXIFS(Acuses!$D$5:$D$3004,Acuses!$A$5:$A$3004,$A21,Acuses!$B$5:$B$3004,AM$4,Acuses!$C$5:$C$3004,AM$5),AM$8)&lt;Resumen!$C$4+30,"Caduca pronto","OK"))))))</f>
        <v/>
      </c>
      <c r="AN21" s="26" t="str">
        <f aca="false">IF(OR($A21="",AN$4=""),"",IF(NOT(OR(AN$6="Toda la plantilla",ISNUMBER(SEARCH(";"&amp;SUBSTITUTE($C21," ","")&amp;";",";"&amp;SUBSTITUTE(AN$7," ","")&amp;";")))),"—",IF(_xlfn.MAXIFS(Acuses!$C$5:$C$3004,Acuses!$A$5:$A$3004,$A21,Acuses!$B$5:$B$3004,AN$4)&lt;AN$5,"Pendiente",IF(AN$8=0,"OK",IF(EDATE(_xlfn.MAXIFS(Acuses!$D$5:$D$3004,Acuses!$A$5:$A$3004,$A21,Acuses!$B$5:$B$3004,AN$4,Acuses!$C$5:$C$3004,AN$5),AN$8)&lt;Resumen!$C$4,"Caducado",IF(EDATE(_xlfn.MAXIFS(Acuses!$D$5:$D$3004,Acuses!$A$5:$A$3004,$A21,Acuses!$B$5:$B$3004,AN$4,Acuses!$C$5:$C$3004,AN$5),AN$8)&lt;Resumen!$C$4+30,"Caduca pronto","OK"))))))</f>
        <v/>
      </c>
      <c r="AO21" s="26" t="str">
        <f aca="false">IF(OR($A21="",AO$4=""),"",IF(NOT(OR(AO$6="Toda la plantilla",ISNUMBER(SEARCH(";"&amp;SUBSTITUTE($C21," ","")&amp;";",";"&amp;SUBSTITUTE(AO$7," ","")&amp;";")))),"—",IF(_xlfn.MAXIFS(Acuses!$C$5:$C$3004,Acuses!$A$5:$A$3004,$A21,Acuses!$B$5:$B$3004,AO$4)&lt;AO$5,"Pendiente",IF(AO$8=0,"OK",IF(EDATE(_xlfn.MAXIFS(Acuses!$D$5:$D$3004,Acuses!$A$5:$A$3004,$A21,Acuses!$B$5:$B$3004,AO$4,Acuses!$C$5:$C$3004,AO$5),AO$8)&lt;Resumen!$C$4,"Caducado",IF(EDATE(_xlfn.MAXIFS(Acuses!$D$5:$D$3004,Acuses!$A$5:$A$3004,$A21,Acuses!$B$5:$B$3004,AO$4,Acuses!$C$5:$C$3004,AO$5),AO$8)&lt;Resumen!$C$4+30,"Caduca pronto","OK"))))))</f>
        <v/>
      </c>
      <c r="AP21" s="26" t="str">
        <f aca="false">IF(OR($A21="",AP$4=""),"",IF(NOT(OR(AP$6="Toda la plantilla",ISNUMBER(SEARCH(";"&amp;SUBSTITUTE($C21," ","")&amp;";",";"&amp;SUBSTITUTE(AP$7," ","")&amp;";")))),"—",IF(_xlfn.MAXIFS(Acuses!$C$5:$C$3004,Acuses!$A$5:$A$3004,$A21,Acuses!$B$5:$B$3004,AP$4)&lt;AP$5,"Pendiente",IF(AP$8=0,"OK",IF(EDATE(_xlfn.MAXIFS(Acuses!$D$5:$D$3004,Acuses!$A$5:$A$3004,$A21,Acuses!$B$5:$B$3004,AP$4,Acuses!$C$5:$C$3004,AP$5),AP$8)&lt;Resumen!$C$4,"Caducado",IF(EDATE(_xlfn.MAXIFS(Acuses!$D$5:$D$3004,Acuses!$A$5:$A$3004,$A21,Acuses!$B$5:$B$3004,AP$4,Acuses!$C$5:$C$3004,AP$5),AP$8)&lt;Resumen!$C$4+30,"Caduca pronto","OK"))))))</f>
        <v/>
      </c>
      <c r="AQ21" s="26" t="str">
        <f aca="false">IF(OR($A21="",AQ$4=""),"",IF(NOT(OR(AQ$6="Toda la plantilla",ISNUMBER(SEARCH(";"&amp;SUBSTITUTE($C21," ","")&amp;";",";"&amp;SUBSTITUTE(AQ$7," ","")&amp;";")))),"—",IF(_xlfn.MAXIFS(Acuses!$C$5:$C$3004,Acuses!$A$5:$A$3004,$A21,Acuses!$B$5:$B$3004,AQ$4)&lt;AQ$5,"Pendiente",IF(AQ$8=0,"OK",IF(EDATE(_xlfn.MAXIFS(Acuses!$D$5:$D$3004,Acuses!$A$5:$A$3004,$A21,Acuses!$B$5:$B$3004,AQ$4,Acuses!$C$5:$C$3004,AQ$5),AQ$8)&lt;Resumen!$C$4,"Caducado",IF(EDATE(_xlfn.MAXIFS(Acuses!$D$5:$D$3004,Acuses!$A$5:$A$3004,$A21,Acuses!$B$5:$B$3004,AQ$4,Acuses!$C$5:$C$3004,AQ$5),AQ$8)&lt;Resumen!$C$4+30,"Caduca pronto","OK"))))))</f>
        <v/>
      </c>
    </row>
    <row r="22" customFormat="false" ht="15" hidden="false" customHeight="false" outlineLevel="0" collapsed="false">
      <c r="A22" s="25" t="str">
        <f aca="false">IF(AND(Trabajadores!$A$17&lt;&gt;"",Trabajadores!$G$17&lt;&gt;"No"),Trabajadores!$A$17,"")</f>
        <v/>
      </c>
      <c r="B22" s="25" t="str">
        <f aca="false">IF($A22="","",Trabajadores!$B$17)</f>
        <v/>
      </c>
      <c r="C22" s="25" t="str">
        <f aca="false">IF($A22="","",Trabajadores!$C$17)</f>
        <v/>
      </c>
      <c r="D22" s="26" t="str">
        <f aca="false">IF(OR($A22="",D$4=""),"",IF(NOT(OR(D$6="Toda la plantilla",ISNUMBER(SEARCH(";"&amp;SUBSTITUTE($C22," ","")&amp;";",";"&amp;SUBSTITUTE(D$7," ","")&amp;";")))),"—",IF(_xlfn.MAXIFS(Acuses!$C$5:$C$3004,Acuses!$A$5:$A$3004,$A22,Acuses!$B$5:$B$3004,D$4)&lt;D$5,"Pendiente",IF(D$8=0,"OK",IF(EDATE(_xlfn.MAXIFS(Acuses!$D$5:$D$3004,Acuses!$A$5:$A$3004,$A22,Acuses!$B$5:$B$3004,D$4,Acuses!$C$5:$C$3004,D$5),D$8)&lt;Resumen!$C$4,"Caducado",IF(EDATE(_xlfn.MAXIFS(Acuses!$D$5:$D$3004,Acuses!$A$5:$A$3004,$A22,Acuses!$B$5:$B$3004,D$4,Acuses!$C$5:$C$3004,D$5),D$8)&lt;Resumen!$C$4+30,"Caduca pronto","OK"))))))</f>
        <v/>
      </c>
      <c r="E22" s="26" t="str">
        <f aca="false">IF(OR($A22="",E$4=""),"",IF(NOT(OR(E$6="Toda la plantilla",ISNUMBER(SEARCH(";"&amp;SUBSTITUTE($C22," ","")&amp;";",";"&amp;SUBSTITUTE(E$7," ","")&amp;";")))),"—",IF(_xlfn.MAXIFS(Acuses!$C$5:$C$3004,Acuses!$A$5:$A$3004,$A22,Acuses!$B$5:$B$3004,E$4)&lt;E$5,"Pendiente",IF(E$8=0,"OK",IF(EDATE(_xlfn.MAXIFS(Acuses!$D$5:$D$3004,Acuses!$A$5:$A$3004,$A22,Acuses!$B$5:$B$3004,E$4,Acuses!$C$5:$C$3004,E$5),E$8)&lt;Resumen!$C$4,"Caducado",IF(EDATE(_xlfn.MAXIFS(Acuses!$D$5:$D$3004,Acuses!$A$5:$A$3004,$A22,Acuses!$B$5:$B$3004,E$4,Acuses!$C$5:$C$3004,E$5),E$8)&lt;Resumen!$C$4+30,"Caduca pronto","OK"))))))</f>
        <v/>
      </c>
      <c r="F22" s="26" t="str">
        <f aca="false">IF(OR($A22="",F$4=""),"",IF(NOT(OR(F$6="Toda la plantilla",ISNUMBER(SEARCH(";"&amp;SUBSTITUTE($C22," ","")&amp;";",";"&amp;SUBSTITUTE(F$7," ","")&amp;";")))),"—",IF(_xlfn.MAXIFS(Acuses!$C$5:$C$3004,Acuses!$A$5:$A$3004,$A22,Acuses!$B$5:$B$3004,F$4)&lt;F$5,"Pendiente",IF(F$8=0,"OK",IF(EDATE(_xlfn.MAXIFS(Acuses!$D$5:$D$3004,Acuses!$A$5:$A$3004,$A22,Acuses!$B$5:$B$3004,F$4,Acuses!$C$5:$C$3004,F$5),F$8)&lt;Resumen!$C$4,"Caducado",IF(EDATE(_xlfn.MAXIFS(Acuses!$D$5:$D$3004,Acuses!$A$5:$A$3004,$A22,Acuses!$B$5:$B$3004,F$4,Acuses!$C$5:$C$3004,F$5),F$8)&lt;Resumen!$C$4+30,"Caduca pronto","OK"))))))</f>
        <v/>
      </c>
      <c r="G22" s="26" t="str">
        <f aca="false">IF(OR($A22="",G$4=""),"",IF(NOT(OR(G$6="Toda la plantilla",ISNUMBER(SEARCH(";"&amp;SUBSTITUTE($C22," ","")&amp;";",";"&amp;SUBSTITUTE(G$7," ","")&amp;";")))),"—",IF(_xlfn.MAXIFS(Acuses!$C$5:$C$3004,Acuses!$A$5:$A$3004,$A22,Acuses!$B$5:$B$3004,G$4)&lt;G$5,"Pendiente",IF(G$8=0,"OK",IF(EDATE(_xlfn.MAXIFS(Acuses!$D$5:$D$3004,Acuses!$A$5:$A$3004,$A22,Acuses!$B$5:$B$3004,G$4,Acuses!$C$5:$C$3004,G$5),G$8)&lt;Resumen!$C$4,"Caducado",IF(EDATE(_xlfn.MAXIFS(Acuses!$D$5:$D$3004,Acuses!$A$5:$A$3004,$A22,Acuses!$B$5:$B$3004,G$4,Acuses!$C$5:$C$3004,G$5),G$8)&lt;Resumen!$C$4+30,"Caduca pronto","OK"))))))</f>
        <v/>
      </c>
      <c r="H22" s="26" t="str">
        <f aca="false">IF(OR($A22="",H$4=""),"",IF(NOT(OR(H$6="Toda la plantilla",ISNUMBER(SEARCH(";"&amp;SUBSTITUTE($C22," ","")&amp;";",";"&amp;SUBSTITUTE(H$7," ","")&amp;";")))),"—",IF(_xlfn.MAXIFS(Acuses!$C$5:$C$3004,Acuses!$A$5:$A$3004,$A22,Acuses!$B$5:$B$3004,H$4)&lt;H$5,"Pendiente",IF(H$8=0,"OK",IF(EDATE(_xlfn.MAXIFS(Acuses!$D$5:$D$3004,Acuses!$A$5:$A$3004,$A22,Acuses!$B$5:$B$3004,H$4,Acuses!$C$5:$C$3004,H$5),H$8)&lt;Resumen!$C$4,"Caducado",IF(EDATE(_xlfn.MAXIFS(Acuses!$D$5:$D$3004,Acuses!$A$5:$A$3004,$A22,Acuses!$B$5:$B$3004,H$4,Acuses!$C$5:$C$3004,H$5),H$8)&lt;Resumen!$C$4+30,"Caduca pronto","OK"))))))</f>
        <v/>
      </c>
      <c r="I22" s="26" t="str">
        <f aca="false">IF(OR($A22="",I$4=""),"",IF(NOT(OR(I$6="Toda la plantilla",ISNUMBER(SEARCH(";"&amp;SUBSTITUTE($C22," ","")&amp;";",";"&amp;SUBSTITUTE(I$7," ","")&amp;";")))),"—",IF(_xlfn.MAXIFS(Acuses!$C$5:$C$3004,Acuses!$A$5:$A$3004,$A22,Acuses!$B$5:$B$3004,I$4)&lt;I$5,"Pendiente",IF(I$8=0,"OK",IF(EDATE(_xlfn.MAXIFS(Acuses!$D$5:$D$3004,Acuses!$A$5:$A$3004,$A22,Acuses!$B$5:$B$3004,I$4,Acuses!$C$5:$C$3004,I$5),I$8)&lt;Resumen!$C$4,"Caducado",IF(EDATE(_xlfn.MAXIFS(Acuses!$D$5:$D$3004,Acuses!$A$5:$A$3004,$A22,Acuses!$B$5:$B$3004,I$4,Acuses!$C$5:$C$3004,I$5),I$8)&lt;Resumen!$C$4+30,"Caduca pronto","OK"))))))</f>
        <v/>
      </c>
      <c r="J22" s="26" t="str">
        <f aca="false">IF(OR($A22="",J$4=""),"",IF(NOT(OR(J$6="Toda la plantilla",ISNUMBER(SEARCH(";"&amp;SUBSTITUTE($C22," ","")&amp;";",";"&amp;SUBSTITUTE(J$7," ","")&amp;";")))),"—",IF(_xlfn.MAXIFS(Acuses!$C$5:$C$3004,Acuses!$A$5:$A$3004,$A22,Acuses!$B$5:$B$3004,J$4)&lt;J$5,"Pendiente",IF(J$8=0,"OK",IF(EDATE(_xlfn.MAXIFS(Acuses!$D$5:$D$3004,Acuses!$A$5:$A$3004,$A22,Acuses!$B$5:$B$3004,J$4,Acuses!$C$5:$C$3004,J$5),J$8)&lt;Resumen!$C$4,"Caducado",IF(EDATE(_xlfn.MAXIFS(Acuses!$D$5:$D$3004,Acuses!$A$5:$A$3004,$A22,Acuses!$B$5:$B$3004,J$4,Acuses!$C$5:$C$3004,J$5),J$8)&lt;Resumen!$C$4+30,"Caduca pronto","OK"))))))</f>
        <v/>
      </c>
      <c r="K22" s="26" t="str">
        <f aca="false">IF(OR($A22="",K$4=""),"",IF(NOT(OR(K$6="Toda la plantilla",ISNUMBER(SEARCH(";"&amp;SUBSTITUTE($C22," ","")&amp;";",";"&amp;SUBSTITUTE(K$7," ","")&amp;";")))),"—",IF(_xlfn.MAXIFS(Acuses!$C$5:$C$3004,Acuses!$A$5:$A$3004,$A22,Acuses!$B$5:$B$3004,K$4)&lt;K$5,"Pendiente",IF(K$8=0,"OK",IF(EDATE(_xlfn.MAXIFS(Acuses!$D$5:$D$3004,Acuses!$A$5:$A$3004,$A22,Acuses!$B$5:$B$3004,K$4,Acuses!$C$5:$C$3004,K$5),K$8)&lt;Resumen!$C$4,"Caducado",IF(EDATE(_xlfn.MAXIFS(Acuses!$D$5:$D$3004,Acuses!$A$5:$A$3004,$A22,Acuses!$B$5:$B$3004,K$4,Acuses!$C$5:$C$3004,K$5),K$8)&lt;Resumen!$C$4+30,"Caduca pronto","OK"))))))</f>
        <v/>
      </c>
      <c r="L22" s="26" t="str">
        <f aca="false">IF(OR($A22="",L$4=""),"",IF(NOT(OR(L$6="Toda la plantilla",ISNUMBER(SEARCH(";"&amp;SUBSTITUTE($C22," ","")&amp;";",";"&amp;SUBSTITUTE(L$7," ","")&amp;";")))),"—",IF(_xlfn.MAXIFS(Acuses!$C$5:$C$3004,Acuses!$A$5:$A$3004,$A22,Acuses!$B$5:$B$3004,L$4)&lt;L$5,"Pendiente",IF(L$8=0,"OK",IF(EDATE(_xlfn.MAXIFS(Acuses!$D$5:$D$3004,Acuses!$A$5:$A$3004,$A22,Acuses!$B$5:$B$3004,L$4,Acuses!$C$5:$C$3004,L$5),L$8)&lt;Resumen!$C$4,"Caducado",IF(EDATE(_xlfn.MAXIFS(Acuses!$D$5:$D$3004,Acuses!$A$5:$A$3004,$A22,Acuses!$B$5:$B$3004,L$4,Acuses!$C$5:$C$3004,L$5),L$8)&lt;Resumen!$C$4+30,"Caduca pronto","OK"))))))</f>
        <v/>
      </c>
      <c r="M22" s="26" t="str">
        <f aca="false">IF(OR($A22="",M$4=""),"",IF(NOT(OR(M$6="Toda la plantilla",ISNUMBER(SEARCH(";"&amp;SUBSTITUTE($C22," ","")&amp;";",";"&amp;SUBSTITUTE(M$7," ","")&amp;";")))),"—",IF(_xlfn.MAXIFS(Acuses!$C$5:$C$3004,Acuses!$A$5:$A$3004,$A22,Acuses!$B$5:$B$3004,M$4)&lt;M$5,"Pendiente",IF(M$8=0,"OK",IF(EDATE(_xlfn.MAXIFS(Acuses!$D$5:$D$3004,Acuses!$A$5:$A$3004,$A22,Acuses!$B$5:$B$3004,M$4,Acuses!$C$5:$C$3004,M$5),M$8)&lt;Resumen!$C$4,"Caducado",IF(EDATE(_xlfn.MAXIFS(Acuses!$D$5:$D$3004,Acuses!$A$5:$A$3004,$A22,Acuses!$B$5:$B$3004,M$4,Acuses!$C$5:$C$3004,M$5),M$8)&lt;Resumen!$C$4+30,"Caduca pronto","OK"))))))</f>
        <v/>
      </c>
      <c r="N22" s="26" t="str">
        <f aca="false">IF(OR($A22="",N$4=""),"",IF(NOT(OR(N$6="Toda la plantilla",ISNUMBER(SEARCH(";"&amp;SUBSTITUTE($C22," ","")&amp;";",";"&amp;SUBSTITUTE(N$7," ","")&amp;";")))),"—",IF(_xlfn.MAXIFS(Acuses!$C$5:$C$3004,Acuses!$A$5:$A$3004,$A22,Acuses!$B$5:$B$3004,N$4)&lt;N$5,"Pendiente",IF(N$8=0,"OK",IF(EDATE(_xlfn.MAXIFS(Acuses!$D$5:$D$3004,Acuses!$A$5:$A$3004,$A22,Acuses!$B$5:$B$3004,N$4,Acuses!$C$5:$C$3004,N$5),N$8)&lt;Resumen!$C$4,"Caducado",IF(EDATE(_xlfn.MAXIFS(Acuses!$D$5:$D$3004,Acuses!$A$5:$A$3004,$A22,Acuses!$B$5:$B$3004,N$4,Acuses!$C$5:$C$3004,N$5),N$8)&lt;Resumen!$C$4+30,"Caduca pronto","OK"))))))</f>
        <v/>
      </c>
      <c r="O22" s="26" t="str">
        <f aca="false">IF(OR($A22="",O$4=""),"",IF(NOT(OR(O$6="Toda la plantilla",ISNUMBER(SEARCH(";"&amp;SUBSTITUTE($C22," ","")&amp;";",";"&amp;SUBSTITUTE(O$7," ","")&amp;";")))),"—",IF(_xlfn.MAXIFS(Acuses!$C$5:$C$3004,Acuses!$A$5:$A$3004,$A22,Acuses!$B$5:$B$3004,O$4)&lt;O$5,"Pendiente",IF(O$8=0,"OK",IF(EDATE(_xlfn.MAXIFS(Acuses!$D$5:$D$3004,Acuses!$A$5:$A$3004,$A22,Acuses!$B$5:$B$3004,O$4,Acuses!$C$5:$C$3004,O$5),O$8)&lt;Resumen!$C$4,"Caducado",IF(EDATE(_xlfn.MAXIFS(Acuses!$D$5:$D$3004,Acuses!$A$5:$A$3004,$A22,Acuses!$B$5:$B$3004,O$4,Acuses!$C$5:$C$3004,O$5),O$8)&lt;Resumen!$C$4+30,"Caduca pronto","OK"))))))</f>
        <v/>
      </c>
      <c r="P22" s="26" t="str">
        <f aca="false">IF(OR($A22="",P$4=""),"",IF(NOT(OR(P$6="Toda la plantilla",ISNUMBER(SEARCH(";"&amp;SUBSTITUTE($C22," ","")&amp;";",";"&amp;SUBSTITUTE(P$7," ","")&amp;";")))),"—",IF(_xlfn.MAXIFS(Acuses!$C$5:$C$3004,Acuses!$A$5:$A$3004,$A22,Acuses!$B$5:$B$3004,P$4)&lt;P$5,"Pendiente",IF(P$8=0,"OK",IF(EDATE(_xlfn.MAXIFS(Acuses!$D$5:$D$3004,Acuses!$A$5:$A$3004,$A22,Acuses!$B$5:$B$3004,P$4,Acuses!$C$5:$C$3004,P$5),P$8)&lt;Resumen!$C$4,"Caducado",IF(EDATE(_xlfn.MAXIFS(Acuses!$D$5:$D$3004,Acuses!$A$5:$A$3004,$A22,Acuses!$B$5:$B$3004,P$4,Acuses!$C$5:$C$3004,P$5),P$8)&lt;Resumen!$C$4+30,"Caduca pronto","OK"))))))</f>
        <v/>
      </c>
      <c r="Q22" s="26" t="str">
        <f aca="false">IF(OR($A22="",Q$4=""),"",IF(NOT(OR(Q$6="Toda la plantilla",ISNUMBER(SEARCH(";"&amp;SUBSTITUTE($C22," ","")&amp;";",";"&amp;SUBSTITUTE(Q$7," ","")&amp;";")))),"—",IF(_xlfn.MAXIFS(Acuses!$C$5:$C$3004,Acuses!$A$5:$A$3004,$A22,Acuses!$B$5:$B$3004,Q$4)&lt;Q$5,"Pendiente",IF(Q$8=0,"OK",IF(EDATE(_xlfn.MAXIFS(Acuses!$D$5:$D$3004,Acuses!$A$5:$A$3004,$A22,Acuses!$B$5:$B$3004,Q$4,Acuses!$C$5:$C$3004,Q$5),Q$8)&lt;Resumen!$C$4,"Caducado",IF(EDATE(_xlfn.MAXIFS(Acuses!$D$5:$D$3004,Acuses!$A$5:$A$3004,$A22,Acuses!$B$5:$B$3004,Q$4,Acuses!$C$5:$C$3004,Q$5),Q$8)&lt;Resumen!$C$4+30,"Caduca pronto","OK"))))))</f>
        <v/>
      </c>
      <c r="R22" s="26" t="str">
        <f aca="false">IF(OR($A22="",R$4=""),"",IF(NOT(OR(R$6="Toda la plantilla",ISNUMBER(SEARCH(";"&amp;SUBSTITUTE($C22," ","")&amp;";",";"&amp;SUBSTITUTE(R$7," ","")&amp;";")))),"—",IF(_xlfn.MAXIFS(Acuses!$C$5:$C$3004,Acuses!$A$5:$A$3004,$A22,Acuses!$B$5:$B$3004,R$4)&lt;R$5,"Pendiente",IF(R$8=0,"OK",IF(EDATE(_xlfn.MAXIFS(Acuses!$D$5:$D$3004,Acuses!$A$5:$A$3004,$A22,Acuses!$B$5:$B$3004,R$4,Acuses!$C$5:$C$3004,R$5),R$8)&lt;Resumen!$C$4,"Caducado",IF(EDATE(_xlfn.MAXIFS(Acuses!$D$5:$D$3004,Acuses!$A$5:$A$3004,$A22,Acuses!$B$5:$B$3004,R$4,Acuses!$C$5:$C$3004,R$5),R$8)&lt;Resumen!$C$4+30,"Caduca pronto","OK"))))))</f>
        <v/>
      </c>
      <c r="S22" s="26" t="str">
        <f aca="false">IF(OR($A22="",S$4=""),"",IF(NOT(OR(S$6="Toda la plantilla",ISNUMBER(SEARCH(";"&amp;SUBSTITUTE($C22," ","")&amp;";",";"&amp;SUBSTITUTE(S$7," ","")&amp;";")))),"—",IF(_xlfn.MAXIFS(Acuses!$C$5:$C$3004,Acuses!$A$5:$A$3004,$A22,Acuses!$B$5:$B$3004,S$4)&lt;S$5,"Pendiente",IF(S$8=0,"OK",IF(EDATE(_xlfn.MAXIFS(Acuses!$D$5:$D$3004,Acuses!$A$5:$A$3004,$A22,Acuses!$B$5:$B$3004,S$4,Acuses!$C$5:$C$3004,S$5),S$8)&lt;Resumen!$C$4,"Caducado",IF(EDATE(_xlfn.MAXIFS(Acuses!$D$5:$D$3004,Acuses!$A$5:$A$3004,$A22,Acuses!$B$5:$B$3004,S$4,Acuses!$C$5:$C$3004,S$5),S$8)&lt;Resumen!$C$4+30,"Caduca pronto","OK"))))))</f>
        <v/>
      </c>
      <c r="T22" s="26" t="str">
        <f aca="false">IF(OR($A22="",T$4=""),"",IF(NOT(OR(T$6="Toda la plantilla",ISNUMBER(SEARCH(";"&amp;SUBSTITUTE($C22," ","")&amp;";",";"&amp;SUBSTITUTE(T$7," ","")&amp;";")))),"—",IF(_xlfn.MAXIFS(Acuses!$C$5:$C$3004,Acuses!$A$5:$A$3004,$A22,Acuses!$B$5:$B$3004,T$4)&lt;T$5,"Pendiente",IF(T$8=0,"OK",IF(EDATE(_xlfn.MAXIFS(Acuses!$D$5:$D$3004,Acuses!$A$5:$A$3004,$A22,Acuses!$B$5:$B$3004,T$4,Acuses!$C$5:$C$3004,T$5),T$8)&lt;Resumen!$C$4,"Caducado",IF(EDATE(_xlfn.MAXIFS(Acuses!$D$5:$D$3004,Acuses!$A$5:$A$3004,$A22,Acuses!$B$5:$B$3004,T$4,Acuses!$C$5:$C$3004,T$5),T$8)&lt;Resumen!$C$4+30,"Caduca pronto","OK"))))))</f>
        <v/>
      </c>
      <c r="U22" s="26" t="str">
        <f aca="false">IF(OR($A22="",U$4=""),"",IF(NOT(OR(U$6="Toda la plantilla",ISNUMBER(SEARCH(";"&amp;SUBSTITUTE($C22," ","")&amp;";",";"&amp;SUBSTITUTE(U$7," ","")&amp;";")))),"—",IF(_xlfn.MAXIFS(Acuses!$C$5:$C$3004,Acuses!$A$5:$A$3004,$A22,Acuses!$B$5:$B$3004,U$4)&lt;U$5,"Pendiente",IF(U$8=0,"OK",IF(EDATE(_xlfn.MAXIFS(Acuses!$D$5:$D$3004,Acuses!$A$5:$A$3004,$A22,Acuses!$B$5:$B$3004,U$4,Acuses!$C$5:$C$3004,U$5),U$8)&lt;Resumen!$C$4,"Caducado",IF(EDATE(_xlfn.MAXIFS(Acuses!$D$5:$D$3004,Acuses!$A$5:$A$3004,$A22,Acuses!$B$5:$B$3004,U$4,Acuses!$C$5:$C$3004,U$5),U$8)&lt;Resumen!$C$4+30,"Caduca pronto","OK"))))))</f>
        <v/>
      </c>
      <c r="V22" s="26" t="str">
        <f aca="false">IF(OR($A22="",V$4=""),"",IF(NOT(OR(V$6="Toda la plantilla",ISNUMBER(SEARCH(";"&amp;SUBSTITUTE($C22," ","")&amp;";",";"&amp;SUBSTITUTE(V$7," ","")&amp;";")))),"—",IF(_xlfn.MAXIFS(Acuses!$C$5:$C$3004,Acuses!$A$5:$A$3004,$A22,Acuses!$B$5:$B$3004,V$4)&lt;V$5,"Pendiente",IF(V$8=0,"OK",IF(EDATE(_xlfn.MAXIFS(Acuses!$D$5:$D$3004,Acuses!$A$5:$A$3004,$A22,Acuses!$B$5:$B$3004,V$4,Acuses!$C$5:$C$3004,V$5),V$8)&lt;Resumen!$C$4,"Caducado",IF(EDATE(_xlfn.MAXIFS(Acuses!$D$5:$D$3004,Acuses!$A$5:$A$3004,$A22,Acuses!$B$5:$B$3004,V$4,Acuses!$C$5:$C$3004,V$5),V$8)&lt;Resumen!$C$4+30,"Caduca pronto","OK"))))))</f>
        <v/>
      </c>
      <c r="W22" s="26" t="str">
        <f aca="false">IF(OR($A22="",W$4=""),"",IF(NOT(OR(W$6="Toda la plantilla",ISNUMBER(SEARCH(";"&amp;SUBSTITUTE($C22," ","")&amp;";",";"&amp;SUBSTITUTE(W$7," ","")&amp;";")))),"—",IF(_xlfn.MAXIFS(Acuses!$C$5:$C$3004,Acuses!$A$5:$A$3004,$A22,Acuses!$B$5:$B$3004,W$4)&lt;W$5,"Pendiente",IF(W$8=0,"OK",IF(EDATE(_xlfn.MAXIFS(Acuses!$D$5:$D$3004,Acuses!$A$5:$A$3004,$A22,Acuses!$B$5:$B$3004,W$4,Acuses!$C$5:$C$3004,W$5),W$8)&lt;Resumen!$C$4,"Caducado",IF(EDATE(_xlfn.MAXIFS(Acuses!$D$5:$D$3004,Acuses!$A$5:$A$3004,$A22,Acuses!$B$5:$B$3004,W$4,Acuses!$C$5:$C$3004,W$5),W$8)&lt;Resumen!$C$4+30,"Caduca pronto","OK"))))))</f>
        <v/>
      </c>
      <c r="X22" s="26" t="str">
        <f aca="false">IF(OR($A22="",X$4=""),"",IF(NOT(OR(X$6="Toda la plantilla",ISNUMBER(SEARCH(";"&amp;SUBSTITUTE($C22," ","")&amp;";",";"&amp;SUBSTITUTE(X$7," ","")&amp;";")))),"—",IF(_xlfn.MAXIFS(Acuses!$C$5:$C$3004,Acuses!$A$5:$A$3004,$A22,Acuses!$B$5:$B$3004,X$4)&lt;X$5,"Pendiente",IF(X$8=0,"OK",IF(EDATE(_xlfn.MAXIFS(Acuses!$D$5:$D$3004,Acuses!$A$5:$A$3004,$A22,Acuses!$B$5:$B$3004,X$4,Acuses!$C$5:$C$3004,X$5),X$8)&lt;Resumen!$C$4,"Caducado",IF(EDATE(_xlfn.MAXIFS(Acuses!$D$5:$D$3004,Acuses!$A$5:$A$3004,$A22,Acuses!$B$5:$B$3004,X$4,Acuses!$C$5:$C$3004,X$5),X$8)&lt;Resumen!$C$4+30,"Caduca pronto","OK"))))))</f>
        <v/>
      </c>
      <c r="Y22" s="26" t="str">
        <f aca="false">IF(OR($A22="",Y$4=""),"",IF(NOT(OR(Y$6="Toda la plantilla",ISNUMBER(SEARCH(";"&amp;SUBSTITUTE($C22," ","")&amp;";",";"&amp;SUBSTITUTE(Y$7," ","")&amp;";")))),"—",IF(_xlfn.MAXIFS(Acuses!$C$5:$C$3004,Acuses!$A$5:$A$3004,$A22,Acuses!$B$5:$B$3004,Y$4)&lt;Y$5,"Pendiente",IF(Y$8=0,"OK",IF(EDATE(_xlfn.MAXIFS(Acuses!$D$5:$D$3004,Acuses!$A$5:$A$3004,$A22,Acuses!$B$5:$B$3004,Y$4,Acuses!$C$5:$C$3004,Y$5),Y$8)&lt;Resumen!$C$4,"Caducado",IF(EDATE(_xlfn.MAXIFS(Acuses!$D$5:$D$3004,Acuses!$A$5:$A$3004,$A22,Acuses!$B$5:$B$3004,Y$4,Acuses!$C$5:$C$3004,Y$5),Y$8)&lt;Resumen!$C$4+30,"Caduca pronto","OK"))))))</f>
        <v/>
      </c>
      <c r="Z22" s="26" t="str">
        <f aca="false">IF(OR($A22="",Z$4=""),"",IF(NOT(OR(Z$6="Toda la plantilla",ISNUMBER(SEARCH(";"&amp;SUBSTITUTE($C22," ","")&amp;";",";"&amp;SUBSTITUTE(Z$7," ","")&amp;";")))),"—",IF(_xlfn.MAXIFS(Acuses!$C$5:$C$3004,Acuses!$A$5:$A$3004,$A22,Acuses!$B$5:$B$3004,Z$4)&lt;Z$5,"Pendiente",IF(Z$8=0,"OK",IF(EDATE(_xlfn.MAXIFS(Acuses!$D$5:$D$3004,Acuses!$A$5:$A$3004,$A22,Acuses!$B$5:$B$3004,Z$4,Acuses!$C$5:$C$3004,Z$5),Z$8)&lt;Resumen!$C$4,"Caducado",IF(EDATE(_xlfn.MAXIFS(Acuses!$D$5:$D$3004,Acuses!$A$5:$A$3004,$A22,Acuses!$B$5:$B$3004,Z$4,Acuses!$C$5:$C$3004,Z$5),Z$8)&lt;Resumen!$C$4+30,"Caduca pronto","OK"))))))</f>
        <v/>
      </c>
      <c r="AA22" s="26" t="str">
        <f aca="false">IF(OR($A22="",AA$4=""),"",IF(NOT(OR(AA$6="Toda la plantilla",ISNUMBER(SEARCH(";"&amp;SUBSTITUTE($C22," ","")&amp;";",";"&amp;SUBSTITUTE(AA$7," ","")&amp;";")))),"—",IF(_xlfn.MAXIFS(Acuses!$C$5:$C$3004,Acuses!$A$5:$A$3004,$A22,Acuses!$B$5:$B$3004,AA$4)&lt;AA$5,"Pendiente",IF(AA$8=0,"OK",IF(EDATE(_xlfn.MAXIFS(Acuses!$D$5:$D$3004,Acuses!$A$5:$A$3004,$A22,Acuses!$B$5:$B$3004,AA$4,Acuses!$C$5:$C$3004,AA$5),AA$8)&lt;Resumen!$C$4,"Caducado",IF(EDATE(_xlfn.MAXIFS(Acuses!$D$5:$D$3004,Acuses!$A$5:$A$3004,$A22,Acuses!$B$5:$B$3004,AA$4,Acuses!$C$5:$C$3004,AA$5),AA$8)&lt;Resumen!$C$4+30,"Caduca pronto","OK"))))))</f>
        <v/>
      </c>
      <c r="AB22" s="26" t="str">
        <f aca="false">IF(OR($A22="",AB$4=""),"",IF(NOT(OR(AB$6="Toda la plantilla",ISNUMBER(SEARCH(";"&amp;SUBSTITUTE($C22," ","")&amp;";",";"&amp;SUBSTITUTE(AB$7," ","")&amp;";")))),"—",IF(_xlfn.MAXIFS(Acuses!$C$5:$C$3004,Acuses!$A$5:$A$3004,$A22,Acuses!$B$5:$B$3004,AB$4)&lt;AB$5,"Pendiente",IF(AB$8=0,"OK",IF(EDATE(_xlfn.MAXIFS(Acuses!$D$5:$D$3004,Acuses!$A$5:$A$3004,$A22,Acuses!$B$5:$B$3004,AB$4,Acuses!$C$5:$C$3004,AB$5),AB$8)&lt;Resumen!$C$4,"Caducado",IF(EDATE(_xlfn.MAXIFS(Acuses!$D$5:$D$3004,Acuses!$A$5:$A$3004,$A22,Acuses!$B$5:$B$3004,AB$4,Acuses!$C$5:$C$3004,AB$5),AB$8)&lt;Resumen!$C$4+30,"Caduca pronto","OK"))))))</f>
        <v/>
      </c>
      <c r="AC22" s="26" t="str">
        <f aca="false">IF(OR($A22="",AC$4=""),"",IF(NOT(OR(AC$6="Toda la plantilla",ISNUMBER(SEARCH(";"&amp;SUBSTITUTE($C22," ","")&amp;";",";"&amp;SUBSTITUTE(AC$7," ","")&amp;";")))),"—",IF(_xlfn.MAXIFS(Acuses!$C$5:$C$3004,Acuses!$A$5:$A$3004,$A22,Acuses!$B$5:$B$3004,AC$4)&lt;AC$5,"Pendiente",IF(AC$8=0,"OK",IF(EDATE(_xlfn.MAXIFS(Acuses!$D$5:$D$3004,Acuses!$A$5:$A$3004,$A22,Acuses!$B$5:$B$3004,AC$4,Acuses!$C$5:$C$3004,AC$5),AC$8)&lt;Resumen!$C$4,"Caducado",IF(EDATE(_xlfn.MAXIFS(Acuses!$D$5:$D$3004,Acuses!$A$5:$A$3004,$A22,Acuses!$B$5:$B$3004,AC$4,Acuses!$C$5:$C$3004,AC$5),AC$8)&lt;Resumen!$C$4+30,"Caduca pronto","OK"))))))</f>
        <v/>
      </c>
      <c r="AD22" s="26" t="str">
        <f aca="false">IF(OR($A22="",AD$4=""),"",IF(NOT(OR(AD$6="Toda la plantilla",ISNUMBER(SEARCH(";"&amp;SUBSTITUTE($C22," ","")&amp;";",";"&amp;SUBSTITUTE(AD$7," ","")&amp;";")))),"—",IF(_xlfn.MAXIFS(Acuses!$C$5:$C$3004,Acuses!$A$5:$A$3004,$A22,Acuses!$B$5:$B$3004,AD$4)&lt;AD$5,"Pendiente",IF(AD$8=0,"OK",IF(EDATE(_xlfn.MAXIFS(Acuses!$D$5:$D$3004,Acuses!$A$5:$A$3004,$A22,Acuses!$B$5:$B$3004,AD$4,Acuses!$C$5:$C$3004,AD$5),AD$8)&lt;Resumen!$C$4,"Caducado",IF(EDATE(_xlfn.MAXIFS(Acuses!$D$5:$D$3004,Acuses!$A$5:$A$3004,$A22,Acuses!$B$5:$B$3004,AD$4,Acuses!$C$5:$C$3004,AD$5),AD$8)&lt;Resumen!$C$4+30,"Caduca pronto","OK"))))))</f>
        <v/>
      </c>
      <c r="AE22" s="26" t="str">
        <f aca="false">IF(OR($A22="",AE$4=""),"",IF(NOT(OR(AE$6="Toda la plantilla",ISNUMBER(SEARCH(";"&amp;SUBSTITUTE($C22," ","")&amp;";",";"&amp;SUBSTITUTE(AE$7," ","")&amp;";")))),"—",IF(_xlfn.MAXIFS(Acuses!$C$5:$C$3004,Acuses!$A$5:$A$3004,$A22,Acuses!$B$5:$B$3004,AE$4)&lt;AE$5,"Pendiente",IF(AE$8=0,"OK",IF(EDATE(_xlfn.MAXIFS(Acuses!$D$5:$D$3004,Acuses!$A$5:$A$3004,$A22,Acuses!$B$5:$B$3004,AE$4,Acuses!$C$5:$C$3004,AE$5),AE$8)&lt;Resumen!$C$4,"Caducado",IF(EDATE(_xlfn.MAXIFS(Acuses!$D$5:$D$3004,Acuses!$A$5:$A$3004,$A22,Acuses!$B$5:$B$3004,AE$4,Acuses!$C$5:$C$3004,AE$5),AE$8)&lt;Resumen!$C$4+30,"Caduca pronto","OK"))))))</f>
        <v/>
      </c>
      <c r="AF22" s="26" t="str">
        <f aca="false">IF(OR($A22="",AF$4=""),"",IF(NOT(OR(AF$6="Toda la plantilla",ISNUMBER(SEARCH(";"&amp;SUBSTITUTE($C22," ","")&amp;";",";"&amp;SUBSTITUTE(AF$7," ","")&amp;";")))),"—",IF(_xlfn.MAXIFS(Acuses!$C$5:$C$3004,Acuses!$A$5:$A$3004,$A22,Acuses!$B$5:$B$3004,AF$4)&lt;AF$5,"Pendiente",IF(AF$8=0,"OK",IF(EDATE(_xlfn.MAXIFS(Acuses!$D$5:$D$3004,Acuses!$A$5:$A$3004,$A22,Acuses!$B$5:$B$3004,AF$4,Acuses!$C$5:$C$3004,AF$5),AF$8)&lt;Resumen!$C$4,"Caducado",IF(EDATE(_xlfn.MAXIFS(Acuses!$D$5:$D$3004,Acuses!$A$5:$A$3004,$A22,Acuses!$B$5:$B$3004,AF$4,Acuses!$C$5:$C$3004,AF$5),AF$8)&lt;Resumen!$C$4+30,"Caduca pronto","OK"))))))</f>
        <v/>
      </c>
      <c r="AG22" s="26" t="str">
        <f aca="false">IF(OR($A22="",AG$4=""),"",IF(NOT(OR(AG$6="Toda la plantilla",ISNUMBER(SEARCH(";"&amp;SUBSTITUTE($C22," ","")&amp;";",";"&amp;SUBSTITUTE(AG$7," ","")&amp;";")))),"—",IF(_xlfn.MAXIFS(Acuses!$C$5:$C$3004,Acuses!$A$5:$A$3004,$A22,Acuses!$B$5:$B$3004,AG$4)&lt;AG$5,"Pendiente",IF(AG$8=0,"OK",IF(EDATE(_xlfn.MAXIFS(Acuses!$D$5:$D$3004,Acuses!$A$5:$A$3004,$A22,Acuses!$B$5:$B$3004,AG$4,Acuses!$C$5:$C$3004,AG$5),AG$8)&lt;Resumen!$C$4,"Caducado",IF(EDATE(_xlfn.MAXIFS(Acuses!$D$5:$D$3004,Acuses!$A$5:$A$3004,$A22,Acuses!$B$5:$B$3004,AG$4,Acuses!$C$5:$C$3004,AG$5),AG$8)&lt;Resumen!$C$4+30,"Caduca pronto","OK"))))))</f>
        <v/>
      </c>
      <c r="AH22" s="26" t="str">
        <f aca="false">IF(OR($A22="",AH$4=""),"",IF(NOT(OR(AH$6="Toda la plantilla",ISNUMBER(SEARCH(";"&amp;SUBSTITUTE($C22," ","")&amp;";",";"&amp;SUBSTITUTE(AH$7," ","")&amp;";")))),"—",IF(_xlfn.MAXIFS(Acuses!$C$5:$C$3004,Acuses!$A$5:$A$3004,$A22,Acuses!$B$5:$B$3004,AH$4)&lt;AH$5,"Pendiente",IF(AH$8=0,"OK",IF(EDATE(_xlfn.MAXIFS(Acuses!$D$5:$D$3004,Acuses!$A$5:$A$3004,$A22,Acuses!$B$5:$B$3004,AH$4,Acuses!$C$5:$C$3004,AH$5),AH$8)&lt;Resumen!$C$4,"Caducado",IF(EDATE(_xlfn.MAXIFS(Acuses!$D$5:$D$3004,Acuses!$A$5:$A$3004,$A22,Acuses!$B$5:$B$3004,AH$4,Acuses!$C$5:$C$3004,AH$5),AH$8)&lt;Resumen!$C$4+30,"Caduca pronto","OK"))))))</f>
        <v/>
      </c>
      <c r="AI22" s="26" t="str">
        <f aca="false">IF(OR($A22="",AI$4=""),"",IF(NOT(OR(AI$6="Toda la plantilla",ISNUMBER(SEARCH(";"&amp;SUBSTITUTE($C22," ","")&amp;";",";"&amp;SUBSTITUTE(AI$7," ","")&amp;";")))),"—",IF(_xlfn.MAXIFS(Acuses!$C$5:$C$3004,Acuses!$A$5:$A$3004,$A22,Acuses!$B$5:$B$3004,AI$4)&lt;AI$5,"Pendiente",IF(AI$8=0,"OK",IF(EDATE(_xlfn.MAXIFS(Acuses!$D$5:$D$3004,Acuses!$A$5:$A$3004,$A22,Acuses!$B$5:$B$3004,AI$4,Acuses!$C$5:$C$3004,AI$5),AI$8)&lt;Resumen!$C$4,"Caducado",IF(EDATE(_xlfn.MAXIFS(Acuses!$D$5:$D$3004,Acuses!$A$5:$A$3004,$A22,Acuses!$B$5:$B$3004,AI$4,Acuses!$C$5:$C$3004,AI$5),AI$8)&lt;Resumen!$C$4+30,"Caduca pronto","OK"))))))</f>
        <v/>
      </c>
      <c r="AJ22" s="26" t="str">
        <f aca="false">IF(OR($A22="",AJ$4=""),"",IF(NOT(OR(AJ$6="Toda la plantilla",ISNUMBER(SEARCH(";"&amp;SUBSTITUTE($C22," ","")&amp;";",";"&amp;SUBSTITUTE(AJ$7," ","")&amp;";")))),"—",IF(_xlfn.MAXIFS(Acuses!$C$5:$C$3004,Acuses!$A$5:$A$3004,$A22,Acuses!$B$5:$B$3004,AJ$4)&lt;AJ$5,"Pendiente",IF(AJ$8=0,"OK",IF(EDATE(_xlfn.MAXIFS(Acuses!$D$5:$D$3004,Acuses!$A$5:$A$3004,$A22,Acuses!$B$5:$B$3004,AJ$4,Acuses!$C$5:$C$3004,AJ$5),AJ$8)&lt;Resumen!$C$4,"Caducado",IF(EDATE(_xlfn.MAXIFS(Acuses!$D$5:$D$3004,Acuses!$A$5:$A$3004,$A22,Acuses!$B$5:$B$3004,AJ$4,Acuses!$C$5:$C$3004,AJ$5),AJ$8)&lt;Resumen!$C$4+30,"Caduca pronto","OK"))))))</f>
        <v/>
      </c>
      <c r="AK22" s="26" t="str">
        <f aca="false">IF(OR($A22="",AK$4=""),"",IF(NOT(OR(AK$6="Toda la plantilla",ISNUMBER(SEARCH(";"&amp;SUBSTITUTE($C22," ","")&amp;";",";"&amp;SUBSTITUTE(AK$7," ","")&amp;";")))),"—",IF(_xlfn.MAXIFS(Acuses!$C$5:$C$3004,Acuses!$A$5:$A$3004,$A22,Acuses!$B$5:$B$3004,AK$4)&lt;AK$5,"Pendiente",IF(AK$8=0,"OK",IF(EDATE(_xlfn.MAXIFS(Acuses!$D$5:$D$3004,Acuses!$A$5:$A$3004,$A22,Acuses!$B$5:$B$3004,AK$4,Acuses!$C$5:$C$3004,AK$5),AK$8)&lt;Resumen!$C$4,"Caducado",IF(EDATE(_xlfn.MAXIFS(Acuses!$D$5:$D$3004,Acuses!$A$5:$A$3004,$A22,Acuses!$B$5:$B$3004,AK$4,Acuses!$C$5:$C$3004,AK$5),AK$8)&lt;Resumen!$C$4+30,"Caduca pronto","OK"))))))</f>
        <v/>
      </c>
      <c r="AL22" s="26" t="str">
        <f aca="false">IF(OR($A22="",AL$4=""),"",IF(NOT(OR(AL$6="Toda la plantilla",ISNUMBER(SEARCH(";"&amp;SUBSTITUTE($C22," ","")&amp;";",";"&amp;SUBSTITUTE(AL$7," ","")&amp;";")))),"—",IF(_xlfn.MAXIFS(Acuses!$C$5:$C$3004,Acuses!$A$5:$A$3004,$A22,Acuses!$B$5:$B$3004,AL$4)&lt;AL$5,"Pendiente",IF(AL$8=0,"OK",IF(EDATE(_xlfn.MAXIFS(Acuses!$D$5:$D$3004,Acuses!$A$5:$A$3004,$A22,Acuses!$B$5:$B$3004,AL$4,Acuses!$C$5:$C$3004,AL$5),AL$8)&lt;Resumen!$C$4,"Caducado",IF(EDATE(_xlfn.MAXIFS(Acuses!$D$5:$D$3004,Acuses!$A$5:$A$3004,$A22,Acuses!$B$5:$B$3004,AL$4,Acuses!$C$5:$C$3004,AL$5),AL$8)&lt;Resumen!$C$4+30,"Caduca pronto","OK"))))))</f>
        <v/>
      </c>
      <c r="AM22" s="26" t="str">
        <f aca="false">IF(OR($A22="",AM$4=""),"",IF(NOT(OR(AM$6="Toda la plantilla",ISNUMBER(SEARCH(";"&amp;SUBSTITUTE($C22," ","")&amp;";",";"&amp;SUBSTITUTE(AM$7," ","")&amp;";")))),"—",IF(_xlfn.MAXIFS(Acuses!$C$5:$C$3004,Acuses!$A$5:$A$3004,$A22,Acuses!$B$5:$B$3004,AM$4)&lt;AM$5,"Pendiente",IF(AM$8=0,"OK",IF(EDATE(_xlfn.MAXIFS(Acuses!$D$5:$D$3004,Acuses!$A$5:$A$3004,$A22,Acuses!$B$5:$B$3004,AM$4,Acuses!$C$5:$C$3004,AM$5),AM$8)&lt;Resumen!$C$4,"Caducado",IF(EDATE(_xlfn.MAXIFS(Acuses!$D$5:$D$3004,Acuses!$A$5:$A$3004,$A22,Acuses!$B$5:$B$3004,AM$4,Acuses!$C$5:$C$3004,AM$5),AM$8)&lt;Resumen!$C$4+30,"Caduca pronto","OK"))))))</f>
        <v/>
      </c>
      <c r="AN22" s="26" t="str">
        <f aca="false">IF(OR($A22="",AN$4=""),"",IF(NOT(OR(AN$6="Toda la plantilla",ISNUMBER(SEARCH(";"&amp;SUBSTITUTE($C22," ","")&amp;";",";"&amp;SUBSTITUTE(AN$7," ","")&amp;";")))),"—",IF(_xlfn.MAXIFS(Acuses!$C$5:$C$3004,Acuses!$A$5:$A$3004,$A22,Acuses!$B$5:$B$3004,AN$4)&lt;AN$5,"Pendiente",IF(AN$8=0,"OK",IF(EDATE(_xlfn.MAXIFS(Acuses!$D$5:$D$3004,Acuses!$A$5:$A$3004,$A22,Acuses!$B$5:$B$3004,AN$4,Acuses!$C$5:$C$3004,AN$5),AN$8)&lt;Resumen!$C$4,"Caducado",IF(EDATE(_xlfn.MAXIFS(Acuses!$D$5:$D$3004,Acuses!$A$5:$A$3004,$A22,Acuses!$B$5:$B$3004,AN$4,Acuses!$C$5:$C$3004,AN$5),AN$8)&lt;Resumen!$C$4+30,"Caduca pronto","OK"))))))</f>
        <v/>
      </c>
      <c r="AO22" s="26" t="str">
        <f aca="false">IF(OR($A22="",AO$4=""),"",IF(NOT(OR(AO$6="Toda la plantilla",ISNUMBER(SEARCH(";"&amp;SUBSTITUTE($C22," ","")&amp;";",";"&amp;SUBSTITUTE(AO$7," ","")&amp;";")))),"—",IF(_xlfn.MAXIFS(Acuses!$C$5:$C$3004,Acuses!$A$5:$A$3004,$A22,Acuses!$B$5:$B$3004,AO$4)&lt;AO$5,"Pendiente",IF(AO$8=0,"OK",IF(EDATE(_xlfn.MAXIFS(Acuses!$D$5:$D$3004,Acuses!$A$5:$A$3004,$A22,Acuses!$B$5:$B$3004,AO$4,Acuses!$C$5:$C$3004,AO$5),AO$8)&lt;Resumen!$C$4,"Caducado",IF(EDATE(_xlfn.MAXIFS(Acuses!$D$5:$D$3004,Acuses!$A$5:$A$3004,$A22,Acuses!$B$5:$B$3004,AO$4,Acuses!$C$5:$C$3004,AO$5),AO$8)&lt;Resumen!$C$4+30,"Caduca pronto","OK"))))))</f>
        <v/>
      </c>
      <c r="AP22" s="26" t="str">
        <f aca="false">IF(OR($A22="",AP$4=""),"",IF(NOT(OR(AP$6="Toda la plantilla",ISNUMBER(SEARCH(";"&amp;SUBSTITUTE($C22," ","")&amp;";",";"&amp;SUBSTITUTE(AP$7," ","")&amp;";")))),"—",IF(_xlfn.MAXIFS(Acuses!$C$5:$C$3004,Acuses!$A$5:$A$3004,$A22,Acuses!$B$5:$B$3004,AP$4)&lt;AP$5,"Pendiente",IF(AP$8=0,"OK",IF(EDATE(_xlfn.MAXIFS(Acuses!$D$5:$D$3004,Acuses!$A$5:$A$3004,$A22,Acuses!$B$5:$B$3004,AP$4,Acuses!$C$5:$C$3004,AP$5),AP$8)&lt;Resumen!$C$4,"Caducado",IF(EDATE(_xlfn.MAXIFS(Acuses!$D$5:$D$3004,Acuses!$A$5:$A$3004,$A22,Acuses!$B$5:$B$3004,AP$4,Acuses!$C$5:$C$3004,AP$5),AP$8)&lt;Resumen!$C$4+30,"Caduca pronto","OK"))))))</f>
        <v/>
      </c>
      <c r="AQ22" s="26" t="str">
        <f aca="false">IF(OR($A22="",AQ$4=""),"",IF(NOT(OR(AQ$6="Toda la plantilla",ISNUMBER(SEARCH(";"&amp;SUBSTITUTE($C22," ","")&amp;";",";"&amp;SUBSTITUTE(AQ$7," ","")&amp;";")))),"—",IF(_xlfn.MAXIFS(Acuses!$C$5:$C$3004,Acuses!$A$5:$A$3004,$A22,Acuses!$B$5:$B$3004,AQ$4)&lt;AQ$5,"Pendiente",IF(AQ$8=0,"OK",IF(EDATE(_xlfn.MAXIFS(Acuses!$D$5:$D$3004,Acuses!$A$5:$A$3004,$A22,Acuses!$B$5:$B$3004,AQ$4,Acuses!$C$5:$C$3004,AQ$5),AQ$8)&lt;Resumen!$C$4,"Caducado",IF(EDATE(_xlfn.MAXIFS(Acuses!$D$5:$D$3004,Acuses!$A$5:$A$3004,$A22,Acuses!$B$5:$B$3004,AQ$4,Acuses!$C$5:$C$3004,AQ$5),AQ$8)&lt;Resumen!$C$4+30,"Caduca pronto","OK"))))))</f>
        <v/>
      </c>
    </row>
    <row r="23" customFormat="false" ht="15" hidden="false" customHeight="false" outlineLevel="0" collapsed="false">
      <c r="A23" s="25" t="str">
        <f aca="false">IF(AND(Trabajadores!$A$18&lt;&gt;"",Trabajadores!$G$18&lt;&gt;"No"),Trabajadores!$A$18,"")</f>
        <v/>
      </c>
      <c r="B23" s="25" t="str">
        <f aca="false">IF($A23="","",Trabajadores!$B$18)</f>
        <v/>
      </c>
      <c r="C23" s="25" t="str">
        <f aca="false">IF($A23="","",Trabajadores!$C$18)</f>
        <v/>
      </c>
      <c r="D23" s="26" t="str">
        <f aca="false">IF(OR($A23="",D$4=""),"",IF(NOT(OR(D$6="Toda la plantilla",ISNUMBER(SEARCH(";"&amp;SUBSTITUTE($C23," ","")&amp;";",";"&amp;SUBSTITUTE(D$7," ","")&amp;";")))),"—",IF(_xlfn.MAXIFS(Acuses!$C$5:$C$3004,Acuses!$A$5:$A$3004,$A23,Acuses!$B$5:$B$3004,D$4)&lt;D$5,"Pendiente",IF(D$8=0,"OK",IF(EDATE(_xlfn.MAXIFS(Acuses!$D$5:$D$3004,Acuses!$A$5:$A$3004,$A23,Acuses!$B$5:$B$3004,D$4,Acuses!$C$5:$C$3004,D$5),D$8)&lt;Resumen!$C$4,"Caducado",IF(EDATE(_xlfn.MAXIFS(Acuses!$D$5:$D$3004,Acuses!$A$5:$A$3004,$A23,Acuses!$B$5:$B$3004,D$4,Acuses!$C$5:$C$3004,D$5),D$8)&lt;Resumen!$C$4+30,"Caduca pronto","OK"))))))</f>
        <v/>
      </c>
      <c r="E23" s="26" t="str">
        <f aca="false">IF(OR($A23="",E$4=""),"",IF(NOT(OR(E$6="Toda la plantilla",ISNUMBER(SEARCH(";"&amp;SUBSTITUTE($C23," ","")&amp;";",";"&amp;SUBSTITUTE(E$7," ","")&amp;";")))),"—",IF(_xlfn.MAXIFS(Acuses!$C$5:$C$3004,Acuses!$A$5:$A$3004,$A23,Acuses!$B$5:$B$3004,E$4)&lt;E$5,"Pendiente",IF(E$8=0,"OK",IF(EDATE(_xlfn.MAXIFS(Acuses!$D$5:$D$3004,Acuses!$A$5:$A$3004,$A23,Acuses!$B$5:$B$3004,E$4,Acuses!$C$5:$C$3004,E$5),E$8)&lt;Resumen!$C$4,"Caducado",IF(EDATE(_xlfn.MAXIFS(Acuses!$D$5:$D$3004,Acuses!$A$5:$A$3004,$A23,Acuses!$B$5:$B$3004,E$4,Acuses!$C$5:$C$3004,E$5),E$8)&lt;Resumen!$C$4+30,"Caduca pronto","OK"))))))</f>
        <v/>
      </c>
      <c r="F23" s="26" t="str">
        <f aca="false">IF(OR($A23="",F$4=""),"",IF(NOT(OR(F$6="Toda la plantilla",ISNUMBER(SEARCH(";"&amp;SUBSTITUTE($C23," ","")&amp;";",";"&amp;SUBSTITUTE(F$7," ","")&amp;";")))),"—",IF(_xlfn.MAXIFS(Acuses!$C$5:$C$3004,Acuses!$A$5:$A$3004,$A23,Acuses!$B$5:$B$3004,F$4)&lt;F$5,"Pendiente",IF(F$8=0,"OK",IF(EDATE(_xlfn.MAXIFS(Acuses!$D$5:$D$3004,Acuses!$A$5:$A$3004,$A23,Acuses!$B$5:$B$3004,F$4,Acuses!$C$5:$C$3004,F$5),F$8)&lt;Resumen!$C$4,"Caducado",IF(EDATE(_xlfn.MAXIFS(Acuses!$D$5:$D$3004,Acuses!$A$5:$A$3004,$A23,Acuses!$B$5:$B$3004,F$4,Acuses!$C$5:$C$3004,F$5),F$8)&lt;Resumen!$C$4+30,"Caduca pronto","OK"))))))</f>
        <v/>
      </c>
      <c r="G23" s="26" t="str">
        <f aca="false">IF(OR($A23="",G$4=""),"",IF(NOT(OR(G$6="Toda la plantilla",ISNUMBER(SEARCH(";"&amp;SUBSTITUTE($C23," ","")&amp;";",";"&amp;SUBSTITUTE(G$7," ","")&amp;";")))),"—",IF(_xlfn.MAXIFS(Acuses!$C$5:$C$3004,Acuses!$A$5:$A$3004,$A23,Acuses!$B$5:$B$3004,G$4)&lt;G$5,"Pendiente",IF(G$8=0,"OK",IF(EDATE(_xlfn.MAXIFS(Acuses!$D$5:$D$3004,Acuses!$A$5:$A$3004,$A23,Acuses!$B$5:$B$3004,G$4,Acuses!$C$5:$C$3004,G$5),G$8)&lt;Resumen!$C$4,"Caducado",IF(EDATE(_xlfn.MAXIFS(Acuses!$D$5:$D$3004,Acuses!$A$5:$A$3004,$A23,Acuses!$B$5:$B$3004,G$4,Acuses!$C$5:$C$3004,G$5),G$8)&lt;Resumen!$C$4+30,"Caduca pronto","OK"))))))</f>
        <v/>
      </c>
      <c r="H23" s="26" t="str">
        <f aca="false">IF(OR($A23="",H$4=""),"",IF(NOT(OR(H$6="Toda la plantilla",ISNUMBER(SEARCH(";"&amp;SUBSTITUTE($C23," ","")&amp;";",";"&amp;SUBSTITUTE(H$7," ","")&amp;";")))),"—",IF(_xlfn.MAXIFS(Acuses!$C$5:$C$3004,Acuses!$A$5:$A$3004,$A23,Acuses!$B$5:$B$3004,H$4)&lt;H$5,"Pendiente",IF(H$8=0,"OK",IF(EDATE(_xlfn.MAXIFS(Acuses!$D$5:$D$3004,Acuses!$A$5:$A$3004,$A23,Acuses!$B$5:$B$3004,H$4,Acuses!$C$5:$C$3004,H$5),H$8)&lt;Resumen!$C$4,"Caducado",IF(EDATE(_xlfn.MAXIFS(Acuses!$D$5:$D$3004,Acuses!$A$5:$A$3004,$A23,Acuses!$B$5:$B$3004,H$4,Acuses!$C$5:$C$3004,H$5),H$8)&lt;Resumen!$C$4+30,"Caduca pronto","OK"))))))</f>
        <v/>
      </c>
      <c r="I23" s="26" t="str">
        <f aca="false">IF(OR($A23="",I$4=""),"",IF(NOT(OR(I$6="Toda la plantilla",ISNUMBER(SEARCH(";"&amp;SUBSTITUTE($C23," ","")&amp;";",";"&amp;SUBSTITUTE(I$7," ","")&amp;";")))),"—",IF(_xlfn.MAXIFS(Acuses!$C$5:$C$3004,Acuses!$A$5:$A$3004,$A23,Acuses!$B$5:$B$3004,I$4)&lt;I$5,"Pendiente",IF(I$8=0,"OK",IF(EDATE(_xlfn.MAXIFS(Acuses!$D$5:$D$3004,Acuses!$A$5:$A$3004,$A23,Acuses!$B$5:$B$3004,I$4,Acuses!$C$5:$C$3004,I$5),I$8)&lt;Resumen!$C$4,"Caducado",IF(EDATE(_xlfn.MAXIFS(Acuses!$D$5:$D$3004,Acuses!$A$5:$A$3004,$A23,Acuses!$B$5:$B$3004,I$4,Acuses!$C$5:$C$3004,I$5),I$8)&lt;Resumen!$C$4+30,"Caduca pronto","OK"))))))</f>
        <v/>
      </c>
      <c r="J23" s="26" t="str">
        <f aca="false">IF(OR($A23="",J$4=""),"",IF(NOT(OR(J$6="Toda la plantilla",ISNUMBER(SEARCH(";"&amp;SUBSTITUTE($C23," ","")&amp;";",";"&amp;SUBSTITUTE(J$7," ","")&amp;";")))),"—",IF(_xlfn.MAXIFS(Acuses!$C$5:$C$3004,Acuses!$A$5:$A$3004,$A23,Acuses!$B$5:$B$3004,J$4)&lt;J$5,"Pendiente",IF(J$8=0,"OK",IF(EDATE(_xlfn.MAXIFS(Acuses!$D$5:$D$3004,Acuses!$A$5:$A$3004,$A23,Acuses!$B$5:$B$3004,J$4,Acuses!$C$5:$C$3004,J$5),J$8)&lt;Resumen!$C$4,"Caducado",IF(EDATE(_xlfn.MAXIFS(Acuses!$D$5:$D$3004,Acuses!$A$5:$A$3004,$A23,Acuses!$B$5:$B$3004,J$4,Acuses!$C$5:$C$3004,J$5),J$8)&lt;Resumen!$C$4+30,"Caduca pronto","OK"))))))</f>
        <v/>
      </c>
      <c r="K23" s="26" t="str">
        <f aca="false">IF(OR($A23="",K$4=""),"",IF(NOT(OR(K$6="Toda la plantilla",ISNUMBER(SEARCH(";"&amp;SUBSTITUTE($C23," ","")&amp;";",";"&amp;SUBSTITUTE(K$7," ","")&amp;";")))),"—",IF(_xlfn.MAXIFS(Acuses!$C$5:$C$3004,Acuses!$A$5:$A$3004,$A23,Acuses!$B$5:$B$3004,K$4)&lt;K$5,"Pendiente",IF(K$8=0,"OK",IF(EDATE(_xlfn.MAXIFS(Acuses!$D$5:$D$3004,Acuses!$A$5:$A$3004,$A23,Acuses!$B$5:$B$3004,K$4,Acuses!$C$5:$C$3004,K$5),K$8)&lt;Resumen!$C$4,"Caducado",IF(EDATE(_xlfn.MAXIFS(Acuses!$D$5:$D$3004,Acuses!$A$5:$A$3004,$A23,Acuses!$B$5:$B$3004,K$4,Acuses!$C$5:$C$3004,K$5),K$8)&lt;Resumen!$C$4+30,"Caduca pronto","OK"))))))</f>
        <v/>
      </c>
      <c r="L23" s="26" t="str">
        <f aca="false">IF(OR($A23="",L$4=""),"",IF(NOT(OR(L$6="Toda la plantilla",ISNUMBER(SEARCH(";"&amp;SUBSTITUTE($C23," ","")&amp;";",";"&amp;SUBSTITUTE(L$7," ","")&amp;";")))),"—",IF(_xlfn.MAXIFS(Acuses!$C$5:$C$3004,Acuses!$A$5:$A$3004,$A23,Acuses!$B$5:$B$3004,L$4)&lt;L$5,"Pendiente",IF(L$8=0,"OK",IF(EDATE(_xlfn.MAXIFS(Acuses!$D$5:$D$3004,Acuses!$A$5:$A$3004,$A23,Acuses!$B$5:$B$3004,L$4,Acuses!$C$5:$C$3004,L$5),L$8)&lt;Resumen!$C$4,"Caducado",IF(EDATE(_xlfn.MAXIFS(Acuses!$D$5:$D$3004,Acuses!$A$5:$A$3004,$A23,Acuses!$B$5:$B$3004,L$4,Acuses!$C$5:$C$3004,L$5),L$8)&lt;Resumen!$C$4+30,"Caduca pronto","OK"))))))</f>
        <v/>
      </c>
      <c r="M23" s="26" t="str">
        <f aca="false">IF(OR($A23="",M$4=""),"",IF(NOT(OR(M$6="Toda la plantilla",ISNUMBER(SEARCH(";"&amp;SUBSTITUTE($C23," ","")&amp;";",";"&amp;SUBSTITUTE(M$7," ","")&amp;";")))),"—",IF(_xlfn.MAXIFS(Acuses!$C$5:$C$3004,Acuses!$A$5:$A$3004,$A23,Acuses!$B$5:$B$3004,M$4)&lt;M$5,"Pendiente",IF(M$8=0,"OK",IF(EDATE(_xlfn.MAXIFS(Acuses!$D$5:$D$3004,Acuses!$A$5:$A$3004,$A23,Acuses!$B$5:$B$3004,M$4,Acuses!$C$5:$C$3004,M$5),M$8)&lt;Resumen!$C$4,"Caducado",IF(EDATE(_xlfn.MAXIFS(Acuses!$D$5:$D$3004,Acuses!$A$5:$A$3004,$A23,Acuses!$B$5:$B$3004,M$4,Acuses!$C$5:$C$3004,M$5),M$8)&lt;Resumen!$C$4+30,"Caduca pronto","OK"))))))</f>
        <v/>
      </c>
      <c r="N23" s="26" t="str">
        <f aca="false">IF(OR($A23="",N$4=""),"",IF(NOT(OR(N$6="Toda la plantilla",ISNUMBER(SEARCH(";"&amp;SUBSTITUTE($C23," ","")&amp;";",";"&amp;SUBSTITUTE(N$7," ","")&amp;";")))),"—",IF(_xlfn.MAXIFS(Acuses!$C$5:$C$3004,Acuses!$A$5:$A$3004,$A23,Acuses!$B$5:$B$3004,N$4)&lt;N$5,"Pendiente",IF(N$8=0,"OK",IF(EDATE(_xlfn.MAXIFS(Acuses!$D$5:$D$3004,Acuses!$A$5:$A$3004,$A23,Acuses!$B$5:$B$3004,N$4,Acuses!$C$5:$C$3004,N$5),N$8)&lt;Resumen!$C$4,"Caducado",IF(EDATE(_xlfn.MAXIFS(Acuses!$D$5:$D$3004,Acuses!$A$5:$A$3004,$A23,Acuses!$B$5:$B$3004,N$4,Acuses!$C$5:$C$3004,N$5),N$8)&lt;Resumen!$C$4+30,"Caduca pronto","OK"))))))</f>
        <v/>
      </c>
      <c r="O23" s="26" t="str">
        <f aca="false">IF(OR($A23="",O$4=""),"",IF(NOT(OR(O$6="Toda la plantilla",ISNUMBER(SEARCH(";"&amp;SUBSTITUTE($C23," ","")&amp;";",";"&amp;SUBSTITUTE(O$7," ","")&amp;";")))),"—",IF(_xlfn.MAXIFS(Acuses!$C$5:$C$3004,Acuses!$A$5:$A$3004,$A23,Acuses!$B$5:$B$3004,O$4)&lt;O$5,"Pendiente",IF(O$8=0,"OK",IF(EDATE(_xlfn.MAXIFS(Acuses!$D$5:$D$3004,Acuses!$A$5:$A$3004,$A23,Acuses!$B$5:$B$3004,O$4,Acuses!$C$5:$C$3004,O$5),O$8)&lt;Resumen!$C$4,"Caducado",IF(EDATE(_xlfn.MAXIFS(Acuses!$D$5:$D$3004,Acuses!$A$5:$A$3004,$A23,Acuses!$B$5:$B$3004,O$4,Acuses!$C$5:$C$3004,O$5),O$8)&lt;Resumen!$C$4+30,"Caduca pronto","OK"))))))</f>
        <v/>
      </c>
      <c r="P23" s="26" t="str">
        <f aca="false">IF(OR($A23="",P$4=""),"",IF(NOT(OR(P$6="Toda la plantilla",ISNUMBER(SEARCH(";"&amp;SUBSTITUTE($C23," ","")&amp;";",";"&amp;SUBSTITUTE(P$7," ","")&amp;";")))),"—",IF(_xlfn.MAXIFS(Acuses!$C$5:$C$3004,Acuses!$A$5:$A$3004,$A23,Acuses!$B$5:$B$3004,P$4)&lt;P$5,"Pendiente",IF(P$8=0,"OK",IF(EDATE(_xlfn.MAXIFS(Acuses!$D$5:$D$3004,Acuses!$A$5:$A$3004,$A23,Acuses!$B$5:$B$3004,P$4,Acuses!$C$5:$C$3004,P$5),P$8)&lt;Resumen!$C$4,"Caducado",IF(EDATE(_xlfn.MAXIFS(Acuses!$D$5:$D$3004,Acuses!$A$5:$A$3004,$A23,Acuses!$B$5:$B$3004,P$4,Acuses!$C$5:$C$3004,P$5),P$8)&lt;Resumen!$C$4+30,"Caduca pronto","OK"))))))</f>
        <v/>
      </c>
      <c r="Q23" s="26" t="str">
        <f aca="false">IF(OR($A23="",Q$4=""),"",IF(NOT(OR(Q$6="Toda la plantilla",ISNUMBER(SEARCH(";"&amp;SUBSTITUTE($C23," ","")&amp;";",";"&amp;SUBSTITUTE(Q$7," ","")&amp;";")))),"—",IF(_xlfn.MAXIFS(Acuses!$C$5:$C$3004,Acuses!$A$5:$A$3004,$A23,Acuses!$B$5:$B$3004,Q$4)&lt;Q$5,"Pendiente",IF(Q$8=0,"OK",IF(EDATE(_xlfn.MAXIFS(Acuses!$D$5:$D$3004,Acuses!$A$5:$A$3004,$A23,Acuses!$B$5:$B$3004,Q$4,Acuses!$C$5:$C$3004,Q$5),Q$8)&lt;Resumen!$C$4,"Caducado",IF(EDATE(_xlfn.MAXIFS(Acuses!$D$5:$D$3004,Acuses!$A$5:$A$3004,$A23,Acuses!$B$5:$B$3004,Q$4,Acuses!$C$5:$C$3004,Q$5),Q$8)&lt;Resumen!$C$4+30,"Caduca pronto","OK"))))))</f>
        <v/>
      </c>
      <c r="R23" s="26" t="str">
        <f aca="false">IF(OR($A23="",R$4=""),"",IF(NOT(OR(R$6="Toda la plantilla",ISNUMBER(SEARCH(";"&amp;SUBSTITUTE($C23," ","")&amp;";",";"&amp;SUBSTITUTE(R$7," ","")&amp;";")))),"—",IF(_xlfn.MAXIFS(Acuses!$C$5:$C$3004,Acuses!$A$5:$A$3004,$A23,Acuses!$B$5:$B$3004,R$4)&lt;R$5,"Pendiente",IF(R$8=0,"OK",IF(EDATE(_xlfn.MAXIFS(Acuses!$D$5:$D$3004,Acuses!$A$5:$A$3004,$A23,Acuses!$B$5:$B$3004,R$4,Acuses!$C$5:$C$3004,R$5),R$8)&lt;Resumen!$C$4,"Caducado",IF(EDATE(_xlfn.MAXIFS(Acuses!$D$5:$D$3004,Acuses!$A$5:$A$3004,$A23,Acuses!$B$5:$B$3004,R$4,Acuses!$C$5:$C$3004,R$5),R$8)&lt;Resumen!$C$4+30,"Caduca pronto","OK"))))))</f>
        <v/>
      </c>
      <c r="S23" s="26" t="str">
        <f aca="false">IF(OR($A23="",S$4=""),"",IF(NOT(OR(S$6="Toda la plantilla",ISNUMBER(SEARCH(";"&amp;SUBSTITUTE($C23," ","")&amp;";",";"&amp;SUBSTITUTE(S$7," ","")&amp;";")))),"—",IF(_xlfn.MAXIFS(Acuses!$C$5:$C$3004,Acuses!$A$5:$A$3004,$A23,Acuses!$B$5:$B$3004,S$4)&lt;S$5,"Pendiente",IF(S$8=0,"OK",IF(EDATE(_xlfn.MAXIFS(Acuses!$D$5:$D$3004,Acuses!$A$5:$A$3004,$A23,Acuses!$B$5:$B$3004,S$4,Acuses!$C$5:$C$3004,S$5),S$8)&lt;Resumen!$C$4,"Caducado",IF(EDATE(_xlfn.MAXIFS(Acuses!$D$5:$D$3004,Acuses!$A$5:$A$3004,$A23,Acuses!$B$5:$B$3004,S$4,Acuses!$C$5:$C$3004,S$5),S$8)&lt;Resumen!$C$4+30,"Caduca pronto","OK"))))))</f>
        <v/>
      </c>
      <c r="T23" s="26" t="str">
        <f aca="false">IF(OR($A23="",T$4=""),"",IF(NOT(OR(T$6="Toda la plantilla",ISNUMBER(SEARCH(";"&amp;SUBSTITUTE($C23," ","")&amp;";",";"&amp;SUBSTITUTE(T$7," ","")&amp;";")))),"—",IF(_xlfn.MAXIFS(Acuses!$C$5:$C$3004,Acuses!$A$5:$A$3004,$A23,Acuses!$B$5:$B$3004,T$4)&lt;T$5,"Pendiente",IF(T$8=0,"OK",IF(EDATE(_xlfn.MAXIFS(Acuses!$D$5:$D$3004,Acuses!$A$5:$A$3004,$A23,Acuses!$B$5:$B$3004,T$4,Acuses!$C$5:$C$3004,T$5),T$8)&lt;Resumen!$C$4,"Caducado",IF(EDATE(_xlfn.MAXIFS(Acuses!$D$5:$D$3004,Acuses!$A$5:$A$3004,$A23,Acuses!$B$5:$B$3004,T$4,Acuses!$C$5:$C$3004,T$5),T$8)&lt;Resumen!$C$4+30,"Caduca pronto","OK"))))))</f>
        <v/>
      </c>
      <c r="U23" s="26" t="str">
        <f aca="false">IF(OR($A23="",U$4=""),"",IF(NOT(OR(U$6="Toda la plantilla",ISNUMBER(SEARCH(";"&amp;SUBSTITUTE($C23," ","")&amp;";",";"&amp;SUBSTITUTE(U$7," ","")&amp;";")))),"—",IF(_xlfn.MAXIFS(Acuses!$C$5:$C$3004,Acuses!$A$5:$A$3004,$A23,Acuses!$B$5:$B$3004,U$4)&lt;U$5,"Pendiente",IF(U$8=0,"OK",IF(EDATE(_xlfn.MAXIFS(Acuses!$D$5:$D$3004,Acuses!$A$5:$A$3004,$A23,Acuses!$B$5:$B$3004,U$4,Acuses!$C$5:$C$3004,U$5),U$8)&lt;Resumen!$C$4,"Caducado",IF(EDATE(_xlfn.MAXIFS(Acuses!$D$5:$D$3004,Acuses!$A$5:$A$3004,$A23,Acuses!$B$5:$B$3004,U$4,Acuses!$C$5:$C$3004,U$5),U$8)&lt;Resumen!$C$4+30,"Caduca pronto","OK"))))))</f>
        <v/>
      </c>
      <c r="V23" s="26" t="str">
        <f aca="false">IF(OR($A23="",V$4=""),"",IF(NOT(OR(V$6="Toda la plantilla",ISNUMBER(SEARCH(";"&amp;SUBSTITUTE($C23," ","")&amp;";",";"&amp;SUBSTITUTE(V$7," ","")&amp;";")))),"—",IF(_xlfn.MAXIFS(Acuses!$C$5:$C$3004,Acuses!$A$5:$A$3004,$A23,Acuses!$B$5:$B$3004,V$4)&lt;V$5,"Pendiente",IF(V$8=0,"OK",IF(EDATE(_xlfn.MAXIFS(Acuses!$D$5:$D$3004,Acuses!$A$5:$A$3004,$A23,Acuses!$B$5:$B$3004,V$4,Acuses!$C$5:$C$3004,V$5),V$8)&lt;Resumen!$C$4,"Caducado",IF(EDATE(_xlfn.MAXIFS(Acuses!$D$5:$D$3004,Acuses!$A$5:$A$3004,$A23,Acuses!$B$5:$B$3004,V$4,Acuses!$C$5:$C$3004,V$5),V$8)&lt;Resumen!$C$4+30,"Caduca pronto","OK"))))))</f>
        <v/>
      </c>
      <c r="W23" s="26" t="str">
        <f aca="false">IF(OR($A23="",W$4=""),"",IF(NOT(OR(W$6="Toda la plantilla",ISNUMBER(SEARCH(";"&amp;SUBSTITUTE($C23," ","")&amp;";",";"&amp;SUBSTITUTE(W$7," ","")&amp;";")))),"—",IF(_xlfn.MAXIFS(Acuses!$C$5:$C$3004,Acuses!$A$5:$A$3004,$A23,Acuses!$B$5:$B$3004,W$4)&lt;W$5,"Pendiente",IF(W$8=0,"OK",IF(EDATE(_xlfn.MAXIFS(Acuses!$D$5:$D$3004,Acuses!$A$5:$A$3004,$A23,Acuses!$B$5:$B$3004,W$4,Acuses!$C$5:$C$3004,W$5),W$8)&lt;Resumen!$C$4,"Caducado",IF(EDATE(_xlfn.MAXIFS(Acuses!$D$5:$D$3004,Acuses!$A$5:$A$3004,$A23,Acuses!$B$5:$B$3004,W$4,Acuses!$C$5:$C$3004,W$5),W$8)&lt;Resumen!$C$4+30,"Caduca pronto","OK"))))))</f>
        <v/>
      </c>
      <c r="X23" s="26" t="str">
        <f aca="false">IF(OR($A23="",X$4=""),"",IF(NOT(OR(X$6="Toda la plantilla",ISNUMBER(SEARCH(";"&amp;SUBSTITUTE($C23," ","")&amp;";",";"&amp;SUBSTITUTE(X$7," ","")&amp;";")))),"—",IF(_xlfn.MAXIFS(Acuses!$C$5:$C$3004,Acuses!$A$5:$A$3004,$A23,Acuses!$B$5:$B$3004,X$4)&lt;X$5,"Pendiente",IF(X$8=0,"OK",IF(EDATE(_xlfn.MAXIFS(Acuses!$D$5:$D$3004,Acuses!$A$5:$A$3004,$A23,Acuses!$B$5:$B$3004,X$4,Acuses!$C$5:$C$3004,X$5),X$8)&lt;Resumen!$C$4,"Caducado",IF(EDATE(_xlfn.MAXIFS(Acuses!$D$5:$D$3004,Acuses!$A$5:$A$3004,$A23,Acuses!$B$5:$B$3004,X$4,Acuses!$C$5:$C$3004,X$5),X$8)&lt;Resumen!$C$4+30,"Caduca pronto","OK"))))))</f>
        <v/>
      </c>
      <c r="Y23" s="26" t="str">
        <f aca="false">IF(OR($A23="",Y$4=""),"",IF(NOT(OR(Y$6="Toda la plantilla",ISNUMBER(SEARCH(";"&amp;SUBSTITUTE($C23," ","")&amp;";",";"&amp;SUBSTITUTE(Y$7," ","")&amp;";")))),"—",IF(_xlfn.MAXIFS(Acuses!$C$5:$C$3004,Acuses!$A$5:$A$3004,$A23,Acuses!$B$5:$B$3004,Y$4)&lt;Y$5,"Pendiente",IF(Y$8=0,"OK",IF(EDATE(_xlfn.MAXIFS(Acuses!$D$5:$D$3004,Acuses!$A$5:$A$3004,$A23,Acuses!$B$5:$B$3004,Y$4,Acuses!$C$5:$C$3004,Y$5),Y$8)&lt;Resumen!$C$4,"Caducado",IF(EDATE(_xlfn.MAXIFS(Acuses!$D$5:$D$3004,Acuses!$A$5:$A$3004,$A23,Acuses!$B$5:$B$3004,Y$4,Acuses!$C$5:$C$3004,Y$5),Y$8)&lt;Resumen!$C$4+30,"Caduca pronto","OK"))))))</f>
        <v/>
      </c>
      <c r="Z23" s="26" t="str">
        <f aca="false">IF(OR($A23="",Z$4=""),"",IF(NOT(OR(Z$6="Toda la plantilla",ISNUMBER(SEARCH(";"&amp;SUBSTITUTE($C23," ","")&amp;";",";"&amp;SUBSTITUTE(Z$7," ","")&amp;";")))),"—",IF(_xlfn.MAXIFS(Acuses!$C$5:$C$3004,Acuses!$A$5:$A$3004,$A23,Acuses!$B$5:$B$3004,Z$4)&lt;Z$5,"Pendiente",IF(Z$8=0,"OK",IF(EDATE(_xlfn.MAXIFS(Acuses!$D$5:$D$3004,Acuses!$A$5:$A$3004,$A23,Acuses!$B$5:$B$3004,Z$4,Acuses!$C$5:$C$3004,Z$5),Z$8)&lt;Resumen!$C$4,"Caducado",IF(EDATE(_xlfn.MAXIFS(Acuses!$D$5:$D$3004,Acuses!$A$5:$A$3004,$A23,Acuses!$B$5:$B$3004,Z$4,Acuses!$C$5:$C$3004,Z$5),Z$8)&lt;Resumen!$C$4+30,"Caduca pronto","OK"))))))</f>
        <v/>
      </c>
      <c r="AA23" s="26" t="str">
        <f aca="false">IF(OR($A23="",AA$4=""),"",IF(NOT(OR(AA$6="Toda la plantilla",ISNUMBER(SEARCH(";"&amp;SUBSTITUTE($C23," ","")&amp;";",";"&amp;SUBSTITUTE(AA$7," ","")&amp;";")))),"—",IF(_xlfn.MAXIFS(Acuses!$C$5:$C$3004,Acuses!$A$5:$A$3004,$A23,Acuses!$B$5:$B$3004,AA$4)&lt;AA$5,"Pendiente",IF(AA$8=0,"OK",IF(EDATE(_xlfn.MAXIFS(Acuses!$D$5:$D$3004,Acuses!$A$5:$A$3004,$A23,Acuses!$B$5:$B$3004,AA$4,Acuses!$C$5:$C$3004,AA$5),AA$8)&lt;Resumen!$C$4,"Caducado",IF(EDATE(_xlfn.MAXIFS(Acuses!$D$5:$D$3004,Acuses!$A$5:$A$3004,$A23,Acuses!$B$5:$B$3004,AA$4,Acuses!$C$5:$C$3004,AA$5),AA$8)&lt;Resumen!$C$4+30,"Caduca pronto","OK"))))))</f>
        <v/>
      </c>
      <c r="AB23" s="26" t="str">
        <f aca="false">IF(OR($A23="",AB$4=""),"",IF(NOT(OR(AB$6="Toda la plantilla",ISNUMBER(SEARCH(";"&amp;SUBSTITUTE($C23," ","")&amp;";",";"&amp;SUBSTITUTE(AB$7," ","")&amp;";")))),"—",IF(_xlfn.MAXIFS(Acuses!$C$5:$C$3004,Acuses!$A$5:$A$3004,$A23,Acuses!$B$5:$B$3004,AB$4)&lt;AB$5,"Pendiente",IF(AB$8=0,"OK",IF(EDATE(_xlfn.MAXIFS(Acuses!$D$5:$D$3004,Acuses!$A$5:$A$3004,$A23,Acuses!$B$5:$B$3004,AB$4,Acuses!$C$5:$C$3004,AB$5),AB$8)&lt;Resumen!$C$4,"Caducado",IF(EDATE(_xlfn.MAXIFS(Acuses!$D$5:$D$3004,Acuses!$A$5:$A$3004,$A23,Acuses!$B$5:$B$3004,AB$4,Acuses!$C$5:$C$3004,AB$5),AB$8)&lt;Resumen!$C$4+30,"Caduca pronto","OK"))))))</f>
        <v/>
      </c>
      <c r="AC23" s="26" t="str">
        <f aca="false">IF(OR($A23="",AC$4=""),"",IF(NOT(OR(AC$6="Toda la plantilla",ISNUMBER(SEARCH(";"&amp;SUBSTITUTE($C23," ","")&amp;";",";"&amp;SUBSTITUTE(AC$7," ","")&amp;";")))),"—",IF(_xlfn.MAXIFS(Acuses!$C$5:$C$3004,Acuses!$A$5:$A$3004,$A23,Acuses!$B$5:$B$3004,AC$4)&lt;AC$5,"Pendiente",IF(AC$8=0,"OK",IF(EDATE(_xlfn.MAXIFS(Acuses!$D$5:$D$3004,Acuses!$A$5:$A$3004,$A23,Acuses!$B$5:$B$3004,AC$4,Acuses!$C$5:$C$3004,AC$5),AC$8)&lt;Resumen!$C$4,"Caducado",IF(EDATE(_xlfn.MAXIFS(Acuses!$D$5:$D$3004,Acuses!$A$5:$A$3004,$A23,Acuses!$B$5:$B$3004,AC$4,Acuses!$C$5:$C$3004,AC$5),AC$8)&lt;Resumen!$C$4+30,"Caduca pronto","OK"))))))</f>
        <v/>
      </c>
      <c r="AD23" s="26" t="str">
        <f aca="false">IF(OR($A23="",AD$4=""),"",IF(NOT(OR(AD$6="Toda la plantilla",ISNUMBER(SEARCH(";"&amp;SUBSTITUTE($C23," ","")&amp;";",";"&amp;SUBSTITUTE(AD$7," ","")&amp;";")))),"—",IF(_xlfn.MAXIFS(Acuses!$C$5:$C$3004,Acuses!$A$5:$A$3004,$A23,Acuses!$B$5:$B$3004,AD$4)&lt;AD$5,"Pendiente",IF(AD$8=0,"OK",IF(EDATE(_xlfn.MAXIFS(Acuses!$D$5:$D$3004,Acuses!$A$5:$A$3004,$A23,Acuses!$B$5:$B$3004,AD$4,Acuses!$C$5:$C$3004,AD$5),AD$8)&lt;Resumen!$C$4,"Caducado",IF(EDATE(_xlfn.MAXIFS(Acuses!$D$5:$D$3004,Acuses!$A$5:$A$3004,$A23,Acuses!$B$5:$B$3004,AD$4,Acuses!$C$5:$C$3004,AD$5),AD$8)&lt;Resumen!$C$4+30,"Caduca pronto","OK"))))))</f>
        <v/>
      </c>
      <c r="AE23" s="26" t="str">
        <f aca="false">IF(OR($A23="",AE$4=""),"",IF(NOT(OR(AE$6="Toda la plantilla",ISNUMBER(SEARCH(";"&amp;SUBSTITUTE($C23," ","")&amp;";",";"&amp;SUBSTITUTE(AE$7," ","")&amp;";")))),"—",IF(_xlfn.MAXIFS(Acuses!$C$5:$C$3004,Acuses!$A$5:$A$3004,$A23,Acuses!$B$5:$B$3004,AE$4)&lt;AE$5,"Pendiente",IF(AE$8=0,"OK",IF(EDATE(_xlfn.MAXIFS(Acuses!$D$5:$D$3004,Acuses!$A$5:$A$3004,$A23,Acuses!$B$5:$B$3004,AE$4,Acuses!$C$5:$C$3004,AE$5),AE$8)&lt;Resumen!$C$4,"Caducado",IF(EDATE(_xlfn.MAXIFS(Acuses!$D$5:$D$3004,Acuses!$A$5:$A$3004,$A23,Acuses!$B$5:$B$3004,AE$4,Acuses!$C$5:$C$3004,AE$5),AE$8)&lt;Resumen!$C$4+30,"Caduca pronto","OK"))))))</f>
        <v/>
      </c>
      <c r="AF23" s="26" t="str">
        <f aca="false">IF(OR($A23="",AF$4=""),"",IF(NOT(OR(AF$6="Toda la plantilla",ISNUMBER(SEARCH(";"&amp;SUBSTITUTE($C23," ","")&amp;";",";"&amp;SUBSTITUTE(AF$7," ","")&amp;";")))),"—",IF(_xlfn.MAXIFS(Acuses!$C$5:$C$3004,Acuses!$A$5:$A$3004,$A23,Acuses!$B$5:$B$3004,AF$4)&lt;AF$5,"Pendiente",IF(AF$8=0,"OK",IF(EDATE(_xlfn.MAXIFS(Acuses!$D$5:$D$3004,Acuses!$A$5:$A$3004,$A23,Acuses!$B$5:$B$3004,AF$4,Acuses!$C$5:$C$3004,AF$5),AF$8)&lt;Resumen!$C$4,"Caducado",IF(EDATE(_xlfn.MAXIFS(Acuses!$D$5:$D$3004,Acuses!$A$5:$A$3004,$A23,Acuses!$B$5:$B$3004,AF$4,Acuses!$C$5:$C$3004,AF$5),AF$8)&lt;Resumen!$C$4+30,"Caduca pronto","OK"))))))</f>
        <v/>
      </c>
      <c r="AG23" s="26" t="str">
        <f aca="false">IF(OR($A23="",AG$4=""),"",IF(NOT(OR(AG$6="Toda la plantilla",ISNUMBER(SEARCH(";"&amp;SUBSTITUTE($C23," ","")&amp;";",";"&amp;SUBSTITUTE(AG$7," ","")&amp;";")))),"—",IF(_xlfn.MAXIFS(Acuses!$C$5:$C$3004,Acuses!$A$5:$A$3004,$A23,Acuses!$B$5:$B$3004,AG$4)&lt;AG$5,"Pendiente",IF(AG$8=0,"OK",IF(EDATE(_xlfn.MAXIFS(Acuses!$D$5:$D$3004,Acuses!$A$5:$A$3004,$A23,Acuses!$B$5:$B$3004,AG$4,Acuses!$C$5:$C$3004,AG$5),AG$8)&lt;Resumen!$C$4,"Caducado",IF(EDATE(_xlfn.MAXIFS(Acuses!$D$5:$D$3004,Acuses!$A$5:$A$3004,$A23,Acuses!$B$5:$B$3004,AG$4,Acuses!$C$5:$C$3004,AG$5),AG$8)&lt;Resumen!$C$4+30,"Caduca pronto","OK"))))))</f>
        <v/>
      </c>
      <c r="AH23" s="26" t="str">
        <f aca="false">IF(OR($A23="",AH$4=""),"",IF(NOT(OR(AH$6="Toda la plantilla",ISNUMBER(SEARCH(";"&amp;SUBSTITUTE($C23," ","")&amp;";",";"&amp;SUBSTITUTE(AH$7," ","")&amp;";")))),"—",IF(_xlfn.MAXIFS(Acuses!$C$5:$C$3004,Acuses!$A$5:$A$3004,$A23,Acuses!$B$5:$B$3004,AH$4)&lt;AH$5,"Pendiente",IF(AH$8=0,"OK",IF(EDATE(_xlfn.MAXIFS(Acuses!$D$5:$D$3004,Acuses!$A$5:$A$3004,$A23,Acuses!$B$5:$B$3004,AH$4,Acuses!$C$5:$C$3004,AH$5),AH$8)&lt;Resumen!$C$4,"Caducado",IF(EDATE(_xlfn.MAXIFS(Acuses!$D$5:$D$3004,Acuses!$A$5:$A$3004,$A23,Acuses!$B$5:$B$3004,AH$4,Acuses!$C$5:$C$3004,AH$5),AH$8)&lt;Resumen!$C$4+30,"Caduca pronto","OK"))))))</f>
        <v/>
      </c>
      <c r="AI23" s="26" t="str">
        <f aca="false">IF(OR($A23="",AI$4=""),"",IF(NOT(OR(AI$6="Toda la plantilla",ISNUMBER(SEARCH(";"&amp;SUBSTITUTE($C23," ","")&amp;";",";"&amp;SUBSTITUTE(AI$7," ","")&amp;";")))),"—",IF(_xlfn.MAXIFS(Acuses!$C$5:$C$3004,Acuses!$A$5:$A$3004,$A23,Acuses!$B$5:$B$3004,AI$4)&lt;AI$5,"Pendiente",IF(AI$8=0,"OK",IF(EDATE(_xlfn.MAXIFS(Acuses!$D$5:$D$3004,Acuses!$A$5:$A$3004,$A23,Acuses!$B$5:$B$3004,AI$4,Acuses!$C$5:$C$3004,AI$5),AI$8)&lt;Resumen!$C$4,"Caducado",IF(EDATE(_xlfn.MAXIFS(Acuses!$D$5:$D$3004,Acuses!$A$5:$A$3004,$A23,Acuses!$B$5:$B$3004,AI$4,Acuses!$C$5:$C$3004,AI$5),AI$8)&lt;Resumen!$C$4+30,"Caduca pronto","OK"))))))</f>
        <v/>
      </c>
      <c r="AJ23" s="26" t="str">
        <f aca="false">IF(OR($A23="",AJ$4=""),"",IF(NOT(OR(AJ$6="Toda la plantilla",ISNUMBER(SEARCH(";"&amp;SUBSTITUTE($C23," ","")&amp;";",";"&amp;SUBSTITUTE(AJ$7," ","")&amp;";")))),"—",IF(_xlfn.MAXIFS(Acuses!$C$5:$C$3004,Acuses!$A$5:$A$3004,$A23,Acuses!$B$5:$B$3004,AJ$4)&lt;AJ$5,"Pendiente",IF(AJ$8=0,"OK",IF(EDATE(_xlfn.MAXIFS(Acuses!$D$5:$D$3004,Acuses!$A$5:$A$3004,$A23,Acuses!$B$5:$B$3004,AJ$4,Acuses!$C$5:$C$3004,AJ$5),AJ$8)&lt;Resumen!$C$4,"Caducado",IF(EDATE(_xlfn.MAXIFS(Acuses!$D$5:$D$3004,Acuses!$A$5:$A$3004,$A23,Acuses!$B$5:$B$3004,AJ$4,Acuses!$C$5:$C$3004,AJ$5),AJ$8)&lt;Resumen!$C$4+30,"Caduca pronto","OK"))))))</f>
        <v/>
      </c>
      <c r="AK23" s="26" t="str">
        <f aca="false">IF(OR($A23="",AK$4=""),"",IF(NOT(OR(AK$6="Toda la plantilla",ISNUMBER(SEARCH(";"&amp;SUBSTITUTE($C23," ","")&amp;";",";"&amp;SUBSTITUTE(AK$7," ","")&amp;";")))),"—",IF(_xlfn.MAXIFS(Acuses!$C$5:$C$3004,Acuses!$A$5:$A$3004,$A23,Acuses!$B$5:$B$3004,AK$4)&lt;AK$5,"Pendiente",IF(AK$8=0,"OK",IF(EDATE(_xlfn.MAXIFS(Acuses!$D$5:$D$3004,Acuses!$A$5:$A$3004,$A23,Acuses!$B$5:$B$3004,AK$4,Acuses!$C$5:$C$3004,AK$5),AK$8)&lt;Resumen!$C$4,"Caducado",IF(EDATE(_xlfn.MAXIFS(Acuses!$D$5:$D$3004,Acuses!$A$5:$A$3004,$A23,Acuses!$B$5:$B$3004,AK$4,Acuses!$C$5:$C$3004,AK$5),AK$8)&lt;Resumen!$C$4+30,"Caduca pronto","OK"))))))</f>
        <v/>
      </c>
      <c r="AL23" s="26" t="str">
        <f aca="false">IF(OR($A23="",AL$4=""),"",IF(NOT(OR(AL$6="Toda la plantilla",ISNUMBER(SEARCH(";"&amp;SUBSTITUTE($C23," ","")&amp;";",";"&amp;SUBSTITUTE(AL$7," ","")&amp;";")))),"—",IF(_xlfn.MAXIFS(Acuses!$C$5:$C$3004,Acuses!$A$5:$A$3004,$A23,Acuses!$B$5:$B$3004,AL$4)&lt;AL$5,"Pendiente",IF(AL$8=0,"OK",IF(EDATE(_xlfn.MAXIFS(Acuses!$D$5:$D$3004,Acuses!$A$5:$A$3004,$A23,Acuses!$B$5:$B$3004,AL$4,Acuses!$C$5:$C$3004,AL$5),AL$8)&lt;Resumen!$C$4,"Caducado",IF(EDATE(_xlfn.MAXIFS(Acuses!$D$5:$D$3004,Acuses!$A$5:$A$3004,$A23,Acuses!$B$5:$B$3004,AL$4,Acuses!$C$5:$C$3004,AL$5),AL$8)&lt;Resumen!$C$4+30,"Caduca pronto","OK"))))))</f>
        <v/>
      </c>
      <c r="AM23" s="26" t="str">
        <f aca="false">IF(OR($A23="",AM$4=""),"",IF(NOT(OR(AM$6="Toda la plantilla",ISNUMBER(SEARCH(";"&amp;SUBSTITUTE($C23," ","")&amp;";",";"&amp;SUBSTITUTE(AM$7," ","")&amp;";")))),"—",IF(_xlfn.MAXIFS(Acuses!$C$5:$C$3004,Acuses!$A$5:$A$3004,$A23,Acuses!$B$5:$B$3004,AM$4)&lt;AM$5,"Pendiente",IF(AM$8=0,"OK",IF(EDATE(_xlfn.MAXIFS(Acuses!$D$5:$D$3004,Acuses!$A$5:$A$3004,$A23,Acuses!$B$5:$B$3004,AM$4,Acuses!$C$5:$C$3004,AM$5),AM$8)&lt;Resumen!$C$4,"Caducado",IF(EDATE(_xlfn.MAXIFS(Acuses!$D$5:$D$3004,Acuses!$A$5:$A$3004,$A23,Acuses!$B$5:$B$3004,AM$4,Acuses!$C$5:$C$3004,AM$5),AM$8)&lt;Resumen!$C$4+30,"Caduca pronto","OK"))))))</f>
        <v/>
      </c>
      <c r="AN23" s="26" t="str">
        <f aca="false">IF(OR($A23="",AN$4=""),"",IF(NOT(OR(AN$6="Toda la plantilla",ISNUMBER(SEARCH(";"&amp;SUBSTITUTE($C23," ","")&amp;";",";"&amp;SUBSTITUTE(AN$7," ","")&amp;";")))),"—",IF(_xlfn.MAXIFS(Acuses!$C$5:$C$3004,Acuses!$A$5:$A$3004,$A23,Acuses!$B$5:$B$3004,AN$4)&lt;AN$5,"Pendiente",IF(AN$8=0,"OK",IF(EDATE(_xlfn.MAXIFS(Acuses!$D$5:$D$3004,Acuses!$A$5:$A$3004,$A23,Acuses!$B$5:$B$3004,AN$4,Acuses!$C$5:$C$3004,AN$5),AN$8)&lt;Resumen!$C$4,"Caducado",IF(EDATE(_xlfn.MAXIFS(Acuses!$D$5:$D$3004,Acuses!$A$5:$A$3004,$A23,Acuses!$B$5:$B$3004,AN$4,Acuses!$C$5:$C$3004,AN$5),AN$8)&lt;Resumen!$C$4+30,"Caduca pronto","OK"))))))</f>
        <v/>
      </c>
      <c r="AO23" s="26" t="str">
        <f aca="false">IF(OR($A23="",AO$4=""),"",IF(NOT(OR(AO$6="Toda la plantilla",ISNUMBER(SEARCH(";"&amp;SUBSTITUTE($C23," ","")&amp;";",";"&amp;SUBSTITUTE(AO$7," ","")&amp;";")))),"—",IF(_xlfn.MAXIFS(Acuses!$C$5:$C$3004,Acuses!$A$5:$A$3004,$A23,Acuses!$B$5:$B$3004,AO$4)&lt;AO$5,"Pendiente",IF(AO$8=0,"OK",IF(EDATE(_xlfn.MAXIFS(Acuses!$D$5:$D$3004,Acuses!$A$5:$A$3004,$A23,Acuses!$B$5:$B$3004,AO$4,Acuses!$C$5:$C$3004,AO$5),AO$8)&lt;Resumen!$C$4,"Caducado",IF(EDATE(_xlfn.MAXIFS(Acuses!$D$5:$D$3004,Acuses!$A$5:$A$3004,$A23,Acuses!$B$5:$B$3004,AO$4,Acuses!$C$5:$C$3004,AO$5),AO$8)&lt;Resumen!$C$4+30,"Caduca pronto","OK"))))))</f>
        <v/>
      </c>
      <c r="AP23" s="26" t="str">
        <f aca="false">IF(OR($A23="",AP$4=""),"",IF(NOT(OR(AP$6="Toda la plantilla",ISNUMBER(SEARCH(";"&amp;SUBSTITUTE($C23," ","")&amp;";",";"&amp;SUBSTITUTE(AP$7," ","")&amp;";")))),"—",IF(_xlfn.MAXIFS(Acuses!$C$5:$C$3004,Acuses!$A$5:$A$3004,$A23,Acuses!$B$5:$B$3004,AP$4)&lt;AP$5,"Pendiente",IF(AP$8=0,"OK",IF(EDATE(_xlfn.MAXIFS(Acuses!$D$5:$D$3004,Acuses!$A$5:$A$3004,$A23,Acuses!$B$5:$B$3004,AP$4,Acuses!$C$5:$C$3004,AP$5),AP$8)&lt;Resumen!$C$4,"Caducado",IF(EDATE(_xlfn.MAXIFS(Acuses!$D$5:$D$3004,Acuses!$A$5:$A$3004,$A23,Acuses!$B$5:$B$3004,AP$4,Acuses!$C$5:$C$3004,AP$5),AP$8)&lt;Resumen!$C$4+30,"Caduca pronto","OK"))))))</f>
        <v/>
      </c>
      <c r="AQ23" s="26" t="str">
        <f aca="false">IF(OR($A23="",AQ$4=""),"",IF(NOT(OR(AQ$6="Toda la plantilla",ISNUMBER(SEARCH(";"&amp;SUBSTITUTE($C23," ","")&amp;";",";"&amp;SUBSTITUTE(AQ$7," ","")&amp;";")))),"—",IF(_xlfn.MAXIFS(Acuses!$C$5:$C$3004,Acuses!$A$5:$A$3004,$A23,Acuses!$B$5:$B$3004,AQ$4)&lt;AQ$5,"Pendiente",IF(AQ$8=0,"OK",IF(EDATE(_xlfn.MAXIFS(Acuses!$D$5:$D$3004,Acuses!$A$5:$A$3004,$A23,Acuses!$B$5:$B$3004,AQ$4,Acuses!$C$5:$C$3004,AQ$5),AQ$8)&lt;Resumen!$C$4,"Caducado",IF(EDATE(_xlfn.MAXIFS(Acuses!$D$5:$D$3004,Acuses!$A$5:$A$3004,$A23,Acuses!$B$5:$B$3004,AQ$4,Acuses!$C$5:$C$3004,AQ$5),AQ$8)&lt;Resumen!$C$4+30,"Caduca pronto","OK"))))))</f>
        <v/>
      </c>
    </row>
    <row r="24" customFormat="false" ht="15" hidden="false" customHeight="false" outlineLevel="0" collapsed="false">
      <c r="A24" s="25" t="str">
        <f aca="false">IF(AND(Trabajadores!$A$19&lt;&gt;"",Trabajadores!$G$19&lt;&gt;"No"),Trabajadores!$A$19,"")</f>
        <v/>
      </c>
      <c r="B24" s="25" t="str">
        <f aca="false">IF($A24="","",Trabajadores!$B$19)</f>
        <v/>
      </c>
      <c r="C24" s="25" t="str">
        <f aca="false">IF($A24="","",Trabajadores!$C$19)</f>
        <v/>
      </c>
      <c r="D24" s="26" t="str">
        <f aca="false">IF(OR($A24="",D$4=""),"",IF(NOT(OR(D$6="Toda la plantilla",ISNUMBER(SEARCH(";"&amp;SUBSTITUTE($C24," ","")&amp;";",";"&amp;SUBSTITUTE(D$7," ","")&amp;";")))),"—",IF(_xlfn.MAXIFS(Acuses!$C$5:$C$3004,Acuses!$A$5:$A$3004,$A24,Acuses!$B$5:$B$3004,D$4)&lt;D$5,"Pendiente",IF(D$8=0,"OK",IF(EDATE(_xlfn.MAXIFS(Acuses!$D$5:$D$3004,Acuses!$A$5:$A$3004,$A24,Acuses!$B$5:$B$3004,D$4,Acuses!$C$5:$C$3004,D$5),D$8)&lt;Resumen!$C$4,"Caducado",IF(EDATE(_xlfn.MAXIFS(Acuses!$D$5:$D$3004,Acuses!$A$5:$A$3004,$A24,Acuses!$B$5:$B$3004,D$4,Acuses!$C$5:$C$3004,D$5),D$8)&lt;Resumen!$C$4+30,"Caduca pronto","OK"))))))</f>
        <v/>
      </c>
      <c r="E24" s="26" t="str">
        <f aca="false">IF(OR($A24="",E$4=""),"",IF(NOT(OR(E$6="Toda la plantilla",ISNUMBER(SEARCH(";"&amp;SUBSTITUTE($C24," ","")&amp;";",";"&amp;SUBSTITUTE(E$7," ","")&amp;";")))),"—",IF(_xlfn.MAXIFS(Acuses!$C$5:$C$3004,Acuses!$A$5:$A$3004,$A24,Acuses!$B$5:$B$3004,E$4)&lt;E$5,"Pendiente",IF(E$8=0,"OK",IF(EDATE(_xlfn.MAXIFS(Acuses!$D$5:$D$3004,Acuses!$A$5:$A$3004,$A24,Acuses!$B$5:$B$3004,E$4,Acuses!$C$5:$C$3004,E$5),E$8)&lt;Resumen!$C$4,"Caducado",IF(EDATE(_xlfn.MAXIFS(Acuses!$D$5:$D$3004,Acuses!$A$5:$A$3004,$A24,Acuses!$B$5:$B$3004,E$4,Acuses!$C$5:$C$3004,E$5),E$8)&lt;Resumen!$C$4+30,"Caduca pronto","OK"))))))</f>
        <v/>
      </c>
      <c r="F24" s="26" t="str">
        <f aca="false">IF(OR($A24="",F$4=""),"",IF(NOT(OR(F$6="Toda la plantilla",ISNUMBER(SEARCH(";"&amp;SUBSTITUTE($C24," ","")&amp;";",";"&amp;SUBSTITUTE(F$7," ","")&amp;";")))),"—",IF(_xlfn.MAXIFS(Acuses!$C$5:$C$3004,Acuses!$A$5:$A$3004,$A24,Acuses!$B$5:$B$3004,F$4)&lt;F$5,"Pendiente",IF(F$8=0,"OK",IF(EDATE(_xlfn.MAXIFS(Acuses!$D$5:$D$3004,Acuses!$A$5:$A$3004,$A24,Acuses!$B$5:$B$3004,F$4,Acuses!$C$5:$C$3004,F$5),F$8)&lt;Resumen!$C$4,"Caducado",IF(EDATE(_xlfn.MAXIFS(Acuses!$D$5:$D$3004,Acuses!$A$5:$A$3004,$A24,Acuses!$B$5:$B$3004,F$4,Acuses!$C$5:$C$3004,F$5),F$8)&lt;Resumen!$C$4+30,"Caduca pronto","OK"))))))</f>
        <v/>
      </c>
      <c r="G24" s="26" t="str">
        <f aca="false">IF(OR($A24="",G$4=""),"",IF(NOT(OR(G$6="Toda la plantilla",ISNUMBER(SEARCH(";"&amp;SUBSTITUTE($C24," ","")&amp;";",";"&amp;SUBSTITUTE(G$7," ","")&amp;";")))),"—",IF(_xlfn.MAXIFS(Acuses!$C$5:$C$3004,Acuses!$A$5:$A$3004,$A24,Acuses!$B$5:$B$3004,G$4)&lt;G$5,"Pendiente",IF(G$8=0,"OK",IF(EDATE(_xlfn.MAXIFS(Acuses!$D$5:$D$3004,Acuses!$A$5:$A$3004,$A24,Acuses!$B$5:$B$3004,G$4,Acuses!$C$5:$C$3004,G$5),G$8)&lt;Resumen!$C$4,"Caducado",IF(EDATE(_xlfn.MAXIFS(Acuses!$D$5:$D$3004,Acuses!$A$5:$A$3004,$A24,Acuses!$B$5:$B$3004,G$4,Acuses!$C$5:$C$3004,G$5),G$8)&lt;Resumen!$C$4+30,"Caduca pronto","OK"))))))</f>
        <v/>
      </c>
      <c r="H24" s="26" t="str">
        <f aca="false">IF(OR($A24="",H$4=""),"",IF(NOT(OR(H$6="Toda la plantilla",ISNUMBER(SEARCH(";"&amp;SUBSTITUTE($C24," ","")&amp;";",";"&amp;SUBSTITUTE(H$7," ","")&amp;";")))),"—",IF(_xlfn.MAXIFS(Acuses!$C$5:$C$3004,Acuses!$A$5:$A$3004,$A24,Acuses!$B$5:$B$3004,H$4)&lt;H$5,"Pendiente",IF(H$8=0,"OK",IF(EDATE(_xlfn.MAXIFS(Acuses!$D$5:$D$3004,Acuses!$A$5:$A$3004,$A24,Acuses!$B$5:$B$3004,H$4,Acuses!$C$5:$C$3004,H$5),H$8)&lt;Resumen!$C$4,"Caducado",IF(EDATE(_xlfn.MAXIFS(Acuses!$D$5:$D$3004,Acuses!$A$5:$A$3004,$A24,Acuses!$B$5:$B$3004,H$4,Acuses!$C$5:$C$3004,H$5),H$8)&lt;Resumen!$C$4+30,"Caduca pronto","OK"))))))</f>
        <v/>
      </c>
      <c r="I24" s="26" t="str">
        <f aca="false">IF(OR($A24="",I$4=""),"",IF(NOT(OR(I$6="Toda la plantilla",ISNUMBER(SEARCH(";"&amp;SUBSTITUTE($C24," ","")&amp;";",";"&amp;SUBSTITUTE(I$7," ","")&amp;";")))),"—",IF(_xlfn.MAXIFS(Acuses!$C$5:$C$3004,Acuses!$A$5:$A$3004,$A24,Acuses!$B$5:$B$3004,I$4)&lt;I$5,"Pendiente",IF(I$8=0,"OK",IF(EDATE(_xlfn.MAXIFS(Acuses!$D$5:$D$3004,Acuses!$A$5:$A$3004,$A24,Acuses!$B$5:$B$3004,I$4,Acuses!$C$5:$C$3004,I$5),I$8)&lt;Resumen!$C$4,"Caducado",IF(EDATE(_xlfn.MAXIFS(Acuses!$D$5:$D$3004,Acuses!$A$5:$A$3004,$A24,Acuses!$B$5:$B$3004,I$4,Acuses!$C$5:$C$3004,I$5),I$8)&lt;Resumen!$C$4+30,"Caduca pronto","OK"))))))</f>
        <v/>
      </c>
      <c r="J24" s="26" t="str">
        <f aca="false">IF(OR($A24="",J$4=""),"",IF(NOT(OR(J$6="Toda la plantilla",ISNUMBER(SEARCH(";"&amp;SUBSTITUTE($C24," ","")&amp;";",";"&amp;SUBSTITUTE(J$7," ","")&amp;";")))),"—",IF(_xlfn.MAXIFS(Acuses!$C$5:$C$3004,Acuses!$A$5:$A$3004,$A24,Acuses!$B$5:$B$3004,J$4)&lt;J$5,"Pendiente",IF(J$8=0,"OK",IF(EDATE(_xlfn.MAXIFS(Acuses!$D$5:$D$3004,Acuses!$A$5:$A$3004,$A24,Acuses!$B$5:$B$3004,J$4,Acuses!$C$5:$C$3004,J$5),J$8)&lt;Resumen!$C$4,"Caducado",IF(EDATE(_xlfn.MAXIFS(Acuses!$D$5:$D$3004,Acuses!$A$5:$A$3004,$A24,Acuses!$B$5:$B$3004,J$4,Acuses!$C$5:$C$3004,J$5),J$8)&lt;Resumen!$C$4+30,"Caduca pronto","OK"))))))</f>
        <v/>
      </c>
      <c r="K24" s="26" t="str">
        <f aca="false">IF(OR($A24="",K$4=""),"",IF(NOT(OR(K$6="Toda la plantilla",ISNUMBER(SEARCH(";"&amp;SUBSTITUTE($C24," ","")&amp;";",";"&amp;SUBSTITUTE(K$7," ","")&amp;";")))),"—",IF(_xlfn.MAXIFS(Acuses!$C$5:$C$3004,Acuses!$A$5:$A$3004,$A24,Acuses!$B$5:$B$3004,K$4)&lt;K$5,"Pendiente",IF(K$8=0,"OK",IF(EDATE(_xlfn.MAXIFS(Acuses!$D$5:$D$3004,Acuses!$A$5:$A$3004,$A24,Acuses!$B$5:$B$3004,K$4,Acuses!$C$5:$C$3004,K$5),K$8)&lt;Resumen!$C$4,"Caducado",IF(EDATE(_xlfn.MAXIFS(Acuses!$D$5:$D$3004,Acuses!$A$5:$A$3004,$A24,Acuses!$B$5:$B$3004,K$4,Acuses!$C$5:$C$3004,K$5),K$8)&lt;Resumen!$C$4+30,"Caduca pronto","OK"))))))</f>
        <v/>
      </c>
      <c r="L24" s="26" t="str">
        <f aca="false">IF(OR($A24="",L$4=""),"",IF(NOT(OR(L$6="Toda la plantilla",ISNUMBER(SEARCH(";"&amp;SUBSTITUTE($C24," ","")&amp;";",";"&amp;SUBSTITUTE(L$7," ","")&amp;";")))),"—",IF(_xlfn.MAXIFS(Acuses!$C$5:$C$3004,Acuses!$A$5:$A$3004,$A24,Acuses!$B$5:$B$3004,L$4)&lt;L$5,"Pendiente",IF(L$8=0,"OK",IF(EDATE(_xlfn.MAXIFS(Acuses!$D$5:$D$3004,Acuses!$A$5:$A$3004,$A24,Acuses!$B$5:$B$3004,L$4,Acuses!$C$5:$C$3004,L$5),L$8)&lt;Resumen!$C$4,"Caducado",IF(EDATE(_xlfn.MAXIFS(Acuses!$D$5:$D$3004,Acuses!$A$5:$A$3004,$A24,Acuses!$B$5:$B$3004,L$4,Acuses!$C$5:$C$3004,L$5),L$8)&lt;Resumen!$C$4+30,"Caduca pronto","OK"))))))</f>
        <v/>
      </c>
      <c r="M24" s="26" t="str">
        <f aca="false">IF(OR($A24="",M$4=""),"",IF(NOT(OR(M$6="Toda la plantilla",ISNUMBER(SEARCH(";"&amp;SUBSTITUTE($C24," ","")&amp;";",";"&amp;SUBSTITUTE(M$7," ","")&amp;";")))),"—",IF(_xlfn.MAXIFS(Acuses!$C$5:$C$3004,Acuses!$A$5:$A$3004,$A24,Acuses!$B$5:$B$3004,M$4)&lt;M$5,"Pendiente",IF(M$8=0,"OK",IF(EDATE(_xlfn.MAXIFS(Acuses!$D$5:$D$3004,Acuses!$A$5:$A$3004,$A24,Acuses!$B$5:$B$3004,M$4,Acuses!$C$5:$C$3004,M$5),M$8)&lt;Resumen!$C$4,"Caducado",IF(EDATE(_xlfn.MAXIFS(Acuses!$D$5:$D$3004,Acuses!$A$5:$A$3004,$A24,Acuses!$B$5:$B$3004,M$4,Acuses!$C$5:$C$3004,M$5),M$8)&lt;Resumen!$C$4+30,"Caduca pronto","OK"))))))</f>
        <v/>
      </c>
      <c r="N24" s="26" t="str">
        <f aca="false">IF(OR($A24="",N$4=""),"",IF(NOT(OR(N$6="Toda la plantilla",ISNUMBER(SEARCH(";"&amp;SUBSTITUTE($C24," ","")&amp;";",";"&amp;SUBSTITUTE(N$7," ","")&amp;";")))),"—",IF(_xlfn.MAXIFS(Acuses!$C$5:$C$3004,Acuses!$A$5:$A$3004,$A24,Acuses!$B$5:$B$3004,N$4)&lt;N$5,"Pendiente",IF(N$8=0,"OK",IF(EDATE(_xlfn.MAXIFS(Acuses!$D$5:$D$3004,Acuses!$A$5:$A$3004,$A24,Acuses!$B$5:$B$3004,N$4,Acuses!$C$5:$C$3004,N$5),N$8)&lt;Resumen!$C$4,"Caducado",IF(EDATE(_xlfn.MAXIFS(Acuses!$D$5:$D$3004,Acuses!$A$5:$A$3004,$A24,Acuses!$B$5:$B$3004,N$4,Acuses!$C$5:$C$3004,N$5),N$8)&lt;Resumen!$C$4+30,"Caduca pronto","OK"))))))</f>
        <v/>
      </c>
      <c r="O24" s="26" t="str">
        <f aca="false">IF(OR($A24="",O$4=""),"",IF(NOT(OR(O$6="Toda la plantilla",ISNUMBER(SEARCH(";"&amp;SUBSTITUTE($C24," ","")&amp;";",";"&amp;SUBSTITUTE(O$7," ","")&amp;";")))),"—",IF(_xlfn.MAXIFS(Acuses!$C$5:$C$3004,Acuses!$A$5:$A$3004,$A24,Acuses!$B$5:$B$3004,O$4)&lt;O$5,"Pendiente",IF(O$8=0,"OK",IF(EDATE(_xlfn.MAXIFS(Acuses!$D$5:$D$3004,Acuses!$A$5:$A$3004,$A24,Acuses!$B$5:$B$3004,O$4,Acuses!$C$5:$C$3004,O$5),O$8)&lt;Resumen!$C$4,"Caducado",IF(EDATE(_xlfn.MAXIFS(Acuses!$D$5:$D$3004,Acuses!$A$5:$A$3004,$A24,Acuses!$B$5:$B$3004,O$4,Acuses!$C$5:$C$3004,O$5),O$8)&lt;Resumen!$C$4+30,"Caduca pronto","OK"))))))</f>
        <v/>
      </c>
      <c r="P24" s="26" t="str">
        <f aca="false">IF(OR($A24="",P$4=""),"",IF(NOT(OR(P$6="Toda la plantilla",ISNUMBER(SEARCH(";"&amp;SUBSTITUTE($C24," ","")&amp;";",";"&amp;SUBSTITUTE(P$7," ","")&amp;";")))),"—",IF(_xlfn.MAXIFS(Acuses!$C$5:$C$3004,Acuses!$A$5:$A$3004,$A24,Acuses!$B$5:$B$3004,P$4)&lt;P$5,"Pendiente",IF(P$8=0,"OK",IF(EDATE(_xlfn.MAXIFS(Acuses!$D$5:$D$3004,Acuses!$A$5:$A$3004,$A24,Acuses!$B$5:$B$3004,P$4,Acuses!$C$5:$C$3004,P$5),P$8)&lt;Resumen!$C$4,"Caducado",IF(EDATE(_xlfn.MAXIFS(Acuses!$D$5:$D$3004,Acuses!$A$5:$A$3004,$A24,Acuses!$B$5:$B$3004,P$4,Acuses!$C$5:$C$3004,P$5),P$8)&lt;Resumen!$C$4+30,"Caduca pronto","OK"))))))</f>
        <v/>
      </c>
      <c r="Q24" s="26" t="str">
        <f aca="false">IF(OR($A24="",Q$4=""),"",IF(NOT(OR(Q$6="Toda la plantilla",ISNUMBER(SEARCH(";"&amp;SUBSTITUTE($C24," ","")&amp;";",";"&amp;SUBSTITUTE(Q$7," ","")&amp;";")))),"—",IF(_xlfn.MAXIFS(Acuses!$C$5:$C$3004,Acuses!$A$5:$A$3004,$A24,Acuses!$B$5:$B$3004,Q$4)&lt;Q$5,"Pendiente",IF(Q$8=0,"OK",IF(EDATE(_xlfn.MAXIFS(Acuses!$D$5:$D$3004,Acuses!$A$5:$A$3004,$A24,Acuses!$B$5:$B$3004,Q$4,Acuses!$C$5:$C$3004,Q$5),Q$8)&lt;Resumen!$C$4,"Caducado",IF(EDATE(_xlfn.MAXIFS(Acuses!$D$5:$D$3004,Acuses!$A$5:$A$3004,$A24,Acuses!$B$5:$B$3004,Q$4,Acuses!$C$5:$C$3004,Q$5),Q$8)&lt;Resumen!$C$4+30,"Caduca pronto","OK"))))))</f>
        <v/>
      </c>
      <c r="R24" s="26" t="str">
        <f aca="false">IF(OR($A24="",R$4=""),"",IF(NOT(OR(R$6="Toda la plantilla",ISNUMBER(SEARCH(";"&amp;SUBSTITUTE($C24," ","")&amp;";",";"&amp;SUBSTITUTE(R$7," ","")&amp;";")))),"—",IF(_xlfn.MAXIFS(Acuses!$C$5:$C$3004,Acuses!$A$5:$A$3004,$A24,Acuses!$B$5:$B$3004,R$4)&lt;R$5,"Pendiente",IF(R$8=0,"OK",IF(EDATE(_xlfn.MAXIFS(Acuses!$D$5:$D$3004,Acuses!$A$5:$A$3004,$A24,Acuses!$B$5:$B$3004,R$4,Acuses!$C$5:$C$3004,R$5),R$8)&lt;Resumen!$C$4,"Caducado",IF(EDATE(_xlfn.MAXIFS(Acuses!$D$5:$D$3004,Acuses!$A$5:$A$3004,$A24,Acuses!$B$5:$B$3004,R$4,Acuses!$C$5:$C$3004,R$5),R$8)&lt;Resumen!$C$4+30,"Caduca pronto","OK"))))))</f>
        <v/>
      </c>
      <c r="S24" s="26" t="str">
        <f aca="false">IF(OR($A24="",S$4=""),"",IF(NOT(OR(S$6="Toda la plantilla",ISNUMBER(SEARCH(";"&amp;SUBSTITUTE($C24," ","")&amp;";",";"&amp;SUBSTITUTE(S$7," ","")&amp;";")))),"—",IF(_xlfn.MAXIFS(Acuses!$C$5:$C$3004,Acuses!$A$5:$A$3004,$A24,Acuses!$B$5:$B$3004,S$4)&lt;S$5,"Pendiente",IF(S$8=0,"OK",IF(EDATE(_xlfn.MAXIFS(Acuses!$D$5:$D$3004,Acuses!$A$5:$A$3004,$A24,Acuses!$B$5:$B$3004,S$4,Acuses!$C$5:$C$3004,S$5),S$8)&lt;Resumen!$C$4,"Caducado",IF(EDATE(_xlfn.MAXIFS(Acuses!$D$5:$D$3004,Acuses!$A$5:$A$3004,$A24,Acuses!$B$5:$B$3004,S$4,Acuses!$C$5:$C$3004,S$5),S$8)&lt;Resumen!$C$4+30,"Caduca pronto","OK"))))))</f>
        <v/>
      </c>
      <c r="T24" s="26" t="str">
        <f aca="false">IF(OR($A24="",T$4=""),"",IF(NOT(OR(T$6="Toda la plantilla",ISNUMBER(SEARCH(";"&amp;SUBSTITUTE($C24," ","")&amp;";",";"&amp;SUBSTITUTE(T$7," ","")&amp;";")))),"—",IF(_xlfn.MAXIFS(Acuses!$C$5:$C$3004,Acuses!$A$5:$A$3004,$A24,Acuses!$B$5:$B$3004,T$4)&lt;T$5,"Pendiente",IF(T$8=0,"OK",IF(EDATE(_xlfn.MAXIFS(Acuses!$D$5:$D$3004,Acuses!$A$5:$A$3004,$A24,Acuses!$B$5:$B$3004,T$4,Acuses!$C$5:$C$3004,T$5),T$8)&lt;Resumen!$C$4,"Caducado",IF(EDATE(_xlfn.MAXIFS(Acuses!$D$5:$D$3004,Acuses!$A$5:$A$3004,$A24,Acuses!$B$5:$B$3004,T$4,Acuses!$C$5:$C$3004,T$5),T$8)&lt;Resumen!$C$4+30,"Caduca pronto","OK"))))))</f>
        <v/>
      </c>
      <c r="U24" s="26" t="str">
        <f aca="false">IF(OR($A24="",U$4=""),"",IF(NOT(OR(U$6="Toda la plantilla",ISNUMBER(SEARCH(";"&amp;SUBSTITUTE($C24," ","")&amp;";",";"&amp;SUBSTITUTE(U$7," ","")&amp;";")))),"—",IF(_xlfn.MAXIFS(Acuses!$C$5:$C$3004,Acuses!$A$5:$A$3004,$A24,Acuses!$B$5:$B$3004,U$4)&lt;U$5,"Pendiente",IF(U$8=0,"OK",IF(EDATE(_xlfn.MAXIFS(Acuses!$D$5:$D$3004,Acuses!$A$5:$A$3004,$A24,Acuses!$B$5:$B$3004,U$4,Acuses!$C$5:$C$3004,U$5),U$8)&lt;Resumen!$C$4,"Caducado",IF(EDATE(_xlfn.MAXIFS(Acuses!$D$5:$D$3004,Acuses!$A$5:$A$3004,$A24,Acuses!$B$5:$B$3004,U$4,Acuses!$C$5:$C$3004,U$5),U$8)&lt;Resumen!$C$4+30,"Caduca pronto","OK"))))))</f>
        <v/>
      </c>
      <c r="V24" s="26" t="str">
        <f aca="false">IF(OR($A24="",V$4=""),"",IF(NOT(OR(V$6="Toda la plantilla",ISNUMBER(SEARCH(";"&amp;SUBSTITUTE($C24," ","")&amp;";",";"&amp;SUBSTITUTE(V$7," ","")&amp;";")))),"—",IF(_xlfn.MAXIFS(Acuses!$C$5:$C$3004,Acuses!$A$5:$A$3004,$A24,Acuses!$B$5:$B$3004,V$4)&lt;V$5,"Pendiente",IF(V$8=0,"OK",IF(EDATE(_xlfn.MAXIFS(Acuses!$D$5:$D$3004,Acuses!$A$5:$A$3004,$A24,Acuses!$B$5:$B$3004,V$4,Acuses!$C$5:$C$3004,V$5),V$8)&lt;Resumen!$C$4,"Caducado",IF(EDATE(_xlfn.MAXIFS(Acuses!$D$5:$D$3004,Acuses!$A$5:$A$3004,$A24,Acuses!$B$5:$B$3004,V$4,Acuses!$C$5:$C$3004,V$5),V$8)&lt;Resumen!$C$4+30,"Caduca pronto","OK"))))))</f>
        <v/>
      </c>
      <c r="W24" s="26" t="str">
        <f aca="false">IF(OR($A24="",W$4=""),"",IF(NOT(OR(W$6="Toda la plantilla",ISNUMBER(SEARCH(";"&amp;SUBSTITUTE($C24," ","")&amp;";",";"&amp;SUBSTITUTE(W$7," ","")&amp;";")))),"—",IF(_xlfn.MAXIFS(Acuses!$C$5:$C$3004,Acuses!$A$5:$A$3004,$A24,Acuses!$B$5:$B$3004,W$4)&lt;W$5,"Pendiente",IF(W$8=0,"OK",IF(EDATE(_xlfn.MAXIFS(Acuses!$D$5:$D$3004,Acuses!$A$5:$A$3004,$A24,Acuses!$B$5:$B$3004,W$4,Acuses!$C$5:$C$3004,W$5),W$8)&lt;Resumen!$C$4,"Caducado",IF(EDATE(_xlfn.MAXIFS(Acuses!$D$5:$D$3004,Acuses!$A$5:$A$3004,$A24,Acuses!$B$5:$B$3004,W$4,Acuses!$C$5:$C$3004,W$5),W$8)&lt;Resumen!$C$4+30,"Caduca pronto","OK"))))))</f>
        <v/>
      </c>
      <c r="X24" s="26" t="str">
        <f aca="false">IF(OR($A24="",X$4=""),"",IF(NOT(OR(X$6="Toda la plantilla",ISNUMBER(SEARCH(";"&amp;SUBSTITUTE($C24," ","")&amp;";",";"&amp;SUBSTITUTE(X$7," ","")&amp;";")))),"—",IF(_xlfn.MAXIFS(Acuses!$C$5:$C$3004,Acuses!$A$5:$A$3004,$A24,Acuses!$B$5:$B$3004,X$4)&lt;X$5,"Pendiente",IF(X$8=0,"OK",IF(EDATE(_xlfn.MAXIFS(Acuses!$D$5:$D$3004,Acuses!$A$5:$A$3004,$A24,Acuses!$B$5:$B$3004,X$4,Acuses!$C$5:$C$3004,X$5),X$8)&lt;Resumen!$C$4,"Caducado",IF(EDATE(_xlfn.MAXIFS(Acuses!$D$5:$D$3004,Acuses!$A$5:$A$3004,$A24,Acuses!$B$5:$B$3004,X$4,Acuses!$C$5:$C$3004,X$5),X$8)&lt;Resumen!$C$4+30,"Caduca pronto","OK"))))))</f>
        <v/>
      </c>
      <c r="Y24" s="26" t="str">
        <f aca="false">IF(OR($A24="",Y$4=""),"",IF(NOT(OR(Y$6="Toda la plantilla",ISNUMBER(SEARCH(";"&amp;SUBSTITUTE($C24," ","")&amp;";",";"&amp;SUBSTITUTE(Y$7," ","")&amp;";")))),"—",IF(_xlfn.MAXIFS(Acuses!$C$5:$C$3004,Acuses!$A$5:$A$3004,$A24,Acuses!$B$5:$B$3004,Y$4)&lt;Y$5,"Pendiente",IF(Y$8=0,"OK",IF(EDATE(_xlfn.MAXIFS(Acuses!$D$5:$D$3004,Acuses!$A$5:$A$3004,$A24,Acuses!$B$5:$B$3004,Y$4,Acuses!$C$5:$C$3004,Y$5),Y$8)&lt;Resumen!$C$4,"Caducado",IF(EDATE(_xlfn.MAXIFS(Acuses!$D$5:$D$3004,Acuses!$A$5:$A$3004,$A24,Acuses!$B$5:$B$3004,Y$4,Acuses!$C$5:$C$3004,Y$5),Y$8)&lt;Resumen!$C$4+30,"Caduca pronto","OK"))))))</f>
        <v/>
      </c>
      <c r="Z24" s="26" t="str">
        <f aca="false">IF(OR($A24="",Z$4=""),"",IF(NOT(OR(Z$6="Toda la plantilla",ISNUMBER(SEARCH(";"&amp;SUBSTITUTE($C24," ","")&amp;";",";"&amp;SUBSTITUTE(Z$7," ","")&amp;";")))),"—",IF(_xlfn.MAXIFS(Acuses!$C$5:$C$3004,Acuses!$A$5:$A$3004,$A24,Acuses!$B$5:$B$3004,Z$4)&lt;Z$5,"Pendiente",IF(Z$8=0,"OK",IF(EDATE(_xlfn.MAXIFS(Acuses!$D$5:$D$3004,Acuses!$A$5:$A$3004,$A24,Acuses!$B$5:$B$3004,Z$4,Acuses!$C$5:$C$3004,Z$5),Z$8)&lt;Resumen!$C$4,"Caducado",IF(EDATE(_xlfn.MAXIFS(Acuses!$D$5:$D$3004,Acuses!$A$5:$A$3004,$A24,Acuses!$B$5:$B$3004,Z$4,Acuses!$C$5:$C$3004,Z$5),Z$8)&lt;Resumen!$C$4+30,"Caduca pronto","OK"))))))</f>
        <v/>
      </c>
      <c r="AA24" s="26" t="str">
        <f aca="false">IF(OR($A24="",AA$4=""),"",IF(NOT(OR(AA$6="Toda la plantilla",ISNUMBER(SEARCH(";"&amp;SUBSTITUTE($C24," ","")&amp;";",";"&amp;SUBSTITUTE(AA$7," ","")&amp;";")))),"—",IF(_xlfn.MAXIFS(Acuses!$C$5:$C$3004,Acuses!$A$5:$A$3004,$A24,Acuses!$B$5:$B$3004,AA$4)&lt;AA$5,"Pendiente",IF(AA$8=0,"OK",IF(EDATE(_xlfn.MAXIFS(Acuses!$D$5:$D$3004,Acuses!$A$5:$A$3004,$A24,Acuses!$B$5:$B$3004,AA$4,Acuses!$C$5:$C$3004,AA$5),AA$8)&lt;Resumen!$C$4,"Caducado",IF(EDATE(_xlfn.MAXIFS(Acuses!$D$5:$D$3004,Acuses!$A$5:$A$3004,$A24,Acuses!$B$5:$B$3004,AA$4,Acuses!$C$5:$C$3004,AA$5),AA$8)&lt;Resumen!$C$4+30,"Caduca pronto","OK"))))))</f>
        <v/>
      </c>
      <c r="AB24" s="26" t="str">
        <f aca="false">IF(OR($A24="",AB$4=""),"",IF(NOT(OR(AB$6="Toda la plantilla",ISNUMBER(SEARCH(";"&amp;SUBSTITUTE($C24," ","")&amp;";",";"&amp;SUBSTITUTE(AB$7," ","")&amp;";")))),"—",IF(_xlfn.MAXIFS(Acuses!$C$5:$C$3004,Acuses!$A$5:$A$3004,$A24,Acuses!$B$5:$B$3004,AB$4)&lt;AB$5,"Pendiente",IF(AB$8=0,"OK",IF(EDATE(_xlfn.MAXIFS(Acuses!$D$5:$D$3004,Acuses!$A$5:$A$3004,$A24,Acuses!$B$5:$B$3004,AB$4,Acuses!$C$5:$C$3004,AB$5),AB$8)&lt;Resumen!$C$4,"Caducado",IF(EDATE(_xlfn.MAXIFS(Acuses!$D$5:$D$3004,Acuses!$A$5:$A$3004,$A24,Acuses!$B$5:$B$3004,AB$4,Acuses!$C$5:$C$3004,AB$5),AB$8)&lt;Resumen!$C$4+30,"Caduca pronto","OK"))))))</f>
        <v/>
      </c>
      <c r="AC24" s="26" t="str">
        <f aca="false">IF(OR($A24="",AC$4=""),"",IF(NOT(OR(AC$6="Toda la plantilla",ISNUMBER(SEARCH(";"&amp;SUBSTITUTE($C24," ","")&amp;";",";"&amp;SUBSTITUTE(AC$7," ","")&amp;";")))),"—",IF(_xlfn.MAXIFS(Acuses!$C$5:$C$3004,Acuses!$A$5:$A$3004,$A24,Acuses!$B$5:$B$3004,AC$4)&lt;AC$5,"Pendiente",IF(AC$8=0,"OK",IF(EDATE(_xlfn.MAXIFS(Acuses!$D$5:$D$3004,Acuses!$A$5:$A$3004,$A24,Acuses!$B$5:$B$3004,AC$4,Acuses!$C$5:$C$3004,AC$5),AC$8)&lt;Resumen!$C$4,"Caducado",IF(EDATE(_xlfn.MAXIFS(Acuses!$D$5:$D$3004,Acuses!$A$5:$A$3004,$A24,Acuses!$B$5:$B$3004,AC$4,Acuses!$C$5:$C$3004,AC$5),AC$8)&lt;Resumen!$C$4+30,"Caduca pronto","OK"))))))</f>
        <v/>
      </c>
      <c r="AD24" s="26" t="str">
        <f aca="false">IF(OR($A24="",AD$4=""),"",IF(NOT(OR(AD$6="Toda la plantilla",ISNUMBER(SEARCH(";"&amp;SUBSTITUTE($C24," ","")&amp;";",";"&amp;SUBSTITUTE(AD$7," ","")&amp;";")))),"—",IF(_xlfn.MAXIFS(Acuses!$C$5:$C$3004,Acuses!$A$5:$A$3004,$A24,Acuses!$B$5:$B$3004,AD$4)&lt;AD$5,"Pendiente",IF(AD$8=0,"OK",IF(EDATE(_xlfn.MAXIFS(Acuses!$D$5:$D$3004,Acuses!$A$5:$A$3004,$A24,Acuses!$B$5:$B$3004,AD$4,Acuses!$C$5:$C$3004,AD$5),AD$8)&lt;Resumen!$C$4,"Caducado",IF(EDATE(_xlfn.MAXIFS(Acuses!$D$5:$D$3004,Acuses!$A$5:$A$3004,$A24,Acuses!$B$5:$B$3004,AD$4,Acuses!$C$5:$C$3004,AD$5),AD$8)&lt;Resumen!$C$4+30,"Caduca pronto","OK"))))))</f>
        <v/>
      </c>
      <c r="AE24" s="26" t="str">
        <f aca="false">IF(OR($A24="",AE$4=""),"",IF(NOT(OR(AE$6="Toda la plantilla",ISNUMBER(SEARCH(";"&amp;SUBSTITUTE($C24," ","")&amp;";",";"&amp;SUBSTITUTE(AE$7," ","")&amp;";")))),"—",IF(_xlfn.MAXIFS(Acuses!$C$5:$C$3004,Acuses!$A$5:$A$3004,$A24,Acuses!$B$5:$B$3004,AE$4)&lt;AE$5,"Pendiente",IF(AE$8=0,"OK",IF(EDATE(_xlfn.MAXIFS(Acuses!$D$5:$D$3004,Acuses!$A$5:$A$3004,$A24,Acuses!$B$5:$B$3004,AE$4,Acuses!$C$5:$C$3004,AE$5),AE$8)&lt;Resumen!$C$4,"Caducado",IF(EDATE(_xlfn.MAXIFS(Acuses!$D$5:$D$3004,Acuses!$A$5:$A$3004,$A24,Acuses!$B$5:$B$3004,AE$4,Acuses!$C$5:$C$3004,AE$5),AE$8)&lt;Resumen!$C$4+30,"Caduca pronto","OK"))))))</f>
        <v/>
      </c>
      <c r="AF24" s="26" t="str">
        <f aca="false">IF(OR($A24="",AF$4=""),"",IF(NOT(OR(AF$6="Toda la plantilla",ISNUMBER(SEARCH(";"&amp;SUBSTITUTE($C24," ","")&amp;";",";"&amp;SUBSTITUTE(AF$7," ","")&amp;";")))),"—",IF(_xlfn.MAXIFS(Acuses!$C$5:$C$3004,Acuses!$A$5:$A$3004,$A24,Acuses!$B$5:$B$3004,AF$4)&lt;AF$5,"Pendiente",IF(AF$8=0,"OK",IF(EDATE(_xlfn.MAXIFS(Acuses!$D$5:$D$3004,Acuses!$A$5:$A$3004,$A24,Acuses!$B$5:$B$3004,AF$4,Acuses!$C$5:$C$3004,AF$5),AF$8)&lt;Resumen!$C$4,"Caducado",IF(EDATE(_xlfn.MAXIFS(Acuses!$D$5:$D$3004,Acuses!$A$5:$A$3004,$A24,Acuses!$B$5:$B$3004,AF$4,Acuses!$C$5:$C$3004,AF$5),AF$8)&lt;Resumen!$C$4+30,"Caduca pronto","OK"))))))</f>
        <v/>
      </c>
      <c r="AG24" s="26" t="str">
        <f aca="false">IF(OR($A24="",AG$4=""),"",IF(NOT(OR(AG$6="Toda la plantilla",ISNUMBER(SEARCH(";"&amp;SUBSTITUTE($C24," ","")&amp;";",";"&amp;SUBSTITUTE(AG$7," ","")&amp;";")))),"—",IF(_xlfn.MAXIFS(Acuses!$C$5:$C$3004,Acuses!$A$5:$A$3004,$A24,Acuses!$B$5:$B$3004,AG$4)&lt;AG$5,"Pendiente",IF(AG$8=0,"OK",IF(EDATE(_xlfn.MAXIFS(Acuses!$D$5:$D$3004,Acuses!$A$5:$A$3004,$A24,Acuses!$B$5:$B$3004,AG$4,Acuses!$C$5:$C$3004,AG$5),AG$8)&lt;Resumen!$C$4,"Caducado",IF(EDATE(_xlfn.MAXIFS(Acuses!$D$5:$D$3004,Acuses!$A$5:$A$3004,$A24,Acuses!$B$5:$B$3004,AG$4,Acuses!$C$5:$C$3004,AG$5),AG$8)&lt;Resumen!$C$4+30,"Caduca pronto","OK"))))))</f>
        <v/>
      </c>
      <c r="AH24" s="26" t="str">
        <f aca="false">IF(OR($A24="",AH$4=""),"",IF(NOT(OR(AH$6="Toda la plantilla",ISNUMBER(SEARCH(";"&amp;SUBSTITUTE($C24," ","")&amp;";",";"&amp;SUBSTITUTE(AH$7," ","")&amp;";")))),"—",IF(_xlfn.MAXIFS(Acuses!$C$5:$C$3004,Acuses!$A$5:$A$3004,$A24,Acuses!$B$5:$B$3004,AH$4)&lt;AH$5,"Pendiente",IF(AH$8=0,"OK",IF(EDATE(_xlfn.MAXIFS(Acuses!$D$5:$D$3004,Acuses!$A$5:$A$3004,$A24,Acuses!$B$5:$B$3004,AH$4,Acuses!$C$5:$C$3004,AH$5),AH$8)&lt;Resumen!$C$4,"Caducado",IF(EDATE(_xlfn.MAXIFS(Acuses!$D$5:$D$3004,Acuses!$A$5:$A$3004,$A24,Acuses!$B$5:$B$3004,AH$4,Acuses!$C$5:$C$3004,AH$5),AH$8)&lt;Resumen!$C$4+30,"Caduca pronto","OK"))))))</f>
        <v/>
      </c>
      <c r="AI24" s="26" t="str">
        <f aca="false">IF(OR($A24="",AI$4=""),"",IF(NOT(OR(AI$6="Toda la plantilla",ISNUMBER(SEARCH(";"&amp;SUBSTITUTE($C24," ","")&amp;";",";"&amp;SUBSTITUTE(AI$7," ","")&amp;";")))),"—",IF(_xlfn.MAXIFS(Acuses!$C$5:$C$3004,Acuses!$A$5:$A$3004,$A24,Acuses!$B$5:$B$3004,AI$4)&lt;AI$5,"Pendiente",IF(AI$8=0,"OK",IF(EDATE(_xlfn.MAXIFS(Acuses!$D$5:$D$3004,Acuses!$A$5:$A$3004,$A24,Acuses!$B$5:$B$3004,AI$4,Acuses!$C$5:$C$3004,AI$5),AI$8)&lt;Resumen!$C$4,"Caducado",IF(EDATE(_xlfn.MAXIFS(Acuses!$D$5:$D$3004,Acuses!$A$5:$A$3004,$A24,Acuses!$B$5:$B$3004,AI$4,Acuses!$C$5:$C$3004,AI$5),AI$8)&lt;Resumen!$C$4+30,"Caduca pronto","OK"))))))</f>
        <v/>
      </c>
      <c r="AJ24" s="26" t="str">
        <f aca="false">IF(OR($A24="",AJ$4=""),"",IF(NOT(OR(AJ$6="Toda la plantilla",ISNUMBER(SEARCH(";"&amp;SUBSTITUTE($C24," ","")&amp;";",";"&amp;SUBSTITUTE(AJ$7," ","")&amp;";")))),"—",IF(_xlfn.MAXIFS(Acuses!$C$5:$C$3004,Acuses!$A$5:$A$3004,$A24,Acuses!$B$5:$B$3004,AJ$4)&lt;AJ$5,"Pendiente",IF(AJ$8=0,"OK",IF(EDATE(_xlfn.MAXIFS(Acuses!$D$5:$D$3004,Acuses!$A$5:$A$3004,$A24,Acuses!$B$5:$B$3004,AJ$4,Acuses!$C$5:$C$3004,AJ$5),AJ$8)&lt;Resumen!$C$4,"Caducado",IF(EDATE(_xlfn.MAXIFS(Acuses!$D$5:$D$3004,Acuses!$A$5:$A$3004,$A24,Acuses!$B$5:$B$3004,AJ$4,Acuses!$C$5:$C$3004,AJ$5),AJ$8)&lt;Resumen!$C$4+30,"Caduca pronto","OK"))))))</f>
        <v/>
      </c>
      <c r="AK24" s="26" t="str">
        <f aca="false">IF(OR($A24="",AK$4=""),"",IF(NOT(OR(AK$6="Toda la plantilla",ISNUMBER(SEARCH(";"&amp;SUBSTITUTE($C24," ","")&amp;";",";"&amp;SUBSTITUTE(AK$7," ","")&amp;";")))),"—",IF(_xlfn.MAXIFS(Acuses!$C$5:$C$3004,Acuses!$A$5:$A$3004,$A24,Acuses!$B$5:$B$3004,AK$4)&lt;AK$5,"Pendiente",IF(AK$8=0,"OK",IF(EDATE(_xlfn.MAXIFS(Acuses!$D$5:$D$3004,Acuses!$A$5:$A$3004,$A24,Acuses!$B$5:$B$3004,AK$4,Acuses!$C$5:$C$3004,AK$5),AK$8)&lt;Resumen!$C$4,"Caducado",IF(EDATE(_xlfn.MAXIFS(Acuses!$D$5:$D$3004,Acuses!$A$5:$A$3004,$A24,Acuses!$B$5:$B$3004,AK$4,Acuses!$C$5:$C$3004,AK$5),AK$8)&lt;Resumen!$C$4+30,"Caduca pronto","OK"))))))</f>
        <v/>
      </c>
      <c r="AL24" s="26" t="str">
        <f aca="false">IF(OR($A24="",AL$4=""),"",IF(NOT(OR(AL$6="Toda la plantilla",ISNUMBER(SEARCH(";"&amp;SUBSTITUTE($C24," ","")&amp;";",";"&amp;SUBSTITUTE(AL$7," ","")&amp;";")))),"—",IF(_xlfn.MAXIFS(Acuses!$C$5:$C$3004,Acuses!$A$5:$A$3004,$A24,Acuses!$B$5:$B$3004,AL$4)&lt;AL$5,"Pendiente",IF(AL$8=0,"OK",IF(EDATE(_xlfn.MAXIFS(Acuses!$D$5:$D$3004,Acuses!$A$5:$A$3004,$A24,Acuses!$B$5:$B$3004,AL$4,Acuses!$C$5:$C$3004,AL$5),AL$8)&lt;Resumen!$C$4,"Caducado",IF(EDATE(_xlfn.MAXIFS(Acuses!$D$5:$D$3004,Acuses!$A$5:$A$3004,$A24,Acuses!$B$5:$B$3004,AL$4,Acuses!$C$5:$C$3004,AL$5),AL$8)&lt;Resumen!$C$4+30,"Caduca pronto","OK"))))))</f>
        <v/>
      </c>
      <c r="AM24" s="26" t="str">
        <f aca="false">IF(OR($A24="",AM$4=""),"",IF(NOT(OR(AM$6="Toda la plantilla",ISNUMBER(SEARCH(";"&amp;SUBSTITUTE($C24," ","")&amp;";",";"&amp;SUBSTITUTE(AM$7," ","")&amp;";")))),"—",IF(_xlfn.MAXIFS(Acuses!$C$5:$C$3004,Acuses!$A$5:$A$3004,$A24,Acuses!$B$5:$B$3004,AM$4)&lt;AM$5,"Pendiente",IF(AM$8=0,"OK",IF(EDATE(_xlfn.MAXIFS(Acuses!$D$5:$D$3004,Acuses!$A$5:$A$3004,$A24,Acuses!$B$5:$B$3004,AM$4,Acuses!$C$5:$C$3004,AM$5),AM$8)&lt;Resumen!$C$4,"Caducado",IF(EDATE(_xlfn.MAXIFS(Acuses!$D$5:$D$3004,Acuses!$A$5:$A$3004,$A24,Acuses!$B$5:$B$3004,AM$4,Acuses!$C$5:$C$3004,AM$5),AM$8)&lt;Resumen!$C$4+30,"Caduca pronto","OK"))))))</f>
        <v/>
      </c>
      <c r="AN24" s="26" t="str">
        <f aca="false">IF(OR($A24="",AN$4=""),"",IF(NOT(OR(AN$6="Toda la plantilla",ISNUMBER(SEARCH(";"&amp;SUBSTITUTE($C24," ","")&amp;";",";"&amp;SUBSTITUTE(AN$7," ","")&amp;";")))),"—",IF(_xlfn.MAXIFS(Acuses!$C$5:$C$3004,Acuses!$A$5:$A$3004,$A24,Acuses!$B$5:$B$3004,AN$4)&lt;AN$5,"Pendiente",IF(AN$8=0,"OK",IF(EDATE(_xlfn.MAXIFS(Acuses!$D$5:$D$3004,Acuses!$A$5:$A$3004,$A24,Acuses!$B$5:$B$3004,AN$4,Acuses!$C$5:$C$3004,AN$5),AN$8)&lt;Resumen!$C$4,"Caducado",IF(EDATE(_xlfn.MAXIFS(Acuses!$D$5:$D$3004,Acuses!$A$5:$A$3004,$A24,Acuses!$B$5:$B$3004,AN$4,Acuses!$C$5:$C$3004,AN$5),AN$8)&lt;Resumen!$C$4+30,"Caduca pronto","OK"))))))</f>
        <v/>
      </c>
      <c r="AO24" s="26" t="str">
        <f aca="false">IF(OR($A24="",AO$4=""),"",IF(NOT(OR(AO$6="Toda la plantilla",ISNUMBER(SEARCH(";"&amp;SUBSTITUTE($C24," ","")&amp;";",";"&amp;SUBSTITUTE(AO$7," ","")&amp;";")))),"—",IF(_xlfn.MAXIFS(Acuses!$C$5:$C$3004,Acuses!$A$5:$A$3004,$A24,Acuses!$B$5:$B$3004,AO$4)&lt;AO$5,"Pendiente",IF(AO$8=0,"OK",IF(EDATE(_xlfn.MAXIFS(Acuses!$D$5:$D$3004,Acuses!$A$5:$A$3004,$A24,Acuses!$B$5:$B$3004,AO$4,Acuses!$C$5:$C$3004,AO$5),AO$8)&lt;Resumen!$C$4,"Caducado",IF(EDATE(_xlfn.MAXIFS(Acuses!$D$5:$D$3004,Acuses!$A$5:$A$3004,$A24,Acuses!$B$5:$B$3004,AO$4,Acuses!$C$5:$C$3004,AO$5),AO$8)&lt;Resumen!$C$4+30,"Caduca pronto","OK"))))))</f>
        <v/>
      </c>
      <c r="AP24" s="26" t="str">
        <f aca="false">IF(OR($A24="",AP$4=""),"",IF(NOT(OR(AP$6="Toda la plantilla",ISNUMBER(SEARCH(";"&amp;SUBSTITUTE($C24," ","")&amp;";",";"&amp;SUBSTITUTE(AP$7," ","")&amp;";")))),"—",IF(_xlfn.MAXIFS(Acuses!$C$5:$C$3004,Acuses!$A$5:$A$3004,$A24,Acuses!$B$5:$B$3004,AP$4)&lt;AP$5,"Pendiente",IF(AP$8=0,"OK",IF(EDATE(_xlfn.MAXIFS(Acuses!$D$5:$D$3004,Acuses!$A$5:$A$3004,$A24,Acuses!$B$5:$B$3004,AP$4,Acuses!$C$5:$C$3004,AP$5),AP$8)&lt;Resumen!$C$4,"Caducado",IF(EDATE(_xlfn.MAXIFS(Acuses!$D$5:$D$3004,Acuses!$A$5:$A$3004,$A24,Acuses!$B$5:$B$3004,AP$4,Acuses!$C$5:$C$3004,AP$5),AP$8)&lt;Resumen!$C$4+30,"Caduca pronto","OK"))))))</f>
        <v/>
      </c>
      <c r="AQ24" s="26" t="str">
        <f aca="false">IF(OR($A24="",AQ$4=""),"",IF(NOT(OR(AQ$6="Toda la plantilla",ISNUMBER(SEARCH(";"&amp;SUBSTITUTE($C24," ","")&amp;";",";"&amp;SUBSTITUTE(AQ$7," ","")&amp;";")))),"—",IF(_xlfn.MAXIFS(Acuses!$C$5:$C$3004,Acuses!$A$5:$A$3004,$A24,Acuses!$B$5:$B$3004,AQ$4)&lt;AQ$5,"Pendiente",IF(AQ$8=0,"OK",IF(EDATE(_xlfn.MAXIFS(Acuses!$D$5:$D$3004,Acuses!$A$5:$A$3004,$A24,Acuses!$B$5:$B$3004,AQ$4,Acuses!$C$5:$C$3004,AQ$5),AQ$8)&lt;Resumen!$C$4,"Caducado",IF(EDATE(_xlfn.MAXIFS(Acuses!$D$5:$D$3004,Acuses!$A$5:$A$3004,$A24,Acuses!$B$5:$B$3004,AQ$4,Acuses!$C$5:$C$3004,AQ$5),AQ$8)&lt;Resumen!$C$4+30,"Caduca pronto","OK"))))))</f>
        <v/>
      </c>
    </row>
    <row r="25" customFormat="false" ht="15" hidden="false" customHeight="false" outlineLevel="0" collapsed="false">
      <c r="A25" s="25" t="str">
        <f aca="false">IF(AND(Trabajadores!$A$20&lt;&gt;"",Trabajadores!$G$20&lt;&gt;"No"),Trabajadores!$A$20,"")</f>
        <v/>
      </c>
      <c r="B25" s="25" t="str">
        <f aca="false">IF($A25="","",Trabajadores!$B$20)</f>
        <v/>
      </c>
      <c r="C25" s="25" t="str">
        <f aca="false">IF($A25="","",Trabajadores!$C$20)</f>
        <v/>
      </c>
      <c r="D25" s="26" t="str">
        <f aca="false">IF(OR($A25="",D$4=""),"",IF(NOT(OR(D$6="Toda la plantilla",ISNUMBER(SEARCH(";"&amp;SUBSTITUTE($C25," ","")&amp;";",";"&amp;SUBSTITUTE(D$7," ","")&amp;";")))),"—",IF(_xlfn.MAXIFS(Acuses!$C$5:$C$3004,Acuses!$A$5:$A$3004,$A25,Acuses!$B$5:$B$3004,D$4)&lt;D$5,"Pendiente",IF(D$8=0,"OK",IF(EDATE(_xlfn.MAXIFS(Acuses!$D$5:$D$3004,Acuses!$A$5:$A$3004,$A25,Acuses!$B$5:$B$3004,D$4,Acuses!$C$5:$C$3004,D$5),D$8)&lt;Resumen!$C$4,"Caducado",IF(EDATE(_xlfn.MAXIFS(Acuses!$D$5:$D$3004,Acuses!$A$5:$A$3004,$A25,Acuses!$B$5:$B$3004,D$4,Acuses!$C$5:$C$3004,D$5),D$8)&lt;Resumen!$C$4+30,"Caduca pronto","OK"))))))</f>
        <v/>
      </c>
      <c r="E25" s="26" t="str">
        <f aca="false">IF(OR($A25="",E$4=""),"",IF(NOT(OR(E$6="Toda la plantilla",ISNUMBER(SEARCH(";"&amp;SUBSTITUTE($C25," ","")&amp;";",";"&amp;SUBSTITUTE(E$7," ","")&amp;";")))),"—",IF(_xlfn.MAXIFS(Acuses!$C$5:$C$3004,Acuses!$A$5:$A$3004,$A25,Acuses!$B$5:$B$3004,E$4)&lt;E$5,"Pendiente",IF(E$8=0,"OK",IF(EDATE(_xlfn.MAXIFS(Acuses!$D$5:$D$3004,Acuses!$A$5:$A$3004,$A25,Acuses!$B$5:$B$3004,E$4,Acuses!$C$5:$C$3004,E$5),E$8)&lt;Resumen!$C$4,"Caducado",IF(EDATE(_xlfn.MAXIFS(Acuses!$D$5:$D$3004,Acuses!$A$5:$A$3004,$A25,Acuses!$B$5:$B$3004,E$4,Acuses!$C$5:$C$3004,E$5),E$8)&lt;Resumen!$C$4+30,"Caduca pronto","OK"))))))</f>
        <v/>
      </c>
      <c r="F25" s="26" t="str">
        <f aca="false">IF(OR($A25="",F$4=""),"",IF(NOT(OR(F$6="Toda la plantilla",ISNUMBER(SEARCH(";"&amp;SUBSTITUTE($C25," ","")&amp;";",";"&amp;SUBSTITUTE(F$7," ","")&amp;";")))),"—",IF(_xlfn.MAXIFS(Acuses!$C$5:$C$3004,Acuses!$A$5:$A$3004,$A25,Acuses!$B$5:$B$3004,F$4)&lt;F$5,"Pendiente",IF(F$8=0,"OK",IF(EDATE(_xlfn.MAXIFS(Acuses!$D$5:$D$3004,Acuses!$A$5:$A$3004,$A25,Acuses!$B$5:$B$3004,F$4,Acuses!$C$5:$C$3004,F$5),F$8)&lt;Resumen!$C$4,"Caducado",IF(EDATE(_xlfn.MAXIFS(Acuses!$D$5:$D$3004,Acuses!$A$5:$A$3004,$A25,Acuses!$B$5:$B$3004,F$4,Acuses!$C$5:$C$3004,F$5),F$8)&lt;Resumen!$C$4+30,"Caduca pronto","OK"))))))</f>
        <v/>
      </c>
      <c r="G25" s="26" t="str">
        <f aca="false">IF(OR($A25="",G$4=""),"",IF(NOT(OR(G$6="Toda la plantilla",ISNUMBER(SEARCH(";"&amp;SUBSTITUTE($C25," ","")&amp;";",";"&amp;SUBSTITUTE(G$7," ","")&amp;";")))),"—",IF(_xlfn.MAXIFS(Acuses!$C$5:$C$3004,Acuses!$A$5:$A$3004,$A25,Acuses!$B$5:$B$3004,G$4)&lt;G$5,"Pendiente",IF(G$8=0,"OK",IF(EDATE(_xlfn.MAXIFS(Acuses!$D$5:$D$3004,Acuses!$A$5:$A$3004,$A25,Acuses!$B$5:$B$3004,G$4,Acuses!$C$5:$C$3004,G$5),G$8)&lt;Resumen!$C$4,"Caducado",IF(EDATE(_xlfn.MAXIFS(Acuses!$D$5:$D$3004,Acuses!$A$5:$A$3004,$A25,Acuses!$B$5:$B$3004,G$4,Acuses!$C$5:$C$3004,G$5),G$8)&lt;Resumen!$C$4+30,"Caduca pronto","OK"))))))</f>
        <v/>
      </c>
      <c r="H25" s="26" t="str">
        <f aca="false">IF(OR($A25="",H$4=""),"",IF(NOT(OR(H$6="Toda la plantilla",ISNUMBER(SEARCH(";"&amp;SUBSTITUTE($C25," ","")&amp;";",";"&amp;SUBSTITUTE(H$7," ","")&amp;";")))),"—",IF(_xlfn.MAXIFS(Acuses!$C$5:$C$3004,Acuses!$A$5:$A$3004,$A25,Acuses!$B$5:$B$3004,H$4)&lt;H$5,"Pendiente",IF(H$8=0,"OK",IF(EDATE(_xlfn.MAXIFS(Acuses!$D$5:$D$3004,Acuses!$A$5:$A$3004,$A25,Acuses!$B$5:$B$3004,H$4,Acuses!$C$5:$C$3004,H$5),H$8)&lt;Resumen!$C$4,"Caducado",IF(EDATE(_xlfn.MAXIFS(Acuses!$D$5:$D$3004,Acuses!$A$5:$A$3004,$A25,Acuses!$B$5:$B$3004,H$4,Acuses!$C$5:$C$3004,H$5),H$8)&lt;Resumen!$C$4+30,"Caduca pronto","OK"))))))</f>
        <v/>
      </c>
      <c r="I25" s="26" t="str">
        <f aca="false">IF(OR($A25="",I$4=""),"",IF(NOT(OR(I$6="Toda la plantilla",ISNUMBER(SEARCH(";"&amp;SUBSTITUTE($C25," ","")&amp;";",";"&amp;SUBSTITUTE(I$7," ","")&amp;";")))),"—",IF(_xlfn.MAXIFS(Acuses!$C$5:$C$3004,Acuses!$A$5:$A$3004,$A25,Acuses!$B$5:$B$3004,I$4)&lt;I$5,"Pendiente",IF(I$8=0,"OK",IF(EDATE(_xlfn.MAXIFS(Acuses!$D$5:$D$3004,Acuses!$A$5:$A$3004,$A25,Acuses!$B$5:$B$3004,I$4,Acuses!$C$5:$C$3004,I$5),I$8)&lt;Resumen!$C$4,"Caducado",IF(EDATE(_xlfn.MAXIFS(Acuses!$D$5:$D$3004,Acuses!$A$5:$A$3004,$A25,Acuses!$B$5:$B$3004,I$4,Acuses!$C$5:$C$3004,I$5),I$8)&lt;Resumen!$C$4+30,"Caduca pronto","OK"))))))</f>
        <v/>
      </c>
      <c r="J25" s="26" t="str">
        <f aca="false">IF(OR($A25="",J$4=""),"",IF(NOT(OR(J$6="Toda la plantilla",ISNUMBER(SEARCH(";"&amp;SUBSTITUTE($C25," ","")&amp;";",";"&amp;SUBSTITUTE(J$7," ","")&amp;";")))),"—",IF(_xlfn.MAXIFS(Acuses!$C$5:$C$3004,Acuses!$A$5:$A$3004,$A25,Acuses!$B$5:$B$3004,J$4)&lt;J$5,"Pendiente",IF(J$8=0,"OK",IF(EDATE(_xlfn.MAXIFS(Acuses!$D$5:$D$3004,Acuses!$A$5:$A$3004,$A25,Acuses!$B$5:$B$3004,J$4,Acuses!$C$5:$C$3004,J$5),J$8)&lt;Resumen!$C$4,"Caducado",IF(EDATE(_xlfn.MAXIFS(Acuses!$D$5:$D$3004,Acuses!$A$5:$A$3004,$A25,Acuses!$B$5:$B$3004,J$4,Acuses!$C$5:$C$3004,J$5),J$8)&lt;Resumen!$C$4+30,"Caduca pronto","OK"))))))</f>
        <v/>
      </c>
      <c r="K25" s="26" t="str">
        <f aca="false">IF(OR($A25="",K$4=""),"",IF(NOT(OR(K$6="Toda la plantilla",ISNUMBER(SEARCH(";"&amp;SUBSTITUTE($C25," ","")&amp;";",";"&amp;SUBSTITUTE(K$7," ","")&amp;";")))),"—",IF(_xlfn.MAXIFS(Acuses!$C$5:$C$3004,Acuses!$A$5:$A$3004,$A25,Acuses!$B$5:$B$3004,K$4)&lt;K$5,"Pendiente",IF(K$8=0,"OK",IF(EDATE(_xlfn.MAXIFS(Acuses!$D$5:$D$3004,Acuses!$A$5:$A$3004,$A25,Acuses!$B$5:$B$3004,K$4,Acuses!$C$5:$C$3004,K$5),K$8)&lt;Resumen!$C$4,"Caducado",IF(EDATE(_xlfn.MAXIFS(Acuses!$D$5:$D$3004,Acuses!$A$5:$A$3004,$A25,Acuses!$B$5:$B$3004,K$4,Acuses!$C$5:$C$3004,K$5),K$8)&lt;Resumen!$C$4+30,"Caduca pronto","OK"))))))</f>
        <v/>
      </c>
      <c r="L25" s="26" t="str">
        <f aca="false">IF(OR($A25="",L$4=""),"",IF(NOT(OR(L$6="Toda la plantilla",ISNUMBER(SEARCH(";"&amp;SUBSTITUTE($C25," ","")&amp;";",";"&amp;SUBSTITUTE(L$7," ","")&amp;";")))),"—",IF(_xlfn.MAXIFS(Acuses!$C$5:$C$3004,Acuses!$A$5:$A$3004,$A25,Acuses!$B$5:$B$3004,L$4)&lt;L$5,"Pendiente",IF(L$8=0,"OK",IF(EDATE(_xlfn.MAXIFS(Acuses!$D$5:$D$3004,Acuses!$A$5:$A$3004,$A25,Acuses!$B$5:$B$3004,L$4,Acuses!$C$5:$C$3004,L$5),L$8)&lt;Resumen!$C$4,"Caducado",IF(EDATE(_xlfn.MAXIFS(Acuses!$D$5:$D$3004,Acuses!$A$5:$A$3004,$A25,Acuses!$B$5:$B$3004,L$4,Acuses!$C$5:$C$3004,L$5),L$8)&lt;Resumen!$C$4+30,"Caduca pronto","OK"))))))</f>
        <v/>
      </c>
      <c r="M25" s="26" t="str">
        <f aca="false">IF(OR($A25="",M$4=""),"",IF(NOT(OR(M$6="Toda la plantilla",ISNUMBER(SEARCH(";"&amp;SUBSTITUTE($C25," ","")&amp;";",";"&amp;SUBSTITUTE(M$7," ","")&amp;";")))),"—",IF(_xlfn.MAXIFS(Acuses!$C$5:$C$3004,Acuses!$A$5:$A$3004,$A25,Acuses!$B$5:$B$3004,M$4)&lt;M$5,"Pendiente",IF(M$8=0,"OK",IF(EDATE(_xlfn.MAXIFS(Acuses!$D$5:$D$3004,Acuses!$A$5:$A$3004,$A25,Acuses!$B$5:$B$3004,M$4,Acuses!$C$5:$C$3004,M$5),M$8)&lt;Resumen!$C$4,"Caducado",IF(EDATE(_xlfn.MAXIFS(Acuses!$D$5:$D$3004,Acuses!$A$5:$A$3004,$A25,Acuses!$B$5:$B$3004,M$4,Acuses!$C$5:$C$3004,M$5),M$8)&lt;Resumen!$C$4+30,"Caduca pronto","OK"))))))</f>
        <v/>
      </c>
      <c r="N25" s="26" t="str">
        <f aca="false">IF(OR($A25="",N$4=""),"",IF(NOT(OR(N$6="Toda la plantilla",ISNUMBER(SEARCH(";"&amp;SUBSTITUTE($C25," ","")&amp;";",";"&amp;SUBSTITUTE(N$7," ","")&amp;";")))),"—",IF(_xlfn.MAXIFS(Acuses!$C$5:$C$3004,Acuses!$A$5:$A$3004,$A25,Acuses!$B$5:$B$3004,N$4)&lt;N$5,"Pendiente",IF(N$8=0,"OK",IF(EDATE(_xlfn.MAXIFS(Acuses!$D$5:$D$3004,Acuses!$A$5:$A$3004,$A25,Acuses!$B$5:$B$3004,N$4,Acuses!$C$5:$C$3004,N$5),N$8)&lt;Resumen!$C$4,"Caducado",IF(EDATE(_xlfn.MAXIFS(Acuses!$D$5:$D$3004,Acuses!$A$5:$A$3004,$A25,Acuses!$B$5:$B$3004,N$4,Acuses!$C$5:$C$3004,N$5),N$8)&lt;Resumen!$C$4+30,"Caduca pronto","OK"))))))</f>
        <v/>
      </c>
      <c r="O25" s="26" t="str">
        <f aca="false">IF(OR($A25="",O$4=""),"",IF(NOT(OR(O$6="Toda la plantilla",ISNUMBER(SEARCH(";"&amp;SUBSTITUTE($C25," ","")&amp;";",";"&amp;SUBSTITUTE(O$7," ","")&amp;";")))),"—",IF(_xlfn.MAXIFS(Acuses!$C$5:$C$3004,Acuses!$A$5:$A$3004,$A25,Acuses!$B$5:$B$3004,O$4)&lt;O$5,"Pendiente",IF(O$8=0,"OK",IF(EDATE(_xlfn.MAXIFS(Acuses!$D$5:$D$3004,Acuses!$A$5:$A$3004,$A25,Acuses!$B$5:$B$3004,O$4,Acuses!$C$5:$C$3004,O$5),O$8)&lt;Resumen!$C$4,"Caducado",IF(EDATE(_xlfn.MAXIFS(Acuses!$D$5:$D$3004,Acuses!$A$5:$A$3004,$A25,Acuses!$B$5:$B$3004,O$4,Acuses!$C$5:$C$3004,O$5),O$8)&lt;Resumen!$C$4+30,"Caduca pronto","OK"))))))</f>
        <v/>
      </c>
      <c r="P25" s="26" t="str">
        <f aca="false">IF(OR($A25="",P$4=""),"",IF(NOT(OR(P$6="Toda la plantilla",ISNUMBER(SEARCH(";"&amp;SUBSTITUTE($C25," ","")&amp;";",";"&amp;SUBSTITUTE(P$7," ","")&amp;";")))),"—",IF(_xlfn.MAXIFS(Acuses!$C$5:$C$3004,Acuses!$A$5:$A$3004,$A25,Acuses!$B$5:$B$3004,P$4)&lt;P$5,"Pendiente",IF(P$8=0,"OK",IF(EDATE(_xlfn.MAXIFS(Acuses!$D$5:$D$3004,Acuses!$A$5:$A$3004,$A25,Acuses!$B$5:$B$3004,P$4,Acuses!$C$5:$C$3004,P$5),P$8)&lt;Resumen!$C$4,"Caducado",IF(EDATE(_xlfn.MAXIFS(Acuses!$D$5:$D$3004,Acuses!$A$5:$A$3004,$A25,Acuses!$B$5:$B$3004,P$4,Acuses!$C$5:$C$3004,P$5),P$8)&lt;Resumen!$C$4+30,"Caduca pronto","OK"))))))</f>
        <v/>
      </c>
      <c r="Q25" s="26" t="str">
        <f aca="false">IF(OR($A25="",Q$4=""),"",IF(NOT(OR(Q$6="Toda la plantilla",ISNUMBER(SEARCH(";"&amp;SUBSTITUTE($C25," ","")&amp;";",";"&amp;SUBSTITUTE(Q$7," ","")&amp;";")))),"—",IF(_xlfn.MAXIFS(Acuses!$C$5:$C$3004,Acuses!$A$5:$A$3004,$A25,Acuses!$B$5:$B$3004,Q$4)&lt;Q$5,"Pendiente",IF(Q$8=0,"OK",IF(EDATE(_xlfn.MAXIFS(Acuses!$D$5:$D$3004,Acuses!$A$5:$A$3004,$A25,Acuses!$B$5:$B$3004,Q$4,Acuses!$C$5:$C$3004,Q$5),Q$8)&lt;Resumen!$C$4,"Caducado",IF(EDATE(_xlfn.MAXIFS(Acuses!$D$5:$D$3004,Acuses!$A$5:$A$3004,$A25,Acuses!$B$5:$B$3004,Q$4,Acuses!$C$5:$C$3004,Q$5),Q$8)&lt;Resumen!$C$4+30,"Caduca pronto","OK"))))))</f>
        <v/>
      </c>
      <c r="R25" s="26" t="str">
        <f aca="false">IF(OR($A25="",R$4=""),"",IF(NOT(OR(R$6="Toda la plantilla",ISNUMBER(SEARCH(";"&amp;SUBSTITUTE($C25," ","")&amp;";",";"&amp;SUBSTITUTE(R$7," ","")&amp;";")))),"—",IF(_xlfn.MAXIFS(Acuses!$C$5:$C$3004,Acuses!$A$5:$A$3004,$A25,Acuses!$B$5:$B$3004,R$4)&lt;R$5,"Pendiente",IF(R$8=0,"OK",IF(EDATE(_xlfn.MAXIFS(Acuses!$D$5:$D$3004,Acuses!$A$5:$A$3004,$A25,Acuses!$B$5:$B$3004,R$4,Acuses!$C$5:$C$3004,R$5),R$8)&lt;Resumen!$C$4,"Caducado",IF(EDATE(_xlfn.MAXIFS(Acuses!$D$5:$D$3004,Acuses!$A$5:$A$3004,$A25,Acuses!$B$5:$B$3004,R$4,Acuses!$C$5:$C$3004,R$5),R$8)&lt;Resumen!$C$4+30,"Caduca pronto","OK"))))))</f>
        <v/>
      </c>
      <c r="S25" s="26" t="str">
        <f aca="false">IF(OR($A25="",S$4=""),"",IF(NOT(OR(S$6="Toda la plantilla",ISNUMBER(SEARCH(";"&amp;SUBSTITUTE($C25," ","")&amp;";",";"&amp;SUBSTITUTE(S$7," ","")&amp;";")))),"—",IF(_xlfn.MAXIFS(Acuses!$C$5:$C$3004,Acuses!$A$5:$A$3004,$A25,Acuses!$B$5:$B$3004,S$4)&lt;S$5,"Pendiente",IF(S$8=0,"OK",IF(EDATE(_xlfn.MAXIFS(Acuses!$D$5:$D$3004,Acuses!$A$5:$A$3004,$A25,Acuses!$B$5:$B$3004,S$4,Acuses!$C$5:$C$3004,S$5),S$8)&lt;Resumen!$C$4,"Caducado",IF(EDATE(_xlfn.MAXIFS(Acuses!$D$5:$D$3004,Acuses!$A$5:$A$3004,$A25,Acuses!$B$5:$B$3004,S$4,Acuses!$C$5:$C$3004,S$5),S$8)&lt;Resumen!$C$4+30,"Caduca pronto","OK"))))))</f>
        <v/>
      </c>
      <c r="T25" s="26" t="str">
        <f aca="false">IF(OR($A25="",T$4=""),"",IF(NOT(OR(T$6="Toda la plantilla",ISNUMBER(SEARCH(";"&amp;SUBSTITUTE($C25," ","")&amp;";",";"&amp;SUBSTITUTE(T$7," ","")&amp;";")))),"—",IF(_xlfn.MAXIFS(Acuses!$C$5:$C$3004,Acuses!$A$5:$A$3004,$A25,Acuses!$B$5:$B$3004,T$4)&lt;T$5,"Pendiente",IF(T$8=0,"OK",IF(EDATE(_xlfn.MAXIFS(Acuses!$D$5:$D$3004,Acuses!$A$5:$A$3004,$A25,Acuses!$B$5:$B$3004,T$4,Acuses!$C$5:$C$3004,T$5),T$8)&lt;Resumen!$C$4,"Caducado",IF(EDATE(_xlfn.MAXIFS(Acuses!$D$5:$D$3004,Acuses!$A$5:$A$3004,$A25,Acuses!$B$5:$B$3004,T$4,Acuses!$C$5:$C$3004,T$5),T$8)&lt;Resumen!$C$4+30,"Caduca pronto","OK"))))))</f>
        <v/>
      </c>
      <c r="U25" s="26" t="str">
        <f aca="false">IF(OR($A25="",U$4=""),"",IF(NOT(OR(U$6="Toda la plantilla",ISNUMBER(SEARCH(";"&amp;SUBSTITUTE($C25," ","")&amp;";",";"&amp;SUBSTITUTE(U$7," ","")&amp;";")))),"—",IF(_xlfn.MAXIFS(Acuses!$C$5:$C$3004,Acuses!$A$5:$A$3004,$A25,Acuses!$B$5:$B$3004,U$4)&lt;U$5,"Pendiente",IF(U$8=0,"OK",IF(EDATE(_xlfn.MAXIFS(Acuses!$D$5:$D$3004,Acuses!$A$5:$A$3004,$A25,Acuses!$B$5:$B$3004,U$4,Acuses!$C$5:$C$3004,U$5),U$8)&lt;Resumen!$C$4,"Caducado",IF(EDATE(_xlfn.MAXIFS(Acuses!$D$5:$D$3004,Acuses!$A$5:$A$3004,$A25,Acuses!$B$5:$B$3004,U$4,Acuses!$C$5:$C$3004,U$5),U$8)&lt;Resumen!$C$4+30,"Caduca pronto","OK"))))))</f>
        <v/>
      </c>
      <c r="V25" s="26" t="str">
        <f aca="false">IF(OR($A25="",V$4=""),"",IF(NOT(OR(V$6="Toda la plantilla",ISNUMBER(SEARCH(";"&amp;SUBSTITUTE($C25," ","")&amp;";",";"&amp;SUBSTITUTE(V$7," ","")&amp;";")))),"—",IF(_xlfn.MAXIFS(Acuses!$C$5:$C$3004,Acuses!$A$5:$A$3004,$A25,Acuses!$B$5:$B$3004,V$4)&lt;V$5,"Pendiente",IF(V$8=0,"OK",IF(EDATE(_xlfn.MAXIFS(Acuses!$D$5:$D$3004,Acuses!$A$5:$A$3004,$A25,Acuses!$B$5:$B$3004,V$4,Acuses!$C$5:$C$3004,V$5),V$8)&lt;Resumen!$C$4,"Caducado",IF(EDATE(_xlfn.MAXIFS(Acuses!$D$5:$D$3004,Acuses!$A$5:$A$3004,$A25,Acuses!$B$5:$B$3004,V$4,Acuses!$C$5:$C$3004,V$5),V$8)&lt;Resumen!$C$4+30,"Caduca pronto","OK"))))))</f>
        <v/>
      </c>
      <c r="W25" s="26" t="str">
        <f aca="false">IF(OR($A25="",W$4=""),"",IF(NOT(OR(W$6="Toda la plantilla",ISNUMBER(SEARCH(";"&amp;SUBSTITUTE($C25," ","")&amp;";",";"&amp;SUBSTITUTE(W$7," ","")&amp;";")))),"—",IF(_xlfn.MAXIFS(Acuses!$C$5:$C$3004,Acuses!$A$5:$A$3004,$A25,Acuses!$B$5:$B$3004,W$4)&lt;W$5,"Pendiente",IF(W$8=0,"OK",IF(EDATE(_xlfn.MAXIFS(Acuses!$D$5:$D$3004,Acuses!$A$5:$A$3004,$A25,Acuses!$B$5:$B$3004,W$4,Acuses!$C$5:$C$3004,W$5),W$8)&lt;Resumen!$C$4,"Caducado",IF(EDATE(_xlfn.MAXIFS(Acuses!$D$5:$D$3004,Acuses!$A$5:$A$3004,$A25,Acuses!$B$5:$B$3004,W$4,Acuses!$C$5:$C$3004,W$5),W$8)&lt;Resumen!$C$4+30,"Caduca pronto","OK"))))))</f>
        <v/>
      </c>
      <c r="X25" s="26" t="str">
        <f aca="false">IF(OR($A25="",X$4=""),"",IF(NOT(OR(X$6="Toda la plantilla",ISNUMBER(SEARCH(";"&amp;SUBSTITUTE($C25," ","")&amp;";",";"&amp;SUBSTITUTE(X$7," ","")&amp;";")))),"—",IF(_xlfn.MAXIFS(Acuses!$C$5:$C$3004,Acuses!$A$5:$A$3004,$A25,Acuses!$B$5:$B$3004,X$4)&lt;X$5,"Pendiente",IF(X$8=0,"OK",IF(EDATE(_xlfn.MAXIFS(Acuses!$D$5:$D$3004,Acuses!$A$5:$A$3004,$A25,Acuses!$B$5:$B$3004,X$4,Acuses!$C$5:$C$3004,X$5),X$8)&lt;Resumen!$C$4,"Caducado",IF(EDATE(_xlfn.MAXIFS(Acuses!$D$5:$D$3004,Acuses!$A$5:$A$3004,$A25,Acuses!$B$5:$B$3004,X$4,Acuses!$C$5:$C$3004,X$5),X$8)&lt;Resumen!$C$4+30,"Caduca pronto","OK"))))))</f>
        <v/>
      </c>
      <c r="Y25" s="26" t="str">
        <f aca="false">IF(OR($A25="",Y$4=""),"",IF(NOT(OR(Y$6="Toda la plantilla",ISNUMBER(SEARCH(";"&amp;SUBSTITUTE($C25," ","")&amp;";",";"&amp;SUBSTITUTE(Y$7," ","")&amp;";")))),"—",IF(_xlfn.MAXIFS(Acuses!$C$5:$C$3004,Acuses!$A$5:$A$3004,$A25,Acuses!$B$5:$B$3004,Y$4)&lt;Y$5,"Pendiente",IF(Y$8=0,"OK",IF(EDATE(_xlfn.MAXIFS(Acuses!$D$5:$D$3004,Acuses!$A$5:$A$3004,$A25,Acuses!$B$5:$B$3004,Y$4,Acuses!$C$5:$C$3004,Y$5),Y$8)&lt;Resumen!$C$4,"Caducado",IF(EDATE(_xlfn.MAXIFS(Acuses!$D$5:$D$3004,Acuses!$A$5:$A$3004,$A25,Acuses!$B$5:$B$3004,Y$4,Acuses!$C$5:$C$3004,Y$5),Y$8)&lt;Resumen!$C$4+30,"Caduca pronto","OK"))))))</f>
        <v/>
      </c>
      <c r="Z25" s="26" t="str">
        <f aca="false">IF(OR($A25="",Z$4=""),"",IF(NOT(OR(Z$6="Toda la plantilla",ISNUMBER(SEARCH(";"&amp;SUBSTITUTE($C25," ","")&amp;";",";"&amp;SUBSTITUTE(Z$7," ","")&amp;";")))),"—",IF(_xlfn.MAXIFS(Acuses!$C$5:$C$3004,Acuses!$A$5:$A$3004,$A25,Acuses!$B$5:$B$3004,Z$4)&lt;Z$5,"Pendiente",IF(Z$8=0,"OK",IF(EDATE(_xlfn.MAXIFS(Acuses!$D$5:$D$3004,Acuses!$A$5:$A$3004,$A25,Acuses!$B$5:$B$3004,Z$4,Acuses!$C$5:$C$3004,Z$5),Z$8)&lt;Resumen!$C$4,"Caducado",IF(EDATE(_xlfn.MAXIFS(Acuses!$D$5:$D$3004,Acuses!$A$5:$A$3004,$A25,Acuses!$B$5:$B$3004,Z$4,Acuses!$C$5:$C$3004,Z$5),Z$8)&lt;Resumen!$C$4+30,"Caduca pronto","OK"))))))</f>
        <v/>
      </c>
      <c r="AA25" s="26" t="str">
        <f aca="false">IF(OR($A25="",AA$4=""),"",IF(NOT(OR(AA$6="Toda la plantilla",ISNUMBER(SEARCH(";"&amp;SUBSTITUTE($C25," ","")&amp;";",";"&amp;SUBSTITUTE(AA$7," ","")&amp;";")))),"—",IF(_xlfn.MAXIFS(Acuses!$C$5:$C$3004,Acuses!$A$5:$A$3004,$A25,Acuses!$B$5:$B$3004,AA$4)&lt;AA$5,"Pendiente",IF(AA$8=0,"OK",IF(EDATE(_xlfn.MAXIFS(Acuses!$D$5:$D$3004,Acuses!$A$5:$A$3004,$A25,Acuses!$B$5:$B$3004,AA$4,Acuses!$C$5:$C$3004,AA$5),AA$8)&lt;Resumen!$C$4,"Caducado",IF(EDATE(_xlfn.MAXIFS(Acuses!$D$5:$D$3004,Acuses!$A$5:$A$3004,$A25,Acuses!$B$5:$B$3004,AA$4,Acuses!$C$5:$C$3004,AA$5),AA$8)&lt;Resumen!$C$4+30,"Caduca pronto","OK"))))))</f>
        <v/>
      </c>
      <c r="AB25" s="26" t="str">
        <f aca="false">IF(OR($A25="",AB$4=""),"",IF(NOT(OR(AB$6="Toda la plantilla",ISNUMBER(SEARCH(";"&amp;SUBSTITUTE($C25," ","")&amp;";",";"&amp;SUBSTITUTE(AB$7," ","")&amp;";")))),"—",IF(_xlfn.MAXIFS(Acuses!$C$5:$C$3004,Acuses!$A$5:$A$3004,$A25,Acuses!$B$5:$B$3004,AB$4)&lt;AB$5,"Pendiente",IF(AB$8=0,"OK",IF(EDATE(_xlfn.MAXIFS(Acuses!$D$5:$D$3004,Acuses!$A$5:$A$3004,$A25,Acuses!$B$5:$B$3004,AB$4,Acuses!$C$5:$C$3004,AB$5),AB$8)&lt;Resumen!$C$4,"Caducado",IF(EDATE(_xlfn.MAXIFS(Acuses!$D$5:$D$3004,Acuses!$A$5:$A$3004,$A25,Acuses!$B$5:$B$3004,AB$4,Acuses!$C$5:$C$3004,AB$5),AB$8)&lt;Resumen!$C$4+30,"Caduca pronto","OK"))))))</f>
        <v/>
      </c>
      <c r="AC25" s="26" t="str">
        <f aca="false">IF(OR($A25="",AC$4=""),"",IF(NOT(OR(AC$6="Toda la plantilla",ISNUMBER(SEARCH(";"&amp;SUBSTITUTE($C25," ","")&amp;";",";"&amp;SUBSTITUTE(AC$7," ","")&amp;";")))),"—",IF(_xlfn.MAXIFS(Acuses!$C$5:$C$3004,Acuses!$A$5:$A$3004,$A25,Acuses!$B$5:$B$3004,AC$4)&lt;AC$5,"Pendiente",IF(AC$8=0,"OK",IF(EDATE(_xlfn.MAXIFS(Acuses!$D$5:$D$3004,Acuses!$A$5:$A$3004,$A25,Acuses!$B$5:$B$3004,AC$4,Acuses!$C$5:$C$3004,AC$5),AC$8)&lt;Resumen!$C$4,"Caducado",IF(EDATE(_xlfn.MAXIFS(Acuses!$D$5:$D$3004,Acuses!$A$5:$A$3004,$A25,Acuses!$B$5:$B$3004,AC$4,Acuses!$C$5:$C$3004,AC$5),AC$8)&lt;Resumen!$C$4+30,"Caduca pronto","OK"))))))</f>
        <v/>
      </c>
      <c r="AD25" s="26" t="str">
        <f aca="false">IF(OR($A25="",AD$4=""),"",IF(NOT(OR(AD$6="Toda la plantilla",ISNUMBER(SEARCH(";"&amp;SUBSTITUTE($C25," ","")&amp;";",";"&amp;SUBSTITUTE(AD$7," ","")&amp;";")))),"—",IF(_xlfn.MAXIFS(Acuses!$C$5:$C$3004,Acuses!$A$5:$A$3004,$A25,Acuses!$B$5:$B$3004,AD$4)&lt;AD$5,"Pendiente",IF(AD$8=0,"OK",IF(EDATE(_xlfn.MAXIFS(Acuses!$D$5:$D$3004,Acuses!$A$5:$A$3004,$A25,Acuses!$B$5:$B$3004,AD$4,Acuses!$C$5:$C$3004,AD$5),AD$8)&lt;Resumen!$C$4,"Caducado",IF(EDATE(_xlfn.MAXIFS(Acuses!$D$5:$D$3004,Acuses!$A$5:$A$3004,$A25,Acuses!$B$5:$B$3004,AD$4,Acuses!$C$5:$C$3004,AD$5),AD$8)&lt;Resumen!$C$4+30,"Caduca pronto","OK"))))))</f>
        <v/>
      </c>
      <c r="AE25" s="26" t="str">
        <f aca="false">IF(OR($A25="",AE$4=""),"",IF(NOT(OR(AE$6="Toda la plantilla",ISNUMBER(SEARCH(";"&amp;SUBSTITUTE($C25," ","")&amp;";",";"&amp;SUBSTITUTE(AE$7," ","")&amp;";")))),"—",IF(_xlfn.MAXIFS(Acuses!$C$5:$C$3004,Acuses!$A$5:$A$3004,$A25,Acuses!$B$5:$B$3004,AE$4)&lt;AE$5,"Pendiente",IF(AE$8=0,"OK",IF(EDATE(_xlfn.MAXIFS(Acuses!$D$5:$D$3004,Acuses!$A$5:$A$3004,$A25,Acuses!$B$5:$B$3004,AE$4,Acuses!$C$5:$C$3004,AE$5),AE$8)&lt;Resumen!$C$4,"Caducado",IF(EDATE(_xlfn.MAXIFS(Acuses!$D$5:$D$3004,Acuses!$A$5:$A$3004,$A25,Acuses!$B$5:$B$3004,AE$4,Acuses!$C$5:$C$3004,AE$5),AE$8)&lt;Resumen!$C$4+30,"Caduca pronto","OK"))))))</f>
        <v/>
      </c>
      <c r="AF25" s="26" t="str">
        <f aca="false">IF(OR($A25="",AF$4=""),"",IF(NOT(OR(AF$6="Toda la plantilla",ISNUMBER(SEARCH(";"&amp;SUBSTITUTE($C25," ","")&amp;";",";"&amp;SUBSTITUTE(AF$7," ","")&amp;";")))),"—",IF(_xlfn.MAXIFS(Acuses!$C$5:$C$3004,Acuses!$A$5:$A$3004,$A25,Acuses!$B$5:$B$3004,AF$4)&lt;AF$5,"Pendiente",IF(AF$8=0,"OK",IF(EDATE(_xlfn.MAXIFS(Acuses!$D$5:$D$3004,Acuses!$A$5:$A$3004,$A25,Acuses!$B$5:$B$3004,AF$4,Acuses!$C$5:$C$3004,AF$5),AF$8)&lt;Resumen!$C$4,"Caducado",IF(EDATE(_xlfn.MAXIFS(Acuses!$D$5:$D$3004,Acuses!$A$5:$A$3004,$A25,Acuses!$B$5:$B$3004,AF$4,Acuses!$C$5:$C$3004,AF$5),AF$8)&lt;Resumen!$C$4+30,"Caduca pronto","OK"))))))</f>
        <v/>
      </c>
      <c r="AG25" s="26" t="str">
        <f aca="false">IF(OR($A25="",AG$4=""),"",IF(NOT(OR(AG$6="Toda la plantilla",ISNUMBER(SEARCH(";"&amp;SUBSTITUTE($C25," ","")&amp;";",";"&amp;SUBSTITUTE(AG$7," ","")&amp;";")))),"—",IF(_xlfn.MAXIFS(Acuses!$C$5:$C$3004,Acuses!$A$5:$A$3004,$A25,Acuses!$B$5:$B$3004,AG$4)&lt;AG$5,"Pendiente",IF(AG$8=0,"OK",IF(EDATE(_xlfn.MAXIFS(Acuses!$D$5:$D$3004,Acuses!$A$5:$A$3004,$A25,Acuses!$B$5:$B$3004,AG$4,Acuses!$C$5:$C$3004,AG$5),AG$8)&lt;Resumen!$C$4,"Caducado",IF(EDATE(_xlfn.MAXIFS(Acuses!$D$5:$D$3004,Acuses!$A$5:$A$3004,$A25,Acuses!$B$5:$B$3004,AG$4,Acuses!$C$5:$C$3004,AG$5),AG$8)&lt;Resumen!$C$4+30,"Caduca pronto","OK"))))))</f>
        <v/>
      </c>
      <c r="AH25" s="26" t="str">
        <f aca="false">IF(OR($A25="",AH$4=""),"",IF(NOT(OR(AH$6="Toda la plantilla",ISNUMBER(SEARCH(";"&amp;SUBSTITUTE($C25," ","")&amp;";",";"&amp;SUBSTITUTE(AH$7," ","")&amp;";")))),"—",IF(_xlfn.MAXIFS(Acuses!$C$5:$C$3004,Acuses!$A$5:$A$3004,$A25,Acuses!$B$5:$B$3004,AH$4)&lt;AH$5,"Pendiente",IF(AH$8=0,"OK",IF(EDATE(_xlfn.MAXIFS(Acuses!$D$5:$D$3004,Acuses!$A$5:$A$3004,$A25,Acuses!$B$5:$B$3004,AH$4,Acuses!$C$5:$C$3004,AH$5),AH$8)&lt;Resumen!$C$4,"Caducado",IF(EDATE(_xlfn.MAXIFS(Acuses!$D$5:$D$3004,Acuses!$A$5:$A$3004,$A25,Acuses!$B$5:$B$3004,AH$4,Acuses!$C$5:$C$3004,AH$5),AH$8)&lt;Resumen!$C$4+30,"Caduca pronto","OK"))))))</f>
        <v/>
      </c>
      <c r="AI25" s="26" t="str">
        <f aca="false">IF(OR($A25="",AI$4=""),"",IF(NOT(OR(AI$6="Toda la plantilla",ISNUMBER(SEARCH(";"&amp;SUBSTITUTE($C25," ","")&amp;";",";"&amp;SUBSTITUTE(AI$7," ","")&amp;";")))),"—",IF(_xlfn.MAXIFS(Acuses!$C$5:$C$3004,Acuses!$A$5:$A$3004,$A25,Acuses!$B$5:$B$3004,AI$4)&lt;AI$5,"Pendiente",IF(AI$8=0,"OK",IF(EDATE(_xlfn.MAXIFS(Acuses!$D$5:$D$3004,Acuses!$A$5:$A$3004,$A25,Acuses!$B$5:$B$3004,AI$4,Acuses!$C$5:$C$3004,AI$5),AI$8)&lt;Resumen!$C$4,"Caducado",IF(EDATE(_xlfn.MAXIFS(Acuses!$D$5:$D$3004,Acuses!$A$5:$A$3004,$A25,Acuses!$B$5:$B$3004,AI$4,Acuses!$C$5:$C$3004,AI$5),AI$8)&lt;Resumen!$C$4+30,"Caduca pronto","OK"))))))</f>
        <v/>
      </c>
      <c r="AJ25" s="26" t="str">
        <f aca="false">IF(OR($A25="",AJ$4=""),"",IF(NOT(OR(AJ$6="Toda la plantilla",ISNUMBER(SEARCH(";"&amp;SUBSTITUTE($C25," ","")&amp;";",";"&amp;SUBSTITUTE(AJ$7," ","")&amp;";")))),"—",IF(_xlfn.MAXIFS(Acuses!$C$5:$C$3004,Acuses!$A$5:$A$3004,$A25,Acuses!$B$5:$B$3004,AJ$4)&lt;AJ$5,"Pendiente",IF(AJ$8=0,"OK",IF(EDATE(_xlfn.MAXIFS(Acuses!$D$5:$D$3004,Acuses!$A$5:$A$3004,$A25,Acuses!$B$5:$B$3004,AJ$4,Acuses!$C$5:$C$3004,AJ$5),AJ$8)&lt;Resumen!$C$4,"Caducado",IF(EDATE(_xlfn.MAXIFS(Acuses!$D$5:$D$3004,Acuses!$A$5:$A$3004,$A25,Acuses!$B$5:$B$3004,AJ$4,Acuses!$C$5:$C$3004,AJ$5),AJ$8)&lt;Resumen!$C$4+30,"Caduca pronto","OK"))))))</f>
        <v/>
      </c>
      <c r="AK25" s="26" t="str">
        <f aca="false">IF(OR($A25="",AK$4=""),"",IF(NOT(OR(AK$6="Toda la plantilla",ISNUMBER(SEARCH(";"&amp;SUBSTITUTE($C25," ","")&amp;";",";"&amp;SUBSTITUTE(AK$7," ","")&amp;";")))),"—",IF(_xlfn.MAXIFS(Acuses!$C$5:$C$3004,Acuses!$A$5:$A$3004,$A25,Acuses!$B$5:$B$3004,AK$4)&lt;AK$5,"Pendiente",IF(AK$8=0,"OK",IF(EDATE(_xlfn.MAXIFS(Acuses!$D$5:$D$3004,Acuses!$A$5:$A$3004,$A25,Acuses!$B$5:$B$3004,AK$4,Acuses!$C$5:$C$3004,AK$5),AK$8)&lt;Resumen!$C$4,"Caducado",IF(EDATE(_xlfn.MAXIFS(Acuses!$D$5:$D$3004,Acuses!$A$5:$A$3004,$A25,Acuses!$B$5:$B$3004,AK$4,Acuses!$C$5:$C$3004,AK$5),AK$8)&lt;Resumen!$C$4+30,"Caduca pronto","OK"))))))</f>
        <v/>
      </c>
      <c r="AL25" s="26" t="str">
        <f aca="false">IF(OR($A25="",AL$4=""),"",IF(NOT(OR(AL$6="Toda la plantilla",ISNUMBER(SEARCH(";"&amp;SUBSTITUTE($C25," ","")&amp;";",";"&amp;SUBSTITUTE(AL$7," ","")&amp;";")))),"—",IF(_xlfn.MAXIFS(Acuses!$C$5:$C$3004,Acuses!$A$5:$A$3004,$A25,Acuses!$B$5:$B$3004,AL$4)&lt;AL$5,"Pendiente",IF(AL$8=0,"OK",IF(EDATE(_xlfn.MAXIFS(Acuses!$D$5:$D$3004,Acuses!$A$5:$A$3004,$A25,Acuses!$B$5:$B$3004,AL$4,Acuses!$C$5:$C$3004,AL$5),AL$8)&lt;Resumen!$C$4,"Caducado",IF(EDATE(_xlfn.MAXIFS(Acuses!$D$5:$D$3004,Acuses!$A$5:$A$3004,$A25,Acuses!$B$5:$B$3004,AL$4,Acuses!$C$5:$C$3004,AL$5),AL$8)&lt;Resumen!$C$4+30,"Caduca pronto","OK"))))))</f>
        <v/>
      </c>
      <c r="AM25" s="26" t="str">
        <f aca="false">IF(OR($A25="",AM$4=""),"",IF(NOT(OR(AM$6="Toda la plantilla",ISNUMBER(SEARCH(";"&amp;SUBSTITUTE($C25," ","")&amp;";",";"&amp;SUBSTITUTE(AM$7," ","")&amp;";")))),"—",IF(_xlfn.MAXIFS(Acuses!$C$5:$C$3004,Acuses!$A$5:$A$3004,$A25,Acuses!$B$5:$B$3004,AM$4)&lt;AM$5,"Pendiente",IF(AM$8=0,"OK",IF(EDATE(_xlfn.MAXIFS(Acuses!$D$5:$D$3004,Acuses!$A$5:$A$3004,$A25,Acuses!$B$5:$B$3004,AM$4,Acuses!$C$5:$C$3004,AM$5),AM$8)&lt;Resumen!$C$4,"Caducado",IF(EDATE(_xlfn.MAXIFS(Acuses!$D$5:$D$3004,Acuses!$A$5:$A$3004,$A25,Acuses!$B$5:$B$3004,AM$4,Acuses!$C$5:$C$3004,AM$5),AM$8)&lt;Resumen!$C$4+30,"Caduca pronto","OK"))))))</f>
        <v/>
      </c>
      <c r="AN25" s="26" t="str">
        <f aca="false">IF(OR($A25="",AN$4=""),"",IF(NOT(OR(AN$6="Toda la plantilla",ISNUMBER(SEARCH(";"&amp;SUBSTITUTE($C25," ","")&amp;";",";"&amp;SUBSTITUTE(AN$7," ","")&amp;";")))),"—",IF(_xlfn.MAXIFS(Acuses!$C$5:$C$3004,Acuses!$A$5:$A$3004,$A25,Acuses!$B$5:$B$3004,AN$4)&lt;AN$5,"Pendiente",IF(AN$8=0,"OK",IF(EDATE(_xlfn.MAXIFS(Acuses!$D$5:$D$3004,Acuses!$A$5:$A$3004,$A25,Acuses!$B$5:$B$3004,AN$4,Acuses!$C$5:$C$3004,AN$5),AN$8)&lt;Resumen!$C$4,"Caducado",IF(EDATE(_xlfn.MAXIFS(Acuses!$D$5:$D$3004,Acuses!$A$5:$A$3004,$A25,Acuses!$B$5:$B$3004,AN$4,Acuses!$C$5:$C$3004,AN$5),AN$8)&lt;Resumen!$C$4+30,"Caduca pronto","OK"))))))</f>
        <v/>
      </c>
      <c r="AO25" s="26" t="str">
        <f aca="false">IF(OR($A25="",AO$4=""),"",IF(NOT(OR(AO$6="Toda la plantilla",ISNUMBER(SEARCH(";"&amp;SUBSTITUTE($C25," ","")&amp;";",";"&amp;SUBSTITUTE(AO$7," ","")&amp;";")))),"—",IF(_xlfn.MAXIFS(Acuses!$C$5:$C$3004,Acuses!$A$5:$A$3004,$A25,Acuses!$B$5:$B$3004,AO$4)&lt;AO$5,"Pendiente",IF(AO$8=0,"OK",IF(EDATE(_xlfn.MAXIFS(Acuses!$D$5:$D$3004,Acuses!$A$5:$A$3004,$A25,Acuses!$B$5:$B$3004,AO$4,Acuses!$C$5:$C$3004,AO$5),AO$8)&lt;Resumen!$C$4,"Caducado",IF(EDATE(_xlfn.MAXIFS(Acuses!$D$5:$D$3004,Acuses!$A$5:$A$3004,$A25,Acuses!$B$5:$B$3004,AO$4,Acuses!$C$5:$C$3004,AO$5),AO$8)&lt;Resumen!$C$4+30,"Caduca pronto","OK"))))))</f>
        <v/>
      </c>
      <c r="AP25" s="26" t="str">
        <f aca="false">IF(OR($A25="",AP$4=""),"",IF(NOT(OR(AP$6="Toda la plantilla",ISNUMBER(SEARCH(";"&amp;SUBSTITUTE($C25," ","")&amp;";",";"&amp;SUBSTITUTE(AP$7," ","")&amp;";")))),"—",IF(_xlfn.MAXIFS(Acuses!$C$5:$C$3004,Acuses!$A$5:$A$3004,$A25,Acuses!$B$5:$B$3004,AP$4)&lt;AP$5,"Pendiente",IF(AP$8=0,"OK",IF(EDATE(_xlfn.MAXIFS(Acuses!$D$5:$D$3004,Acuses!$A$5:$A$3004,$A25,Acuses!$B$5:$B$3004,AP$4,Acuses!$C$5:$C$3004,AP$5),AP$8)&lt;Resumen!$C$4,"Caducado",IF(EDATE(_xlfn.MAXIFS(Acuses!$D$5:$D$3004,Acuses!$A$5:$A$3004,$A25,Acuses!$B$5:$B$3004,AP$4,Acuses!$C$5:$C$3004,AP$5),AP$8)&lt;Resumen!$C$4+30,"Caduca pronto","OK"))))))</f>
        <v/>
      </c>
      <c r="AQ25" s="26" t="str">
        <f aca="false">IF(OR($A25="",AQ$4=""),"",IF(NOT(OR(AQ$6="Toda la plantilla",ISNUMBER(SEARCH(";"&amp;SUBSTITUTE($C25," ","")&amp;";",";"&amp;SUBSTITUTE(AQ$7," ","")&amp;";")))),"—",IF(_xlfn.MAXIFS(Acuses!$C$5:$C$3004,Acuses!$A$5:$A$3004,$A25,Acuses!$B$5:$B$3004,AQ$4)&lt;AQ$5,"Pendiente",IF(AQ$8=0,"OK",IF(EDATE(_xlfn.MAXIFS(Acuses!$D$5:$D$3004,Acuses!$A$5:$A$3004,$A25,Acuses!$B$5:$B$3004,AQ$4,Acuses!$C$5:$C$3004,AQ$5),AQ$8)&lt;Resumen!$C$4,"Caducado",IF(EDATE(_xlfn.MAXIFS(Acuses!$D$5:$D$3004,Acuses!$A$5:$A$3004,$A25,Acuses!$B$5:$B$3004,AQ$4,Acuses!$C$5:$C$3004,AQ$5),AQ$8)&lt;Resumen!$C$4+30,"Caduca pronto","OK"))))))</f>
        <v/>
      </c>
    </row>
    <row r="26" customFormat="false" ht="15" hidden="false" customHeight="false" outlineLevel="0" collapsed="false">
      <c r="A26" s="25" t="str">
        <f aca="false">IF(AND(Trabajadores!$A$21&lt;&gt;"",Trabajadores!$G$21&lt;&gt;"No"),Trabajadores!$A$21,"")</f>
        <v/>
      </c>
      <c r="B26" s="25" t="str">
        <f aca="false">IF($A26="","",Trabajadores!$B$21)</f>
        <v/>
      </c>
      <c r="C26" s="25" t="str">
        <f aca="false">IF($A26="","",Trabajadores!$C$21)</f>
        <v/>
      </c>
      <c r="D26" s="26" t="str">
        <f aca="false">IF(OR($A26="",D$4=""),"",IF(NOT(OR(D$6="Toda la plantilla",ISNUMBER(SEARCH(";"&amp;SUBSTITUTE($C26," ","")&amp;";",";"&amp;SUBSTITUTE(D$7," ","")&amp;";")))),"—",IF(_xlfn.MAXIFS(Acuses!$C$5:$C$3004,Acuses!$A$5:$A$3004,$A26,Acuses!$B$5:$B$3004,D$4)&lt;D$5,"Pendiente",IF(D$8=0,"OK",IF(EDATE(_xlfn.MAXIFS(Acuses!$D$5:$D$3004,Acuses!$A$5:$A$3004,$A26,Acuses!$B$5:$B$3004,D$4,Acuses!$C$5:$C$3004,D$5),D$8)&lt;Resumen!$C$4,"Caducado",IF(EDATE(_xlfn.MAXIFS(Acuses!$D$5:$D$3004,Acuses!$A$5:$A$3004,$A26,Acuses!$B$5:$B$3004,D$4,Acuses!$C$5:$C$3004,D$5),D$8)&lt;Resumen!$C$4+30,"Caduca pronto","OK"))))))</f>
        <v/>
      </c>
      <c r="E26" s="26" t="str">
        <f aca="false">IF(OR($A26="",E$4=""),"",IF(NOT(OR(E$6="Toda la plantilla",ISNUMBER(SEARCH(";"&amp;SUBSTITUTE($C26," ","")&amp;";",";"&amp;SUBSTITUTE(E$7," ","")&amp;";")))),"—",IF(_xlfn.MAXIFS(Acuses!$C$5:$C$3004,Acuses!$A$5:$A$3004,$A26,Acuses!$B$5:$B$3004,E$4)&lt;E$5,"Pendiente",IF(E$8=0,"OK",IF(EDATE(_xlfn.MAXIFS(Acuses!$D$5:$D$3004,Acuses!$A$5:$A$3004,$A26,Acuses!$B$5:$B$3004,E$4,Acuses!$C$5:$C$3004,E$5),E$8)&lt;Resumen!$C$4,"Caducado",IF(EDATE(_xlfn.MAXIFS(Acuses!$D$5:$D$3004,Acuses!$A$5:$A$3004,$A26,Acuses!$B$5:$B$3004,E$4,Acuses!$C$5:$C$3004,E$5),E$8)&lt;Resumen!$C$4+30,"Caduca pronto","OK"))))))</f>
        <v/>
      </c>
      <c r="F26" s="26" t="str">
        <f aca="false">IF(OR($A26="",F$4=""),"",IF(NOT(OR(F$6="Toda la plantilla",ISNUMBER(SEARCH(";"&amp;SUBSTITUTE($C26," ","")&amp;";",";"&amp;SUBSTITUTE(F$7," ","")&amp;";")))),"—",IF(_xlfn.MAXIFS(Acuses!$C$5:$C$3004,Acuses!$A$5:$A$3004,$A26,Acuses!$B$5:$B$3004,F$4)&lt;F$5,"Pendiente",IF(F$8=0,"OK",IF(EDATE(_xlfn.MAXIFS(Acuses!$D$5:$D$3004,Acuses!$A$5:$A$3004,$A26,Acuses!$B$5:$B$3004,F$4,Acuses!$C$5:$C$3004,F$5),F$8)&lt;Resumen!$C$4,"Caducado",IF(EDATE(_xlfn.MAXIFS(Acuses!$D$5:$D$3004,Acuses!$A$5:$A$3004,$A26,Acuses!$B$5:$B$3004,F$4,Acuses!$C$5:$C$3004,F$5),F$8)&lt;Resumen!$C$4+30,"Caduca pronto","OK"))))))</f>
        <v/>
      </c>
      <c r="G26" s="26" t="str">
        <f aca="false">IF(OR($A26="",G$4=""),"",IF(NOT(OR(G$6="Toda la plantilla",ISNUMBER(SEARCH(";"&amp;SUBSTITUTE($C26," ","")&amp;";",";"&amp;SUBSTITUTE(G$7," ","")&amp;";")))),"—",IF(_xlfn.MAXIFS(Acuses!$C$5:$C$3004,Acuses!$A$5:$A$3004,$A26,Acuses!$B$5:$B$3004,G$4)&lt;G$5,"Pendiente",IF(G$8=0,"OK",IF(EDATE(_xlfn.MAXIFS(Acuses!$D$5:$D$3004,Acuses!$A$5:$A$3004,$A26,Acuses!$B$5:$B$3004,G$4,Acuses!$C$5:$C$3004,G$5),G$8)&lt;Resumen!$C$4,"Caducado",IF(EDATE(_xlfn.MAXIFS(Acuses!$D$5:$D$3004,Acuses!$A$5:$A$3004,$A26,Acuses!$B$5:$B$3004,G$4,Acuses!$C$5:$C$3004,G$5),G$8)&lt;Resumen!$C$4+30,"Caduca pronto","OK"))))))</f>
        <v/>
      </c>
      <c r="H26" s="26" t="str">
        <f aca="false">IF(OR($A26="",H$4=""),"",IF(NOT(OR(H$6="Toda la plantilla",ISNUMBER(SEARCH(";"&amp;SUBSTITUTE($C26," ","")&amp;";",";"&amp;SUBSTITUTE(H$7," ","")&amp;";")))),"—",IF(_xlfn.MAXIFS(Acuses!$C$5:$C$3004,Acuses!$A$5:$A$3004,$A26,Acuses!$B$5:$B$3004,H$4)&lt;H$5,"Pendiente",IF(H$8=0,"OK",IF(EDATE(_xlfn.MAXIFS(Acuses!$D$5:$D$3004,Acuses!$A$5:$A$3004,$A26,Acuses!$B$5:$B$3004,H$4,Acuses!$C$5:$C$3004,H$5),H$8)&lt;Resumen!$C$4,"Caducado",IF(EDATE(_xlfn.MAXIFS(Acuses!$D$5:$D$3004,Acuses!$A$5:$A$3004,$A26,Acuses!$B$5:$B$3004,H$4,Acuses!$C$5:$C$3004,H$5),H$8)&lt;Resumen!$C$4+30,"Caduca pronto","OK"))))))</f>
        <v/>
      </c>
      <c r="I26" s="26" t="str">
        <f aca="false">IF(OR($A26="",I$4=""),"",IF(NOT(OR(I$6="Toda la plantilla",ISNUMBER(SEARCH(";"&amp;SUBSTITUTE($C26," ","")&amp;";",";"&amp;SUBSTITUTE(I$7," ","")&amp;";")))),"—",IF(_xlfn.MAXIFS(Acuses!$C$5:$C$3004,Acuses!$A$5:$A$3004,$A26,Acuses!$B$5:$B$3004,I$4)&lt;I$5,"Pendiente",IF(I$8=0,"OK",IF(EDATE(_xlfn.MAXIFS(Acuses!$D$5:$D$3004,Acuses!$A$5:$A$3004,$A26,Acuses!$B$5:$B$3004,I$4,Acuses!$C$5:$C$3004,I$5),I$8)&lt;Resumen!$C$4,"Caducado",IF(EDATE(_xlfn.MAXIFS(Acuses!$D$5:$D$3004,Acuses!$A$5:$A$3004,$A26,Acuses!$B$5:$B$3004,I$4,Acuses!$C$5:$C$3004,I$5),I$8)&lt;Resumen!$C$4+30,"Caduca pronto","OK"))))))</f>
        <v/>
      </c>
      <c r="J26" s="26" t="str">
        <f aca="false">IF(OR($A26="",J$4=""),"",IF(NOT(OR(J$6="Toda la plantilla",ISNUMBER(SEARCH(";"&amp;SUBSTITUTE($C26," ","")&amp;";",";"&amp;SUBSTITUTE(J$7," ","")&amp;";")))),"—",IF(_xlfn.MAXIFS(Acuses!$C$5:$C$3004,Acuses!$A$5:$A$3004,$A26,Acuses!$B$5:$B$3004,J$4)&lt;J$5,"Pendiente",IF(J$8=0,"OK",IF(EDATE(_xlfn.MAXIFS(Acuses!$D$5:$D$3004,Acuses!$A$5:$A$3004,$A26,Acuses!$B$5:$B$3004,J$4,Acuses!$C$5:$C$3004,J$5),J$8)&lt;Resumen!$C$4,"Caducado",IF(EDATE(_xlfn.MAXIFS(Acuses!$D$5:$D$3004,Acuses!$A$5:$A$3004,$A26,Acuses!$B$5:$B$3004,J$4,Acuses!$C$5:$C$3004,J$5),J$8)&lt;Resumen!$C$4+30,"Caduca pronto","OK"))))))</f>
        <v/>
      </c>
      <c r="K26" s="26" t="str">
        <f aca="false">IF(OR($A26="",K$4=""),"",IF(NOT(OR(K$6="Toda la plantilla",ISNUMBER(SEARCH(";"&amp;SUBSTITUTE($C26," ","")&amp;";",";"&amp;SUBSTITUTE(K$7," ","")&amp;";")))),"—",IF(_xlfn.MAXIFS(Acuses!$C$5:$C$3004,Acuses!$A$5:$A$3004,$A26,Acuses!$B$5:$B$3004,K$4)&lt;K$5,"Pendiente",IF(K$8=0,"OK",IF(EDATE(_xlfn.MAXIFS(Acuses!$D$5:$D$3004,Acuses!$A$5:$A$3004,$A26,Acuses!$B$5:$B$3004,K$4,Acuses!$C$5:$C$3004,K$5),K$8)&lt;Resumen!$C$4,"Caducado",IF(EDATE(_xlfn.MAXIFS(Acuses!$D$5:$D$3004,Acuses!$A$5:$A$3004,$A26,Acuses!$B$5:$B$3004,K$4,Acuses!$C$5:$C$3004,K$5),K$8)&lt;Resumen!$C$4+30,"Caduca pronto","OK"))))))</f>
        <v/>
      </c>
      <c r="L26" s="26" t="str">
        <f aca="false">IF(OR($A26="",L$4=""),"",IF(NOT(OR(L$6="Toda la plantilla",ISNUMBER(SEARCH(";"&amp;SUBSTITUTE($C26," ","")&amp;";",";"&amp;SUBSTITUTE(L$7," ","")&amp;";")))),"—",IF(_xlfn.MAXIFS(Acuses!$C$5:$C$3004,Acuses!$A$5:$A$3004,$A26,Acuses!$B$5:$B$3004,L$4)&lt;L$5,"Pendiente",IF(L$8=0,"OK",IF(EDATE(_xlfn.MAXIFS(Acuses!$D$5:$D$3004,Acuses!$A$5:$A$3004,$A26,Acuses!$B$5:$B$3004,L$4,Acuses!$C$5:$C$3004,L$5),L$8)&lt;Resumen!$C$4,"Caducado",IF(EDATE(_xlfn.MAXIFS(Acuses!$D$5:$D$3004,Acuses!$A$5:$A$3004,$A26,Acuses!$B$5:$B$3004,L$4,Acuses!$C$5:$C$3004,L$5),L$8)&lt;Resumen!$C$4+30,"Caduca pronto","OK"))))))</f>
        <v/>
      </c>
      <c r="M26" s="26" t="str">
        <f aca="false">IF(OR($A26="",M$4=""),"",IF(NOT(OR(M$6="Toda la plantilla",ISNUMBER(SEARCH(";"&amp;SUBSTITUTE($C26," ","")&amp;";",";"&amp;SUBSTITUTE(M$7," ","")&amp;";")))),"—",IF(_xlfn.MAXIFS(Acuses!$C$5:$C$3004,Acuses!$A$5:$A$3004,$A26,Acuses!$B$5:$B$3004,M$4)&lt;M$5,"Pendiente",IF(M$8=0,"OK",IF(EDATE(_xlfn.MAXIFS(Acuses!$D$5:$D$3004,Acuses!$A$5:$A$3004,$A26,Acuses!$B$5:$B$3004,M$4,Acuses!$C$5:$C$3004,M$5),M$8)&lt;Resumen!$C$4,"Caducado",IF(EDATE(_xlfn.MAXIFS(Acuses!$D$5:$D$3004,Acuses!$A$5:$A$3004,$A26,Acuses!$B$5:$B$3004,M$4,Acuses!$C$5:$C$3004,M$5),M$8)&lt;Resumen!$C$4+30,"Caduca pronto","OK"))))))</f>
        <v/>
      </c>
      <c r="N26" s="26" t="str">
        <f aca="false">IF(OR($A26="",N$4=""),"",IF(NOT(OR(N$6="Toda la plantilla",ISNUMBER(SEARCH(";"&amp;SUBSTITUTE($C26," ","")&amp;";",";"&amp;SUBSTITUTE(N$7," ","")&amp;";")))),"—",IF(_xlfn.MAXIFS(Acuses!$C$5:$C$3004,Acuses!$A$5:$A$3004,$A26,Acuses!$B$5:$B$3004,N$4)&lt;N$5,"Pendiente",IF(N$8=0,"OK",IF(EDATE(_xlfn.MAXIFS(Acuses!$D$5:$D$3004,Acuses!$A$5:$A$3004,$A26,Acuses!$B$5:$B$3004,N$4,Acuses!$C$5:$C$3004,N$5),N$8)&lt;Resumen!$C$4,"Caducado",IF(EDATE(_xlfn.MAXIFS(Acuses!$D$5:$D$3004,Acuses!$A$5:$A$3004,$A26,Acuses!$B$5:$B$3004,N$4,Acuses!$C$5:$C$3004,N$5),N$8)&lt;Resumen!$C$4+30,"Caduca pronto","OK"))))))</f>
        <v/>
      </c>
      <c r="O26" s="26" t="str">
        <f aca="false">IF(OR($A26="",O$4=""),"",IF(NOT(OR(O$6="Toda la plantilla",ISNUMBER(SEARCH(";"&amp;SUBSTITUTE($C26," ","")&amp;";",";"&amp;SUBSTITUTE(O$7," ","")&amp;";")))),"—",IF(_xlfn.MAXIFS(Acuses!$C$5:$C$3004,Acuses!$A$5:$A$3004,$A26,Acuses!$B$5:$B$3004,O$4)&lt;O$5,"Pendiente",IF(O$8=0,"OK",IF(EDATE(_xlfn.MAXIFS(Acuses!$D$5:$D$3004,Acuses!$A$5:$A$3004,$A26,Acuses!$B$5:$B$3004,O$4,Acuses!$C$5:$C$3004,O$5),O$8)&lt;Resumen!$C$4,"Caducado",IF(EDATE(_xlfn.MAXIFS(Acuses!$D$5:$D$3004,Acuses!$A$5:$A$3004,$A26,Acuses!$B$5:$B$3004,O$4,Acuses!$C$5:$C$3004,O$5),O$8)&lt;Resumen!$C$4+30,"Caduca pronto","OK"))))))</f>
        <v/>
      </c>
      <c r="P26" s="26" t="str">
        <f aca="false">IF(OR($A26="",P$4=""),"",IF(NOT(OR(P$6="Toda la plantilla",ISNUMBER(SEARCH(";"&amp;SUBSTITUTE($C26," ","")&amp;";",";"&amp;SUBSTITUTE(P$7," ","")&amp;";")))),"—",IF(_xlfn.MAXIFS(Acuses!$C$5:$C$3004,Acuses!$A$5:$A$3004,$A26,Acuses!$B$5:$B$3004,P$4)&lt;P$5,"Pendiente",IF(P$8=0,"OK",IF(EDATE(_xlfn.MAXIFS(Acuses!$D$5:$D$3004,Acuses!$A$5:$A$3004,$A26,Acuses!$B$5:$B$3004,P$4,Acuses!$C$5:$C$3004,P$5),P$8)&lt;Resumen!$C$4,"Caducado",IF(EDATE(_xlfn.MAXIFS(Acuses!$D$5:$D$3004,Acuses!$A$5:$A$3004,$A26,Acuses!$B$5:$B$3004,P$4,Acuses!$C$5:$C$3004,P$5),P$8)&lt;Resumen!$C$4+30,"Caduca pronto","OK"))))))</f>
        <v/>
      </c>
      <c r="Q26" s="26" t="str">
        <f aca="false">IF(OR($A26="",Q$4=""),"",IF(NOT(OR(Q$6="Toda la plantilla",ISNUMBER(SEARCH(";"&amp;SUBSTITUTE($C26," ","")&amp;";",";"&amp;SUBSTITUTE(Q$7," ","")&amp;";")))),"—",IF(_xlfn.MAXIFS(Acuses!$C$5:$C$3004,Acuses!$A$5:$A$3004,$A26,Acuses!$B$5:$B$3004,Q$4)&lt;Q$5,"Pendiente",IF(Q$8=0,"OK",IF(EDATE(_xlfn.MAXIFS(Acuses!$D$5:$D$3004,Acuses!$A$5:$A$3004,$A26,Acuses!$B$5:$B$3004,Q$4,Acuses!$C$5:$C$3004,Q$5),Q$8)&lt;Resumen!$C$4,"Caducado",IF(EDATE(_xlfn.MAXIFS(Acuses!$D$5:$D$3004,Acuses!$A$5:$A$3004,$A26,Acuses!$B$5:$B$3004,Q$4,Acuses!$C$5:$C$3004,Q$5),Q$8)&lt;Resumen!$C$4+30,"Caduca pronto","OK"))))))</f>
        <v/>
      </c>
      <c r="R26" s="26" t="str">
        <f aca="false">IF(OR($A26="",R$4=""),"",IF(NOT(OR(R$6="Toda la plantilla",ISNUMBER(SEARCH(";"&amp;SUBSTITUTE($C26," ","")&amp;";",";"&amp;SUBSTITUTE(R$7," ","")&amp;";")))),"—",IF(_xlfn.MAXIFS(Acuses!$C$5:$C$3004,Acuses!$A$5:$A$3004,$A26,Acuses!$B$5:$B$3004,R$4)&lt;R$5,"Pendiente",IF(R$8=0,"OK",IF(EDATE(_xlfn.MAXIFS(Acuses!$D$5:$D$3004,Acuses!$A$5:$A$3004,$A26,Acuses!$B$5:$B$3004,R$4,Acuses!$C$5:$C$3004,R$5),R$8)&lt;Resumen!$C$4,"Caducado",IF(EDATE(_xlfn.MAXIFS(Acuses!$D$5:$D$3004,Acuses!$A$5:$A$3004,$A26,Acuses!$B$5:$B$3004,R$4,Acuses!$C$5:$C$3004,R$5),R$8)&lt;Resumen!$C$4+30,"Caduca pronto","OK"))))))</f>
        <v/>
      </c>
      <c r="S26" s="26" t="str">
        <f aca="false">IF(OR($A26="",S$4=""),"",IF(NOT(OR(S$6="Toda la plantilla",ISNUMBER(SEARCH(";"&amp;SUBSTITUTE($C26," ","")&amp;";",";"&amp;SUBSTITUTE(S$7," ","")&amp;";")))),"—",IF(_xlfn.MAXIFS(Acuses!$C$5:$C$3004,Acuses!$A$5:$A$3004,$A26,Acuses!$B$5:$B$3004,S$4)&lt;S$5,"Pendiente",IF(S$8=0,"OK",IF(EDATE(_xlfn.MAXIFS(Acuses!$D$5:$D$3004,Acuses!$A$5:$A$3004,$A26,Acuses!$B$5:$B$3004,S$4,Acuses!$C$5:$C$3004,S$5),S$8)&lt;Resumen!$C$4,"Caducado",IF(EDATE(_xlfn.MAXIFS(Acuses!$D$5:$D$3004,Acuses!$A$5:$A$3004,$A26,Acuses!$B$5:$B$3004,S$4,Acuses!$C$5:$C$3004,S$5),S$8)&lt;Resumen!$C$4+30,"Caduca pronto","OK"))))))</f>
        <v/>
      </c>
      <c r="T26" s="26" t="str">
        <f aca="false">IF(OR($A26="",T$4=""),"",IF(NOT(OR(T$6="Toda la plantilla",ISNUMBER(SEARCH(";"&amp;SUBSTITUTE($C26," ","")&amp;";",";"&amp;SUBSTITUTE(T$7," ","")&amp;";")))),"—",IF(_xlfn.MAXIFS(Acuses!$C$5:$C$3004,Acuses!$A$5:$A$3004,$A26,Acuses!$B$5:$B$3004,T$4)&lt;T$5,"Pendiente",IF(T$8=0,"OK",IF(EDATE(_xlfn.MAXIFS(Acuses!$D$5:$D$3004,Acuses!$A$5:$A$3004,$A26,Acuses!$B$5:$B$3004,T$4,Acuses!$C$5:$C$3004,T$5),T$8)&lt;Resumen!$C$4,"Caducado",IF(EDATE(_xlfn.MAXIFS(Acuses!$D$5:$D$3004,Acuses!$A$5:$A$3004,$A26,Acuses!$B$5:$B$3004,T$4,Acuses!$C$5:$C$3004,T$5),T$8)&lt;Resumen!$C$4+30,"Caduca pronto","OK"))))))</f>
        <v/>
      </c>
      <c r="U26" s="26" t="str">
        <f aca="false">IF(OR($A26="",U$4=""),"",IF(NOT(OR(U$6="Toda la plantilla",ISNUMBER(SEARCH(";"&amp;SUBSTITUTE($C26," ","")&amp;";",";"&amp;SUBSTITUTE(U$7," ","")&amp;";")))),"—",IF(_xlfn.MAXIFS(Acuses!$C$5:$C$3004,Acuses!$A$5:$A$3004,$A26,Acuses!$B$5:$B$3004,U$4)&lt;U$5,"Pendiente",IF(U$8=0,"OK",IF(EDATE(_xlfn.MAXIFS(Acuses!$D$5:$D$3004,Acuses!$A$5:$A$3004,$A26,Acuses!$B$5:$B$3004,U$4,Acuses!$C$5:$C$3004,U$5),U$8)&lt;Resumen!$C$4,"Caducado",IF(EDATE(_xlfn.MAXIFS(Acuses!$D$5:$D$3004,Acuses!$A$5:$A$3004,$A26,Acuses!$B$5:$B$3004,U$4,Acuses!$C$5:$C$3004,U$5),U$8)&lt;Resumen!$C$4+30,"Caduca pronto","OK"))))))</f>
        <v/>
      </c>
      <c r="V26" s="26" t="str">
        <f aca="false">IF(OR($A26="",V$4=""),"",IF(NOT(OR(V$6="Toda la plantilla",ISNUMBER(SEARCH(";"&amp;SUBSTITUTE($C26," ","")&amp;";",";"&amp;SUBSTITUTE(V$7," ","")&amp;";")))),"—",IF(_xlfn.MAXIFS(Acuses!$C$5:$C$3004,Acuses!$A$5:$A$3004,$A26,Acuses!$B$5:$B$3004,V$4)&lt;V$5,"Pendiente",IF(V$8=0,"OK",IF(EDATE(_xlfn.MAXIFS(Acuses!$D$5:$D$3004,Acuses!$A$5:$A$3004,$A26,Acuses!$B$5:$B$3004,V$4,Acuses!$C$5:$C$3004,V$5),V$8)&lt;Resumen!$C$4,"Caducado",IF(EDATE(_xlfn.MAXIFS(Acuses!$D$5:$D$3004,Acuses!$A$5:$A$3004,$A26,Acuses!$B$5:$B$3004,V$4,Acuses!$C$5:$C$3004,V$5),V$8)&lt;Resumen!$C$4+30,"Caduca pronto","OK"))))))</f>
        <v/>
      </c>
      <c r="W26" s="26" t="str">
        <f aca="false">IF(OR($A26="",W$4=""),"",IF(NOT(OR(W$6="Toda la plantilla",ISNUMBER(SEARCH(";"&amp;SUBSTITUTE($C26," ","")&amp;";",";"&amp;SUBSTITUTE(W$7," ","")&amp;";")))),"—",IF(_xlfn.MAXIFS(Acuses!$C$5:$C$3004,Acuses!$A$5:$A$3004,$A26,Acuses!$B$5:$B$3004,W$4)&lt;W$5,"Pendiente",IF(W$8=0,"OK",IF(EDATE(_xlfn.MAXIFS(Acuses!$D$5:$D$3004,Acuses!$A$5:$A$3004,$A26,Acuses!$B$5:$B$3004,W$4,Acuses!$C$5:$C$3004,W$5),W$8)&lt;Resumen!$C$4,"Caducado",IF(EDATE(_xlfn.MAXIFS(Acuses!$D$5:$D$3004,Acuses!$A$5:$A$3004,$A26,Acuses!$B$5:$B$3004,W$4,Acuses!$C$5:$C$3004,W$5),W$8)&lt;Resumen!$C$4+30,"Caduca pronto","OK"))))))</f>
        <v/>
      </c>
      <c r="X26" s="26" t="str">
        <f aca="false">IF(OR($A26="",X$4=""),"",IF(NOT(OR(X$6="Toda la plantilla",ISNUMBER(SEARCH(";"&amp;SUBSTITUTE($C26," ","")&amp;";",";"&amp;SUBSTITUTE(X$7," ","")&amp;";")))),"—",IF(_xlfn.MAXIFS(Acuses!$C$5:$C$3004,Acuses!$A$5:$A$3004,$A26,Acuses!$B$5:$B$3004,X$4)&lt;X$5,"Pendiente",IF(X$8=0,"OK",IF(EDATE(_xlfn.MAXIFS(Acuses!$D$5:$D$3004,Acuses!$A$5:$A$3004,$A26,Acuses!$B$5:$B$3004,X$4,Acuses!$C$5:$C$3004,X$5),X$8)&lt;Resumen!$C$4,"Caducado",IF(EDATE(_xlfn.MAXIFS(Acuses!$D$5:$D$3004,Acuses!$A$5:$A$3004,$A26,Acuses!$B$5:$B$3004,X$4,Acuses!$C$5:$C$3004,X$5),X$8)&lt;Resumen!$C$4+30,"Caduca pronto","OK"))))))</f>
        <v/>
      </c>
      <c r="Y26" s="26" t="str">
        <f aca="false">IF(OR($A26="",Y$4=""),"",IF(NOT(OR(Y$6="Toda la plantilla",ISNUMBER(SEARCH(";"&amp;SUBSTITUTE($C26," ","")&amp;";",";"&amp;SUBSTITUTE(Y$7," ","")&amp;";")))),"—",IF(_xlfn.MAXIFS(Acuses!$C$5:$C$3004,Acuses!$A$5:$A$3004,$A26,Acuses!$B$5:$B$3004,Y$4)&lt;Y$5,"Pendiente",IF(Y$8=0,"OK",IF(EDATE(_xlfn.MAXIFS(Acuses!$D$5:$D$3004,Acuses!$A$5:$A$3004,$A26,Acuses!$B$5:$B$3004,Y$4,Acuses!$C$5:$C$3004,Y$5),Y$8)&lt;Resumen!$C$4,"Caducado",IF(EDATE(_xlfn.MAXIFS(Acuses!$D$5:$D$3004,Acuses!$A$5:$A$3004,$A26,Acuses!$B$5:$B$3004,Y$4,Acuses!$C$5:$C$3004,Y$5),Y$8)&lt;Resumen!$C$4+30,"Caduca pronto","OK"))))))</f>
        <v/>
      </c>
      <c r="Z26" s="26" t="str">
        <f aca="false">IF(OR($A26="",Z$4=""),"",IF(NOT(OR(Z$6="Toda la plantilla",ISNUMBER(SEARCH(";"&amp;SUBSTITUTE($C26," ","")&amp;";",";"&amp;SUBSTITUTE(Z$7," ","")&amp;";")))),"—",IF(_xlfn.MAXIFS(Acuses!$C$5:$C$3004,Acuses!$A$5:$A$3004,$A26,Acuses!$B$5:$B$3004,Z$4)&lt;Z$5,"Pendiente",IF(Z$8=0,"OK",IF(EDATE(_xlfn.MAXIFS(Acuses!$D$5:$D$3004,Acuses!$A$5:$A$3004,$A26,Acuses!$B$5:$B$3004,Z$4,Acuses!$C$5:$C$3004,Z$5),Z$8)&lt;Resumen!$C$4,"Caducado",IF(EDATE(_xlfn.MAXIFS(Acuses!$D$5:$D$3004,Acuses!$A$5:$A$3004,$A26,Acuses!$B$5:$B$3004,Z$4,Acuses!$C$5:$C$3004,Z$5),Z$8)&lt;Resumen!$C$4+30,"Caduca pronto","OK"))))))</f>
        <v/>
      </c>
      <c r="AA26" s="26" t="str">
        <f aca="false">IF(OR($A26="",AA$4=""),"",IF(NOT(OR(AA$6="Toda la plantilla",ISNUMBER(SEARCH(";"&amp;SUBSTITUTE($C26," ","")&amp;";",";"&amp;SUBSTITUTE(AA$7," ","")&amp;";")))),"—",IF(_xlfn.MAXIFS(Acuses!$C$5:$C$3004,Acuses!$A$5:$A$3004,$A26,Acuses!$B$5:$B$3004,AA$4)&lt;AA$5,"Pendiente",IF(AA$8=0,"OK",IF(EDATE(_xlfn.MAXIFS(Acuses!$D$5:$D$3004,Acuses!$A$5:$A$3004,$A26,Acuses!$B$5:$B$3004,AA$4,Acuses!$C$5:$C$3004,AA$5),AA$8)&lt;Resumen!$C$4,"Caducado",IF(EDATE(_xlfn.MAXIFS(Acuses!$D$5:$D$3004,Acuses!$A$5:$A$3004,$A26,Acuses!$B$5:$B$3004,AA$4,Acuses!$C$5:$C$3004,AA$5),AA$8)&lt;Resumen!$C$4+30,"Caduca pronto","OK"))))))</f>
        <v/>
      </c>
      <c r="AB26" s="26" t="str">
        <f aca="false">IF(OR($A26="",AB$4=""),"",IF(NOT(OR(AB$6="Toda la plantilla",ISNUMBER(SEARCH(";"&amp;SUBSTITUTE($C26," ","")&amp;";",";"&amp;SUBSTITUTE(AB$7," ","")&amp;";")))),"—",IF(_xlfn.MAXIFS(Acuses!$C$5:$C$3004,Acuses!$A$5:$A$3004,$A26,Acuses!$B$5:$B$3004,AB$4)&lt;AB$5,"Pendiente",IF(AB$8=0,"OK",IF(EDATE(_xlfn.MAXIFS(Acuses!$D$5:$D$3004,Acuses!$A$5:$A$3004,$A26,Acuses!$B$5:$B$3004,AB$4,Acuses!$C$5:$C$3004,AB$5),AB$8)&lt;Resumen!$C$4,"Caducado",IF(EDATE(_xlfn.MAXIFS(Acuses!$D$5:$D$3004,Acuses!$A$5:$A$3004,$A26,Acuses!$B$5:$B$3004,AB$4,Acuses!$C$5:$C$3004,AB$5),AB$8)&lt;Resumen!$C$4+30,"Caduca pronto","OK"))))))</f>
        <v/>
      </c>
      <c r="AC26" s="26" t="str">
        <f aca="false">IF(OR($A26="",AC$4=""),"",IF(NOT(OR(AC$6="Toda la plantilla",ISNUMBER(SEARCH(";"&amp;SUBSTITUTE($C26," ","")&amp;";",";"&amp;SUBSTITUTE(AC$7," ","")&amp;";")))),"—",IF(_xlfn.MAXIFS(Acuses!$C$5:$C$3004,Acuses!$A$5:$A$3004,$A26,Acuses!$B$5:$B$3004,AC$4)&lt;AC$5,"Pendiente",IF(AC$8=0,"OK",IF(EDATE(_xlfn.MAXIFS(Acuses!$D$5:$D$3004,Acuses!$A$5:$A$3004,$A26,Acuses!$B$5:$B$3004,AC$4,Acuses!$C$5:$C$3004,AC$5),AC$8)&lt;Resumen!$C$4,"Caducado",IF(EDATE(_xlfn.MAXIFS(Acuses!$D$5:$D$3004,Acuses!$A$5:$A$3004,$A26,Acuses!$B$5:$B$3004,AC$4,Acuses!$C$5:$C$3004,AC$5),AC$8)&lt;Resumen!$C$4+30,"Caduca pronto","OK"))))))</f>
        <v/>
      </c>
      <c r="AD26" s="26" t="str">
        <f aca="false">IF(OR($A26="",AD$4=""),"",IF(NOT(OR(AD$6="Toda la plantilla",ISNUMBER(SEARCH(";"&amp;SUBSTITUTE($C26," ","")&amp;";",";"&amp;SUBSTITUTE(AD$7," ","")&amp;";")))),"—",IF(_xlfn.MAXIFS(Acuses!$C$5:$C$3004,Acuses!$A$5:$A$3004,$A26,Acuses!$B$5:$B$3004,AD$4)&lt;AD$5,"Pendiente",IF(AD$8=0,"OK",IF(EDATE(_xlfn.MAXIFS(Acuses!$D$5:$D$3004,Acuses!$A$5:$A$3004,$A26,Acuses!$B$5:$B$3004,AD$4,Acuses!$C$5:$C$3004,AD$5),AD$8)&lt;Resumen!$C$4,"Caducado",IF(EDATE(_xlfn.MAXIFS(Acuses!$D$5:$D$3004,Acuses!$A$5:$A$3004,$A26,Acuses!$B$5:$B$3004,AD$4,Acuses!$C$5:$C$3004,AD$5),AD$8)&lt;Resumen!$C$4+30,"Caduca pronto","OK"))))))</f>
        <v/>
      </c>
      <c r="AE26" s="26" t="str">
        <f aca="false">IF(OR($A26="",AE$4=""),"",IF(NOT(OR(AE$6="Toda la plantilla",ISNUMBER(SEARCH(";"&amp;SUBSTITUTE($C26," ","")&amp;";",";"&amp;SUBSTITUTE(AE$7," ","")&amp;";")))),"—",IF(_xlfn.MAXIFS(Acuses!$C$5:$C$3004,Acuses!$A$5:$A$3004,$A26,Acuses!$B$5:$B$3004,AE$4)&lt;AE$5,"Pendiente",IF(AE$8=0,"OK",IF(EDATE(_xlfn.MAXIFS(Acuses!$D$5:$D$3004,Acuses!$A$5:$A$3004,$A26,Acuses!$B$5:$B$3004,AE$4,Acuses!$C$5:$C$3004,AE$5),AE$8)&lt;Resumen!$C$4,"Caducado",IF(EDATE(_xlfn.MAXIFS(Acuses!$D$5:$D$3004,Acuses!$A$5:$A$3004,$A26,Acuses!$B$5:$B$3004,AE$4,Acuses!$C$5:$C$3004,AE$5),AE$8)&lt;Resumen!$C$4+30,"Caduca pronto","OK"))))))</f>
        <v/>
      </c>
      <c r="AF26" s="26" t="str">
        <f aca="false">IF(OR($A26="",AF$4=""),"",IF(NOT(OR(AF$6="Toda la plantilla",ISNUMBER(SEARCH(";"&amp;SUBSTITUTE($C26," ","")&amp;";",";"&amp;SUBSTITUTE(AF$7," ","")&amp;";")))),"—",IF(_xlfn.MAXIFS(Acuses!$C$5:$C$3004,Acuses!$A$5:$A$3004,$A26,Acuses!$B$5:$B$3004,AF$4)&lt;AF$5,"Pendiente",IF(AF$8=0,"OK",IF(EDATE(_xlfn.MAXIFS(Acuses!$D$5:$D$3004,Acuses!$A$5:$A$3004,$A26,Acuses!$B$5:$B$3004,AF$4,Acuses!$C$5:$C$3004,AF$5),AF$8)&lt;Resumen!$C$4,"Caducado",IF(EDATE(_xlfn.MAXIFS(Acuses!$D$5:$D$3004,Acuses!$A$5:$A$3004,$A26,Acuses!$B$5:$B$3004,AF$4,Acuses!$C$5:$C$3004,AF$5),AF$8)&lt;Resumen!$C$4+30,"Caduca pronto","OK"))))))</f>
        <v/>
      </c>
      <c r="AG26" s="26" t="str">
        <f aca="false">IF(OR($A26="",AG$4=""),"",IF(NOT(OR(AG$6="Toda la plantilla",ISNUMBER(SEARCH(";"&amp;SUBSTITUTE($C26," ","")&amp;";",";"&amp;SUBSTITUTE(AG$7," ","")&amp;";")))),"—",IF(_xlfn.MAXIFS(Acuses!$C$5:$C$3004,Acuses!$A$5:$A$3004,$A26,Acuses!$B$5:$B$3004,AG$4)&lt;AG$5,"Pendiente",IF(AG$8=0,"OK",IF(EDATE(_xlfn.MAXIFS(Acuses!$D$5:$D$3004,Acuses!$A$5:$A$3004,$A26,Acuses!$B$5:$B$3004,AG$4,Acuses!$C$5:$C$3004,AG$5),AG$8)&lt;Resumen!$C$4,"Caducado",IF(EDATE(_xlfn.MAXIFS(Acuses!$D$5:$D$3004,Acuses!$A$5:$A$3004,$A26,Acuses!$B$5:$B$3004,AG$4,Acuses!$C$5:$C$3004,AG$5),AG$8)&lt;Resumen!$C$4+30,"Caduca pronto","OK"))))))</f>
        <v/>
      </c>
      <c r="AH26" s="26" t="str">
        <f aca="false">IF(OR($A26="",AH$4=""),"",IF(NOT(OR(AH$6="Toda la plantilla",ISNUMBER(SEARCH(";"&amp;SUBSTITUTE($C26," ","")&amp;";",";"&amp;SUBSTITUTE(AH$7," ","")&amp;";")))),"—",IF(_xlfn.MAXIFS(Acuses!$C$5:$C$3004,Acuses!$A$5:$A$3004,$A26,Acuses!$B$5:$B$3004,AH$4)&lt;AH$5,"Pendiente",IF(AH$8=0,"OK",IF(EDATE(_xlfn.MAXIFS(Acuses!$D$5:$D$3004,Acuses!$A$5:$A$3004,$A26,Acuses!$B$5:$B$3004,AH$4,Acuses!$C$5:$C$3004,AH$5),AH$8)&lt;Resumen!$C$4,"Caducado",IF(EDATE(_xlfn.MAXIFS(Acuses!$D$5:$D$3004,Acuses!$A$5:$A$3004,$A26,Acuses!$B$5:$B$3004,AH$4,Acuses!$C$5:$C$3004,AH$5),AH$8)&lt;Resumen!$C$4+30,"Caduca pronto","OK"))))))</f>
        <v/>
      </c>
      <c r="AI26" s="26" t="str">
        <f aca="false">IF(OR($A26="",AI$4=""),"",IF(NOT(OR(AI$6="Toda la plantilla",ISNUMBER(SEARCH(";"&amp;SUBSTITUTE($C26," ","")&amp;";",";"&amp;SUBSTITUTE(AI$7," ","")&amp;";")))),"—",IF(_xlfn.MAXIFS(Acuses!$C$5:$C$3004,Acuses!$A$5:$A$3004,$A26,Acuses!$B$5:$B$3004,AI$4)&lt;AI$5,"Pendiente",IF(AI$8=0,"OK",IF(EDATE(_xlfn.MAXIFS(Acuses!$D$5:$D$3004,Acuses!$A$5:$A$3004,$A26,Acuses!$B$5:$B$3004,AI$4,Acuses!$C$5:$C$3004,AI$5),AI$8)&lt;Resumen!$C$4,"Caducado",IF(EDATE(_xlfn.MAXIFS(Acuses!$D$5:$D$3004,Acuses!$A$5:$A$3004,$A26,Acuses!$B$5:$B$3004,AI$4,Acuses!$C$5:$C$3004,AI$5),AI$8)&lt;Resumen!$C$4+30,"Caduca pronto","OK"))))))</f>
        <v/>
      </c>
      <c r="AJ26" s="26" t="str">
        <f aca="false">IF(OR($A26="",AJ$4=""),"",IF(NOT(OR(AJ$6="Toda la plantilla",ISNUMBER(SEARCH(";"&amp;SUBSTITUTE($C26," ","")&amp;";",";"&amp;SUBSTITUTE(AJ$7," ","")&amp;";")))),"—",IF(_xlfn.MAXIFS(Acuses!$C$5:$C$3004,Acuses!$A$5:$A$3004,$A26,Acuses!$B$5:$B$3004,AJ$4)&lt;AJ$5,"Pendiente",IF(AJ$8=0,"OK",IF(EDATE(_xlfn.MAXIFS(Acuses!$D$5:$D$3004,Acuses!$A$5:$A$3004,$A26,Acuses!$B$5:$B$3004,AJ$4,Acuses!$C$5:$C$3004,AJ$5),AJ$8)&lt;Resumen!$C$4,"Caducado",IF(EDATE(_xlfn.MAXIFS(Acuses!$D$5:$D$3004,Acuses!$A$5:$A$3004,$A26,Acuses!$B$5:$B$3004,AJ$4,Acuses!$C$5:$C$3004,AJ$5),AJ$8)&lt;Resumen!$C$4+30,"Caduca pronto","OK"))))))</f>
        <v/>
      </c>
      <c r="AK26" s="26" t="str">
        <f aca="false">IF(OR($A26="",AK$4=""),"",IF(NOT(OR(AK$6="Toda la plantilla",ISNUMBER(SEARCH(";"&amp;SUBSTITUTE($C26," ","")&amp;";",";"&amp;SUBSTITUTE(AK$7," ","")&amp;";")))),"—",IF(_xlfn.MAXIFS(Acuses!$C$5:$C$3004,Acuses!$A$5:$A$3004,$A26,Acuses!$B$5:$B$3004,AK$4)&lt;AK$5,"Pendiente",IF(AK$8=0,"OK",IF(EDATE(_xlfn.MAXIFS(Acuses!$D$5:$D$3004,Acuses!$A$5:$A$3004,$A26,Acuses!$B$5:$B$3004,AK$4,Acuses!$C$5:$C$3004,AK$5),AK$8)&lt;Resumen!$C$4,"Caducado",IF(EDATE(_xlfn.MAXIFS(Acuses!$D$5:$D$3004,Acuses!$A$5:$A$3004,$A26,Acuses!$B$5:$B$3004,AK$4,Acuses!$C$5:$C$3004,AK$5),AK$8)&lt;Resumen!$C$4+30,"Caduca pronto","OK"))))))</f>
        <v/>
      </c>
      <c r="AL26" s="26" t="str">
        <f aca="false">IF(OR($A26="",AL$4=""),"",IF(NOT(OR(AL$6="Toda la plantilla",ISNUMBER(SEARCH(";"&amp;SUBSTITUTE($C26," ","")&amp;";",";"&amp;SUBSTITUTE(AL$7," ","")&amp;";")))),"—",IF(_xlfn.MAXIFS(Acuses!$C$5:$C$3004,Acuses!$A$5:$A$3004,$A26,Acuses!$B$5:$B$3004,AL$4)&lt;AL$5,"Pendiente",IF(AL$8=0,"OK",IF(EDATE(_xlfn.MAXIFS(Acuses!$D$5:$D$3004,Acuses!$A$5:$A$3004,$A26,Acuses!$B$5:$B$3004,AL$4,Acuses!$C$5:$C$3004,AL$5),AL$8)&lt;Resumen!$C$4,"Caducado",IF(EDATE(_xlfn.MAXIFS(Acuses!$D$5:$D$3004,Acuses!$A$5:$A$3004,$A26,Acuses!$B$5:$B$3004,AL$4,Acuses!$C$5:$C$3004,AL$5),AL$8)&lt;Resumen!$C$4+30,"Caduca pronto","OK"))))))</f>
        <v/>
      </c>
      <c r="AM26" s="26" t="str">
        <f aca="false">IF(OR($A26="",AM$4=""),"",IF(NOT(OR(AM$6="Toda la plantilla",ISNUMBER(SEARCH(";"&amp;SUBSTITUTE($C26," ","")&amp;";",";"&amp;SUBSTITUTE(AM$7," ","")&amp;";")))),"—",IF(_xlfn.MAXIFS(Acuses!$C$5:$C$3004,Acuses!$A$5:$A$3004,$A26,Acuses!$B$5:$B$3004,AM$4)&lt;AM$5,"Pendiente",IF(AM$8=0,"OK",IF(EDATE(_xlfn.MAXIFS(Acuses!$D$5:$D$3004,Acuses!$A$5:$A$3004,$A26,Acuses!$B$5:$B$3004,AM$4,Acuses!$C$5:$C$3004,AM$5),AM$8)&lt;Resumen!$C$4,"Caducado",IF(EDATE(_xlfn.MAXIFS(Acuses!$D$5:$D$3004,Acuses!$A$5:$A$3004,$A26,Acuses!$B$5:$B$3004,AM$4,Acuses!$C$5:$C$3004,AM$5),AM$8)&lt;Resumen!$C$4+30,"Caduca pronto","OK"))))))</f>
        <v/>
      </c>
      <c r="AN26" s="26" t="str">
        <f aca="false">IF(OR($A26="",AN$4=""),"",IF(NOT(OR(AN$6="Toda la plantilla",ISNUMBER(SEARCH(";"&amp;SUBSTITUTE($C26," ","")&amp;";",";"&amp;SUBSTITUTE(AN$7," ","")&amp;";")))),"—",IF(_xlfn.MAXIFS(Acuses!$C$5:$C$3004,Acuses!$A$5:$A$3004,$A26,Acuses!$B$5:$B$3004,AN$4)&lt;AN$5,"Pendiente",IF(AN$8=0,"OK",IF(EDATE(_xlfn.MAXIFS(Acuses!$D$5:$D$3004,Acuses!$A$5:$A$3004,$A26,Acuses!$B$5:$B$3004,AN$4,Acuses!$C$5:$C$3004,AN$5),AN$8)&lt;Resumen!$C$4,"Caducado",IF(EDATE(_xlfn.MAXIFS(Acuses!$D$5:$D$3004,Acuses!$A$5:$A$3004,$A26,Acuses!$B$5:$B$3004,AN$4,Acuses!$C$5:$C$3004,AN$5),AN$8)&lt;Resumen!$C$4+30,"Caduca pronto","OK"))))))</f>
        <v/>
      </c>
      <c r="AO26" s="26" t="str">
        <f aca="false">IF(OR($A26="",AO$4=""),"",IF(NOT(OR(AO$6="Toda la plantilla",ISNUMBER(SEARCH(";"&amp;SUBSTITUTE($C26," ","")&amp;";",";"&amp;SUBSTITUTE(AO$7," ","")&amp;";")))),"—",IF(_xlfn.MAXIFS(Acuses!$C$5:$C$3004,Acuses!$A$5:$A$3004,$A26,Acuses!$B$5:$B$3004,AO$4)&lt;AO$5,"Pendiente",IF(AO$8=0,"OK",IF(EDATE(_xlfn.MAXIFS(Acuses!$D$5:$D$3004,Acuses!$A$5:$A$3004,$A26,Acuses!$B$5:$B$3004,AO$4,Acuses!$C$5:$C$3004,AO$5),AO$8)&lt;Resumen!$C$4,"Caducado",IF(EDATE(_xlfn.MAXIFS(Acuses!$D$5:$D$3004,Acuses!$A$5:$A$3004,$A26,Acuses!$B$5:$B$3004,AO$4,Acuses!$C$5:$C$3004,AO$5),AO$8)&lt;Resumen!$C$4+30,"Caduca pronto","OK"))))))</f>
        <v/>
      </c>
      <c r="AP26" s="26" t="str">
        <f aca="false">IF(OR($A26="",AP$4=""),"",IF(NOT(OR(AP$6="Toda la plantilla",ISNUMBER(SEARCH(";"&amp;SUBSTITUTE($C26," ","")&amp;";",";"&amp;SUBSTITUTE(AP$7," ","")&amp;";")))),"—",IF(_xlfn.MAXIFS(Acuses!$C$5:$C$3004,Acuses!$A$5:$A$3004,$A26,Acuses!$B$5:$B$3004,AP$4)&lt;AP$5,"Pendiente",IF(AP$8=0,"OK",IF(EDATE(_xlfn.MAXIFS(Acuses!$D$5:$D$3004,Acuses!$A$5:$A$3004,$A26,Acuses!$B$5:$B$3004,AP$4,Acuses!$C$5:$C$3004,AP$5),AP$8)&lt;Resumen!$C$4,"Caducado",IF(EDATE(_xlfn.MAXIFS(Acuses!$D$5:$D$3004,Acuses!$A$5:$A$3004,$A26,Acuses!$B$5:$B$3004,AP$4,Acuses!$C$5:$C$3004,AP$5),AP$8)&lt;Resumen!$C$4+30,"Caduca pronto","OK"))))))</f>
        <v/>
      </c>
      <c r="AQ26" s="26" t="str">
        <f aca="false">IF(OR($A26="",AQ$4=""),"",IF(NOT(OR(AQ$6="Toda la plantilla",ISNUMBER(SEARCH(";"&amp;SUBSTITUTE($C26," ","")&amp;";",";"&amp;SUBSTITUTE(AQ$7," ","")&amp;";")))),"—",IF(_xlfn.MAXIFS(Acuses!$C$5:$C$3004,Acuses!$A$5:$A$3004,$A26,Acuses!$B$5:$B$3004,AQ$4)&lt;AQ$5,"Pendiente",IF(AQ$8=0,"OK",IF(EDATE(_xlfn.MAXIFS(Acuses!$D$5:$D$3004,Acuses!$A$5:$A$3004,$A26,Acuses!$B$5:$B$3004,AQ$4,Acuses!$C$5:$C$3004,AQ$5),AQ$8)&lt;Resumen!$C$4,"Caducado",IF(EDATE(_xlfn.MAXIFS(Acuses!$D$5:$D$3004,Acuses!$A$5:$A$3004,$A26,Acuses!$B$5:$B$3004,AQ$4,Acuses!$C$5:$C$3004,AQ$5),AQ$8)&lt;Resumen!$C$4+30,"Caduca pronto","OK"))))))</f>
        <v/>
      </c>
    </row>
    <row r="27" customFormat="false" ht="15" hidden="false" customHeight="false" outlineLevel="0" collapsed="false">
      <c r="A27" s="25" t="str">
        <f aca="false">IF(AND(Trabajadores!$A$22&lt;&gt;"",Trabajadores!$G$22&lt;&gt;"No"),Trabajadores!$A$22,"")</f>
        <v/>
      </c>
      <c r="B27" s="25" t="str">
        <f aca="false">IF($A27="","",Trabajadores!$B$22)</f>
        <v/>
      </c>
      <c r="C27" s="25" t="str">
        <f aca="false">IF($A27="","",Trabajadores!$C$22)</f>
        <v/>
      </c>
      <c r="D27" s="26" t="str">
        <f aca="false">IF(OR($A27="",D$4=""),"",IF(NOT(OR(D$6="Toda la plantilla",ISNUMBER(SEARCH(";"&amp;SUBSTITUTE($C27," ","")&amp;";",";"&amp;SUBSTITUTE(D$7," ","")&amp;";")))),"—",IF(_xlfn.MAXIFS(Acuses!$C$5:$C$3004,Acuses!$A$5:$A$3004,$A27,Acuses!$B$5:$B$3004,D$4)&lt;D$5,"Pendiente",IF(D$8=0,"OK",IF(EDATE(_xlfn.MAXIFS(Acuses!$D$5:$D$3004,Acuses!$A$5:$A$3004,$A27,Acuses!$B$5:$B$3004,D$4,Acuses!$C$5:$C$3004,D$5),D$8)&lt;Resumen!$C$4,"Caducado",IF(EDATE(_xlfn.MAXIFS(Acuses!$D$5:$D$3004,Acuses!$A$5:$A$3004,$A27,Acuses!$B$5:$B$3004,D$4,Acuses!$C$5:$C$3004,D$5),D$8)&lt;Resumen!$C$4+30,"Caduca pronto","OK"))))))</f>
        <v/>
      </c>
      <c r="E27" s="26" t="str">
        <f aca="false">IF(OR($A27="",E$4=""),"",IF(NOT(OR(E$6="Toda la plantilla",ISNUMBER(SEARCH(";"&amp;SUBSTITUTE($C27," ","")&amp;";",";"&amp;SUBSTITUTE(E$7," ","")&amp;";")))),"—",IF(_xlfn.MAXIFS(Acuses!$C$5:$C$3004,Acuses!$A$5:$A$3004,$A27,Acuses!$B$5:$B$3004,E$4)&lt;E$5,"Pendiente",IF(E$8=0,"OK",IF(EDATE(_xlfn.MAXIFS(Acuses!$D$5:$D$3004,Acuses!$A$5:$A$3004,$A27,Acuses!$B$5:$B$3004,E$4,Acuses!$C$5:$C$3004,E$5),E$8)&lt;Resumen!$C$4,"Caducado",IF(EDATE(_xlfn.MAXIFS(Acuses!$D$5:$D$3004,Acuses!$A$5:$A$3004,$A27,Acuses!$B$5:$B$3004,E$4,Acuses!$C$5:$C$3004,E$5),E$8)&lt;Resumen!$C$4+30,"Caduca pronto","OK"))))))</f>
        <v/>
      </c>
      <c r="F27" s="26" t="str">
        <f aca="false">IF(OR($A27="",F$4=""),"",IF(NOT(OR(F$6="Toda la plantilla",ISNUMBER(SEARCH(";"&amp;SUBSTITUTE($C27," ","")&amp;";",";"&amp;SUBSTITUTE(F$7," ","")&amp;";")))),"—",IF(_xlfn.MAXIFS(Acuses!$C$5:$C$3004,Acuses!$A$5:$A$3004,$A27,Acuses!$B$5:$B$3004,F$4)&lt;F$5,"Pendiente",IF(F$8=0,"OK",IF(EDATE(_xlfn.MAXIFS(Acuses!$D$5:$D$3004,Acuses!$A$5:$A$3004,$A27,Acuses!$B$5:$B$3004,F$4,Acuses!$C$5:$C$3004,F$5),F$8)&lt;Resumen!$C$4,"Caducado",IF(EDATE(_xlfn.MAXIFS(Acuses!$D$5:$D$3004,Acuses!$A$5:$A$3004,$A27,Acuses!$B$5:$B$3004,F$4,Acuses!$C$5:$C$3004,F$5),F$8)&lt;Resumen!$C$4+30,"Caduca pronto","OK"))))))</f>
        <v/>
      </c>
      <c r="G27" s="26" t="str">
        <f aca="false">IF(OR($A27="",G$4=""),"",IF(NOT(OR(G$6="Toda la plantilla",ISNUMBER(SEARCH(";"&amp;SUBSTITUTE($C27," ","")&amp;";",";"&amp;SUBSTITUTE(G$7," ","")&amp;";")))),"—",IF(_xlfn.MAXIFS(Acuses!$C$5:$C$3004,Acuses!$A$5:$A$3004,$A27,Acuses!$B$5:$B$3004,G$4)&lt;G$5,"Pendiente",IF(G$8=0,"OK",IF(EDATE(_xlfn.MAXIFS(Acuses!$D$5:$D$3004,Acuses!$A$5:$A$3004,$A27,Acuses!$B$5:$B$3004,G$4,Acuses!$C$5:$C$3004,G$5),G$8)&lt;Resumen!$C$4,"Caducado",IF(EDATE(_xlfn.MAXIFS(Acuses!$D$5:$D$3004,Acuses!$A$5:$A$3004,$A27,Acuses!$B$5:$B$3004,G$4,Acuses!$C$5:$C$3004,G$5),G$8)&lt;Resumen!$C$4+30,"Caduca pronto","OK"))))))</f>
        <v/>
      </c>
      <c r="H27" s="26" t="str">
        <f aca="false">IF(OR($A27="",H$4=""),"",IF(NOT(OR(H$6="Toda la plantilla",ISNUMBER(SEARCH(";"&amp;SUBSTITUTE($C27," ","")&amp;";",";"&amp;SUBSTITUTE(H$7," ","")&amp;";")))),"—",IF(_xlfn.MAXIFS(Acuses!$C$5:$C$3004,Acuses!$A$5:$A$3004,$A27,Acuses!$B$5:$B$3004,H$4)&lt;H$5,"Pendiente",IF(H$8=0,"OK",IF(EDATE(_xlfn.MAXIFS(Acuses!$D$5:$D$3004,Acuses!$A$5:$A$3004,$A27,Acuses!$B$5:$B$3004,H$4,Acuses!$C$5:$C$3004,H$5),H$8)&lt;Resumen!$C$4,"Caducado",IF(EDATE(_xlfn.MAXIFS(Acuses!$D$5:$D$3004,Acuses!$A$5:$A$3004,$A27,Acuses!$B$5:$B$3004,H$4,Acuses!$C$5:$C$3004,H$5),H$8)&lt;Resumen!$C$4+30,"Caduca pronto","OK"))))))</f>
        <v/>
      </c>
      <c r="I27" s="26" t="str">
        <f aca="false">IF(OR($A27="",I$4=""),"",IF(NOT(OR(I$6="Toda la plantilla",ISNUMBER(SEARCH(";"&amp;SUBSTITUTE($C27," ","")&amp;";",";"&amp;SUBSTITUTE(I$7," ","")&amp;";")))),"—",IF(_xlfn.MAXIFS(Acuses!$C$5:$C$3004,Acuses!$A$5:$A$3004,$A27,Acuses!$B$5:$B$3004,I$4)&lt;I$5,"Pendiente",IF(I$8=0,"OK",IF(EDATE(_xlfn.MAXIFS(Acuses!$D$5:$D$3004,Acuses!$A$5:$A$3004,$A27,Acuses!$B$5:$B$3004,I$4,Acuses!$C$5:$C$3004,I$5),I$8)&lt;Resumen!$C$4,"Caducado",IF(EDATE(_xlfn.MAXIFS(Acuses!$D$5:$D$3004,Acuses!$A$5:$A$3004,$A27,Acuses!$B$5:$B$3004,I$4,Acuses!$C$5:$C$3004,I$5),I$8)&lt;Resumen!$C$4+30,"Caduca pronto","OK"))))))</f>
        <v/>
      </c>
      <c r="J27" s="26" t="str">
        <f aca="false">IF(OR($A27="",J$4=""),"",IF(NOT(OR(J$6="Toda la plantilla",ISNUMBER(SEARCH(";"&amp;SUBSTITUTE($C27," ","")&amp;";",";"&amp;SUBSTITUTE(J$7," ","")&amp;";")))),"—",IF(_xlfn.MAXIFS(Acuses!$C$5:$C$3004,Acuses!$A$5:$A$3004,$A27,Acuses!$B$5:$B$3004,J$4)&lt;J$5,"Pendiente",IF(J$8=0,"OK",IF(EDATE(_xlfn.MAXIFS(Acuses!$D$5:$D$3004,Acuses!$A$5:$A$3004,$A27,Acuses!$B$5:$B$3004,J$4,Acuses!$C$5:$C$3004,J$5),J$8)&lt;Resumen!$C$4,"Caducado",IF(EDATE(_xlfn.MAXIFS(Acuses!$D$5:$D$3004,Acuses!$A$5:$A$3004,$A27,Acuses!$B$5:$B$3004,J$4,Acuses!$C$5:$C$3004,J$5),J$8)&lt;Resumen!$C$4+30,"Caduca pronto","OK"))))))</f>
        <v/>
      </c>
      <c r="K27" s="26" t="str">
        <f aca="false">IF(OR($A27="",K$4=""),"",IF(NOT(OR(K$6="Toda la plantilla",ISNUMBER(SEARCH(";"&amp;SUBSTITUTE($C27," ","")&amp;";",";"&amp;SUBSTITUTE(K$7," ","")&amp;";")))),"—",IF(_xlfn.MAXIFS(Acuses!$C$5:$C$3004,Acuses!$A$5:$A$3004,$A27,Acuses!$B$5:$B$3004,K$4)&lt;K$5,"Pendiente",IF(K$8=0,"OK",IF(EDATE(_xlfn.MAXIFS(Acuses!$D$5:$D$3004,Acuses!$A$5:$A$3004,$A27,Acuses!$B$5:$B$3004,K$4,Acuses!$C$5:$C$3004,K$5),K$8)&lt;Resumen!$C$4,"Caducado",IF(EDATE(_xlfn.MAXIFS(Acuses!$D$5:$D$3004,Acuses!$A$5:$A$3004,$A27,Acuses!$B$5:$B$3004,K$4,Acuses!$C$5:$C$3004,K$5),K$8)&lt;Resumen!$C$4+30,"Caduca pronto","OK"))))))</f>
        <v/>
      </c>
      <c r="L27" s="26" t="str">
        <f aca="false">IF(OR($A27="",L$4=""),"",IF(NOT(OR(L$6="Toda la plantilla",ISNUMBER(SEARCH(";"&amp;SUBSTITUTE($C27," ","")&amp;";",";"&amp;SUBSTITUTE(L$7," ","")&amp;";")))),"—",IF(_xlfn.MAXIFS(Acuses!$C$5:$C$3004,Acuses!$A$5:$A$3004,$A27,Acuses!$B$5:$B$3004,L$4)&lt;L$5,"Pendiente",IF(L$8=0,"OK",IF(EDATE(_xlfn.MAXIFS(Acuses!$D$5:$D$3004,Acuses!$A$5:$A$3004,$A27,Acuses!$B$5:$B$3004,L$4,Acuses!$C$5:$C$3004,L$5),L$8)&lt;Resumen!$C$4,"Caducado",IF(EDATE(_xlfn.MAXIFS(Acuses!$D$5:$D$3004,Acuses!$A$5:$A$3004,$A27,Acuses!$B$5:$B$3004,L$4,Acuses!$C$5:$C$3004,L$5),L$8)&lt;Resumen!$C$4+30,"Caduca pronto","OK"))))))</f>
        <v/>
      </c>
      <c r="M27" s="26" t="str">
        <f aca="false">IF(OR($A27="",M$4=""),"",IF(NOT(OR(M$6="Toda la plantilla",ISNUMBER(SEARCH(";"&amp;SUBSTITUTE($C27," ","")&amp;";",";"&amp;SUBSTITUTE(M$7," ","")&amp;";")))),"—",IF(_xlfn.MAXIFS(Acuses!$C$5:$C$3004,Acuses!$A$5:$A$3004,$A27,Acuses!$B$5:$B$3004,M$4)&lt;M$5,"Pendiente",IF(M$8=0,"OK",IF(EDATE(_xlfn.MAXIFS(Acuses!$D$5:$D$3004,Acuses!$A$5:$A$3004,$A27,Acuses!$B$5:$B$3004,M$4,Acuses!$C$5:$C$3004,M$5),M$8)&lt;Resumen!$C$4,"Caducado",IF(EDATE(_xlfn.MAXIFS(Acuses!$D$5:$D$3004,Acuses!$A$5:$A$3004,$A27,Acuses!$B$5:$B$3004,M$4,Acuses!$C$5:$C$3004,M$5),M$8)&lt;Resumen!$C$4+30,"Caduca pronto","OK"))))))</f>
        <v/>
      </c>
      <c r="N27" s="26" t="str">
        <f aca="false">IF(OR($A27="",N$4=""),"",IF(NOT(OR(N$6="Toda la plantilla",ISNUMBER(SEARCH(";"&amp;SUBSTITUTE($C27," ","")&amp;";",";"&amp;SUBSTITUTE(N$7," ","")&amp;";")))),"—",IF(_xlfn.MAXIFS(Acuses!$C$5:$C$3004,Acuses!$A$5:$A$3004,$A27,Acuses!$B$5:$B$3004,N$4)&lt;N$5,"Pendiente",IF(N$8=0,"OK",IF(EDATE(_xlfn.MAXIFS(Acuses!$D$5:$D$3004,Acuses!$A$5:$A$3004,$A27,Acuses!$B$5:$B$3004,N$4,Acuses!$C$5:$C$3004,N$5),N$8)&lt;Resumen!$C$4,"Caducado",IF(EDATE(_xlfn.MAXIFS(Acuses!$D$5:$D$3004,Acuses!$A$5:$A$3004,$A27,Acuses!$B$5:$B$3004,N$4,Acuses!$C$5:$C$3004,N$5),N$8)&lt;Resumen!$C$4+30,"Caduca pronto","OK"))))))</f>
        <v/>
      </c>
      <c r="O27" s="26" t="str">
        <f aca="false">IF(OR($A27="",O$4=""),"",IF(NOT(OR(O$6="Toda la plantilla",ISNUMBER(SEARCH(";"&amp;SUBSTITUTE($C27," ","")&amp;";",";"&amp;SUBSTITUTE(O$7," ","")&amp;";")))),"—",IF(_xlfn.MAXIFS(Acuses!$C$5:$C$3004,Acuses!$A$5:$A$3004,$A27,Acuses!$B$5:$B$3004,O$4)&lt;O$5,"Pendiente",IF(O$8=0,"OK",IF(EDATE(_xlfn.MAXIFS(Acuses!$D$5:$D$3004,Acuses!$A$5:$A$3004,$A27,Acuses!$B$5:$B$3004,O$4,Acuses!$C$5:$C$3004,O$5),O$8)&lt;Resumen!$C$4,"Caducado",IF(EDATE(_xlfn.MAXIFS(Acuses!$D$5:$D$3004,Acuses!$A$5:$A$3004,$A27,Acuses!$B$5:$B$3004,O$4,Acuses!$C$5:$C$3004,O$5),O$8)&lt;Resumen!$C$4+30,"Caduca pronto","OK"))))))</f>
        <v/>
      </c>
      <c r="P27" s="26" t="str">
        <f aca="false">IF(OR($A27="",P$4=""),"",IF(NOT(OR(P$6="Toda la plantilla",ISNUMBER(SEARCH(";"&amp;SUBSTITUTE($C27," ","")&amp;";",";"&amp;SUBSTITUTE(P$7," ","")&amp;";")))),"—",IF(_xlfn.MAXIFS(Acuses!$C$5:$C$3004,Acuses!$A$5:$A$3004,$A27,Acuses!$B$5:$B$3004,P$4)&lt;P$5,"Pendiente",IF(P$8=0,"OK",IF(EDATE(_xlfn.MAXIFS(Acuses!$D$5:$D$3004,Acuses!$A$5:$A$3004,$A27,Acuses!$B$5:$B$3004,P$4,Acuses!$C$5:$C$3004,P$5),P$8)&lt;Resumen!$C$4,"Caducado",IF(EDATE(_xlfn.MAXIFS(Acuses!$D$5:$D$3004,Acuses!$A$5:$A$3004,$A27,Acuses!$B$5:$B$3004,P$4,Acuses!$C$5:$C$3004,P$5),P$8)&lt;Resumen!$C$4+30,"Caduca pronto","OK"))))))</f>
        <v/>
      </c>
      <c r="Q27" s="26" t="str">
        <f aca="false">IF(OR($A27="",Q$4=""),"",IF(NOT(OR(Q$6="Toda la plantilla",ISNUMBER(SEARCH(";"&amp;SUBSTITUTE($C27," ","")&amp;";",";"&amp;SUBSTITUTE(Q$7," ","")&amp;";")))),"—",IF(_xlfn.MAXIFS(Acuses!$C$5:$C$3004,Acuses!$A$5:$A$3004,$A27,Acuses!$B$5:$B$3004,Q$4)&lt;Q$5,"Pendiente",IF(Q$8=0,"OK",IF(EDATE(_xlfn.MAXIFS(Acuses!$D$5:$D$3004,Acuses!$A$5:$A$3004,$A27,Acuses!$B$5:$B$3004,Q$4,Acuses!$C$5:$C$3004,Q$5),Q$8)&lt;Resumen!$C$4,"Caducado",IF(EDATE(_xlfn.MAXIFS(Acuses!$D$5:$D$3004,Acuses!$A$5:$A$3004,$A27,Acuses!$B$5:$B$3004,Q$4,Acuses!$C$5:$C$3004,Q$5),Q$8)&lt;Resumen!$C$4+30,"Caduca pronto","OK"))))))</f>
        <v/>
      </c>
      <c r="R27" s="26" t="str">
        <f aca="false">IF(OR($A27="",R$4=""),"",IF(NOT(OR(R$6="Toda la plantilla",ISNUMBER(SEARCH(";"&amp;SUBSTITUTE($C27," ","")&amp;";",";"&amp;SUBSTITUTE(R$7," ","")&amp;";")))),"—",IF(_xlfn.MAXIFS(Acuses!$C$5:$C$3004,Acuses!$A$5:$A$3004,$A27,Acuses!$B$5:$B$3004,R$4)&lt;R$5,"Pendiente",IF(R$8=0,"OK",IF(EDATE(_xlfn.MAXIFS(Acuses!$D$5:$D$3004,Acuses!$A$5:$A$3004,$A27,Acuses!$B$5:$B$3004,R$4,Acuses!$C$5:$C$3004,R$5),R$8)&lt;Resumen!$C$4,"Caducado",IF(EDATE(_xlfn.MAXIFS(Acuses!$D$5:$D$3004,Acuses!$A$5:$A$3004,$A27,Acuses!$B$5:$B$3004,R$4,Acuses!$C$5:$C$3004,R$5),R$8)&lt;Resumen!$C$4+30,"Caduca pronto","OK"))))))</f>
        <v/>
      </c>
      <c r="S27" s="26" t="str">
        <f aca="false">IF(OR($A27="",S$4=""),"",IF(NOT(OR(S$6="Toda la plantilla",ISNUMBER(SEARCH(";"&amp;SUBSTITUTE($C27," ","")&amp;";",";"&amp;SUBSTITUTE(S$7," ","")&amp;";")))),"—",IF(_xlfn.MAXIFS(Acuses!$C$5:$C$3004,Acuses!$A$5:$A$3004,$A27,Acuses!$B$5:$B$3004,S$4)&lt;S$5,"Pendiente",IF(S$8=0,"OK",IF(EDATE(_xlfn.MAXIFS(Acuses!$D$5:$D$3004,Acuses!$A$5:$A$3004,$A27,Acuses!$B$5:$B$3004,S$4,Acuses!$C$5:$C$3004,S$5),S$8)&lt;Resumen!$C$4,"Caducado",IF(EDATE(_xlfn.MAXIFS(Acuses!$D$5:$D$3004,Acuses!$A$5:$A$3004,$A27,Acuses!$B$5:$B$3004,S$4,Acuses!$C$5:$C$3004,S$5),S$8)&lt;Resumen!$C$4+30,"Caduca pronto","OK"))))))</f>
        <v/>
      </c>
      <c r="T27" s="26" t="str">
        <f aca="false">IF(OR($A27="",T$4=""),"",IF(NOT(OR(T$6="Toda la plantilla",ISNUMBER(SEARCH(";"&amp;SUBSTITUTE($C27," ","")&amp;";",";"&amp;SUBSTITUTE(T$7," ","")&amp;";")))),"—",IF(_xlfn.MAXIFS(Acuses!$C$5:$C$3004,Acuses!$A$5:$A$3004,$A27,Acuses!$B$5:$B$3004,T$4)&lt;T$5,"Pendiente",IF(T$8=0,"OK",IF(EDATE(_xlfn.MAXIFS(Acuses!$D$5:$D$3004,Acuses!$A$5:$A$3004,$A27,Acuses!$B$5:$B$3004,T$4,Acuses!$C$5:$C$3004,T$5),T$8)&lt;Resumen!$C$4,"Caducado",IF(EDATE(_xlfn.MAXIFS(Acuses!$D$5:$D$3004,Acuses!$A$5:$A$3004,$A27,Acuses!$B$5:$B$3004,T$4,Acuses!$C$5:$C$3004,T$5),T$8)&lt;Resumen!$C$4+30,"Caduca pronto","OK"))))))</f>
        <v/>
      </c>
      <c r="U27" s="26" t="str">
        <f aca="false">IF(OR($A27="",U$4=""),"",IF(NOT(OR(U$6="Toda la plantilla",ISNUMBER(SEARCH(";"&amp;SUBSTITUTE($C27," ","")&amp;";",";"&amp;SUBSTITUTE(U$7," ","")&amp;";")))),"—",IF(_xlfn.MAXIFS(Acuses!$C$5:$C$3004,Acuses!$A$5:$A$3004,$A27,Acuses!$B$5:$B$3004,U$4)&lt;U$5,"Pendiente",IF(U$8=0,"OK",IF(EDATE(_xlfn.MAXIFS(Acuses!$D$5:$D$3004,Acuses!$A$5:$A$3004,$A27,Acuses!$B$5:$B$3004,U$4,Acuses!$C$5:$C$3004,U$5),U$8)&lt;Resumen!$C$4,"Caducado",IF(EDATE(_xlfn.MAXIFS(Acuses!$D$5:$D$3004,Acuses!$A$5:$A$3004,$A27,Acuses!$B$5:$B$3004,U$4,Acuses!$C$5:$C$3004,U$5),U$8)&lt;Resumen!$C$4+30,"Caduca pronto","OK"))))))</f>
        <v/>
      </c>
      <c r="V27" s="26" t="str">
        <f aca="false">IF(OR($A27="",V$4=""),"",IF(NOT(OR(V$6="Toda la plantilla",ISNUMBER(SEARCH(";"&amp;SUBSTITUTE($C27," ","")&amp;";",";"&amp;SUBSTITUTE(V$7," ","")&amp;";")))),"—",IF(_xlfn.MAXIFS(Acuses!$C$5:$C$3004,Acuses!$A$5:$A$3004,$A27,Acuses!$B$5:$B$3004,V$4)&lt;V$5,"Pendiente",IF(V$8=0,"OK",IF(EDATE(_xlfn.MAXIFS(Acuses!$D$5:$D$3004,Acuses!$A$5:$A$3004,$A27,Acuses!$B$5:$B$3004,V$4,Acuses!$C$5:$C$3004,V$5),V$8)&lt;Resumen!$C$4,"Caducado",IF(EDATE(_xlfn.MAXIFS(Acuses!$D$5:$D$3004,Acuses!$A$5:$A$3004,$A27,Acuses!$B$5:$B$3004,V$4,Acuses!$C$5:$C$3004,V$5),V$8)&lt;Resumen!$C$4+30,"Caduca pronto","OK"))))))</f>
        <v/>
      </c>
      <c r="W27" s="26" t="str">
        <f aca="false">IF(OR($A27="",W$4=""),"",IF(NOT(OR(W$6="Toda la plantilla",ISNUMBER(SEARCH(";"&amp;SUBSTITUTE($C27," ","")&amp;";",";"&amp;SUBSTITUTE(W$7," ","")&amp;";")))),"—",IF(_xlfn.MAXIFS(Acuses!$C$5:$C$3004,Acuses!$A$5:$A$3004,$A27,Acuses!$B$5:$B$3004,W$4)&lt;W$5,"Pendiente",IF(W$8=0,"OK",IF(EDATE(_xlfn.MAXIFS(Acuses!$D$5:$D$3004,Acuses!$A$5:$A$3004,$A27,Acuses!$B$5:$B$3004,W$4,Acuses!$C$5:$C$3004,W$5),W$8)&lt;Resumen!$C$4,"Caducado",IF(EDATE(_xlfn.MAXIFS(Acuses!$D$5:$D$3004,Acuses!$A$5:$A$3004,$A27,Acuses!$B$5:$B$3004,W$4,Acuses!$C$5:$C$3004,W$5),W$8)&lt;Resumen!$C$4+30,"Caduca pronto","OK"))))))</f>
        <v/>
      </c>
      <c r="X27" s="26" t="str">
        <f aca="false">IF(OR($A27="",X$4=""),"",IF(NOT(OR(X$6="Toda la plantilla",ISNUMBER(SEARCH(";"&amp;SUBSTITUTE($C27," ","")&amp;";",";"&amp;SUBSTITUTE(X$7," ","")&amp;";")))),"—",IF(_xlfn.MAXIFS(Acuses!$C$5:$C$3004,Acuses!$A$5:$A$3004,$A27,Acuses!$B$5:$B$3004,X$4)&lt;X$5,"Pendiente",IF(X$8=0,"OK",IF(EDATE(_xlfn.MAXIFS(Acuses!$D$5:$D$3004,Acuses!$A$5:$A$3004,$A27,Acuses!$B$5:$B$3004,X$4,Acuses!$C$5:$C$3004,X$5),X$8)&lt;Resumen!$C$4,"Caducado",IF(EDATE(_xlfn.MAXIFS(Acuses!$D$5:$D$3004,Acuses!$A$5:$A$3004,$A27,Acuses!$B$5:$B$3004,X$4,Acuses!$C$5:$C$3004,X$5),X$8)&lt;Resumen!$C$4+30,"Caduca pronto","OK"))))))</f>
        <v/>
      </c>
      <c r="Y27" s="26" t="str">
        <f aca="false">IF(OR($A27="",Y$4=""),"",IF(NOT(OR(Y$6="Toda la plantilla",ISNUMBER(SEARCH(";"&amp;SUBSTITUTE($C27," ","")&amp;";",";"&amp;SUBSTITUTE(Y$7," ","")&amp;";")))),"—",IF(_xlfn.MAXIFS(Acuses!$C$5:$C$3004,Acuses!$A$5:$A$3004,$A27,Acuses!$B$5:$B$3004,Y$4)&lt;Y$5,"Pendiente",IF(Y$8=0,"OK",IF(EDATE(_xlfn.MAXIFS(Acuses!$D$5:$D$3004,Acuses!$A$5:$A$3004,$A27,Acuses!$B$5:$B$3004,Y$4,Acuses!$C$5:$C$3004,Y$5),Y$8)&lt;Resumen!$C$4,"Caducado",IF(EDATE(_xlfn.MAXIFS(Acuses!$D$5:$D$3004,Acuses!$A$5:$A$3004,$A27,Acuses!$B$5:$B$3004,Y$4,Acuses!$C$5:$C$3004,Y$5),Y$8)&lt;Resumen!$C$4+30,"Caduca pronto","OK"))))))</f>
        <v/>
      </c>
      <c r="Z27" s="26" t="str">
        <f aca="false">IF(OR($A27="",Z$4=""),"",IF(NOT(OR(Z$6="Toda la plantilla",ISNUMBER(SEARCH(";"&amp;SUBSTITUTE($C27," ","")&amp;";",";"&amp;SUBSTITUTE(Z$7," ","")&amp;";")))),"—",IF(_xlfn.MAXIFS(Acuses!$C$5:$C$3004,Acuses!$A$5:$A$3004,$A27,Acuses!$B$5:$B$3004,Z$4)&lt;Z$5,"Pendiente",IF(Z$8=0,"OK",IF(EDATE(_xlfn.MAXIFS(Acuses!$D$5:$D$3004,Acuses!$A$5:$A$3004,$A27,Acuses!$B$5:$B$3004,Z$4,Acuses!$C$5:$C$3004,Z$5),Z$8)&lt;Resumen!$C$4,"Caducado",IF(EDATE(_xlfn.MAXIFS(Acuses!$D$5:$D$3004,Acuses!$A$5:$A$3004,$A27,Acuses!$B$5:$B$3004,Z$4,Acuses!$C$5:$C$3004,Z$5),Z$8)&lt;Resumen!$C$4+30,"Caduca pronto","OK"))))))</f>
        <v/>
      </c>
      <c r="AA27" s="26" t="str">
        <f aca="false">IF(OR($A27="",AA$4=""),"",IF(NOT(OR(AA$6="Toda la plantilla",ISNUMBER(SEARCH(";"&amp;SUBSTITUTE($C27," ","")&amp;";",";"&amp;SUBSTITUTE(AA$7," ","")&amp;";")))),"—",IF(_xlfn.MAXIFS(Acuses!$C$5:$C$3004,Acuses!$A$5:$A$3004,$A27,Acuses!$B$5:$B$3004,AA$4)&lt;AA$5,"Pendiente",IF(AA$8=0,"OK",IF(EDATE(_xlfn.MAXIFS(Acuses!$D$5:$D$3004,Acuses!$A$5:$A$3004,$A27,Acuses!$B$5:$B$3004,AA$4,Acuses!$C$5:$C$3004,AA$5),AA$8)&lt;Resumen!$C$4,"Caducado",IF(EDATE(_xlfn.MAXIFS(Acuses!$D$5:$D$3004,Acuses!$A$5:$A$3004,$A27,Acuses!$B$5:$B$3004,AA$4,Acuses!$C$5:$C$3004,AA$5),AA$8)&lt;Resumen!$C$4+30,"Caduca pronto","OK"))))))</f>
        <v/>
      </c>
      <c r="AB27" s="26" t="str">
        <f aca="false">IF(OR($A27="",AB$4=""),"",IF(NOT(OR(AB$6="Toda la plantilla",ISNUMBER(SEARCH(";"&amp;SUBSTITUTE($C27," ","")&amp;";",";"&amp;SUBSTITUTE(AB$7," ","")&amp;";")))),"—",IF(_xlfn.MAXIFS(Acuses!$C$5:$C$3004,Acuses!$A$5:$A$3004,$A27,Acuses!$B$5:$B$3004,AB$4)&lt;AB$5,"Pendiente",IF(AB$8=0,"OK",IF(EDATE(_xlfn.MAXIFS(Acuses!$D$5:$D$3004,Acuses!$A$5:$A$3004,$A27,Acuses!$B$5:$B$3004,AB$4,Acuses!$C$5:$C$3004,AB$5),AB$8)&lt;Resumen!$C$4,"Caducado",IF(EDATE(_xlfn.MAXIFS(Acuses!$D$5:$D$3004,Acuses!$A$5:$A$3004,$A27,Acuses!$B$5:$B$3004,AB$4,Acuses!$C$5:$C$3004,AB$5),AB$8)&lt;Resumen!$C$4+30,"Caduca pronto","OK"))))))</f>
        <v/>
      </c>
      <c r="AC27" s="26" t="str">
        <f aca="false">IF(OR($A27="",AC$4=""),"",IF(NOT(OR(AC$6="Toda la plantilla",ISNUMBER(SEARCH(";"&amp;SUBSTITUTE($C27," ","")&amp;";",";"&amp;SUBSTITUTE(AC$7," ","")&amp;";")))),"—",IF(_xlfn.MAXIFS(Acuses!$C$5:$C$3004,Acuses!$A$5:$A$3004,$A27,Acuses!$B$5:$B$3004,AC$4)&lt;AC$5,"Pendiente",IF(AC$8=0,"OK",IF(EDATE(_xlfn.MAXIFS(Acuses!$D$5:$D$3004,Acuses!$A$5:$A$3004,$A27,Acuses!$B$5:$B$3004,AC$4,Acuses!$C$5:$C$3004,AC$5),AC$8)&lt;Resumen!$C$4,"Caducado",IF(EDATE(_xlfn.MAXIFS(Acuses!$D$5:$D$3004,Acuses!$A$5:$A$3004,$A27,Acuses!$B$5:$B$3004,AC$4,Acuses!$C$5:$C$3004,AC$5),AC$8)&lt;Resumen!$C$4+30,"Caduca pronto","OK"))))))</f>
        <v/>
      </c>
      <c r="AD27" s="26" t="str">
        <f aca="false">IF(OR($A27="",AD$4=""),"",IF(NOT(OR(AD$6="Toda la plantilla",ISNUMBER(SEARCH(";"&amp;SUBSTITUTE($C27," ","")&amp;";",";"&amp;SUBSTITUTE(AD$7," ","")&amp;";")))),"—",IF(_xlfn.MAXIFS(Acuses!$C$5:$C$3004,Acuses!$A$5:$A$3004,$A27,Acuses!$B$5:$B$3004,AD$4)&lt;AD$5,"Pendiente",IF(AD$8=0,"OK",IF(EDATE(_xlfn.MAXIFS(Acuses!$D$5:$D$3004,Acuses!$A$5:$A$3004,$A27,Acuses!$B$5:$B$3004,AD$4,Acuses!$C$5:$C$3004,AD$5),AD$8)&lt;Resumen!$C$4,"Caducado",IF(EDATE(_xlfn.MAXIFS(Acuses!$D$5:$D$3004,Acuses!$A$5:$A$3004,$A27,Acuses!$B$5:$B$3004,AD$4,Acuses!$C$5:$C$3004,AD$5),AD$8)&lt;Resumen!$C$4+30,"Caduca pronto","OK"))))))</f>
        <v/>
      </c>
      <c r="AE27" s="26" t="str">
        <f aca="false">IF(OR($A27="",AE$4=""),"",IF(NOT(OR(AE$6="Toda la plantilla",ISNUMBER(SEARCH(";"&amp;SUBSTITUTE($C27," ","")&amp;";",";"&amp;SUBSTITUTE(AE$7," ","")&amp;";")))),"—",IF(_xlfn.MAXIFS(Acuses!$C$5:$C$3004,Acuses!$A$5:$A$3004,$A27,Acuses!$B$5:$B$3004,AE$4)&lt;AE$5,"Pendiente",IF(AE$8=0,"OK",IF(EDATE(_xlfn.MAXIFS(Acuses!$D$5:$D$3004,Acuses!$A$5:$A$3004,$A27,Acuses!$B$5:$B$3004,AE$4,Acuses!$C$5:$C$3004,AE$5),AE$8)&lt;Resumen!$C$4,"Caducado",IF(EDATE(_xlfn.MAXIFS(Acuses!$D$5:$D$3004,Acuses!$A$5:$A$3004,$A27,Acuses!$B$5:$B$3004,AE$4,Acuses!$C$5:$C$3004,AE$5),AE$8)&lt;Resumen!$C$4+30,"Caduca pronto","OK"))))))</f>
        <v/>
      </c>
      <c r="AF27" s="26" t="str">
        <f aca="false">IF(OR($A27="",AF$4=""),"",IF(NOT(OR(AF$6="Toda la plantilla",ISNUMBER(SEARCH(";"&amp;SUBSTITUTE($C27," ","")&amp;";",";"&amp;SUBSTITUTE(AF$7," ","")&amp;";")))),"—",IF(_xlfn.MAXIFS(Acuses!$C$5:$C$3004,Acuses!$A$5:$A$3004,$A27,Acuses!$B$5:$B$3004,AF$4)&lt;AF$5,"Pendiente",IF(AF$8=0,"OK",IF(EDATE(_xlfn.MAXIFS(Acuses!$D$5:$D$3004,Acuses!$A$5:$A$3004,$A27,Acuses!$B$5:$B$3004,AF$4,Acuses!$C$5:$C$3004,AF$5),AF$8)&lt;Resumen!$C$4,"Caducado",IF(EDATE(_xlfn.MAXIFS(Acuses!$D$5:$D$3004,Acuses!$A$5:$A$3004,$A27,Acuses!$B$5:$B$3004,AF$4,Acuses!$C$5:$C$3004,AF$5),AF$8)&lt;Resumen!$C$4+30,"Caduca pronto","OK"))))))</f>
        <v/>
      </c>
      <c r="AG27" s="26" t="str">
        <f aca="false">IF(OR($A27="",AG$4=""),"",IF(NOT(OR(AG$6="Toda la plantilla",ISNUMBER(SEARCH(";"&amp;SUBSTITUTE($C27," ","")&amp;";",";"&amp;SUBSTITUTE(AG$7," ","")&amp;";")))),"—",IF(_xlfn.MAXIFS(Acuses!$C$5:$C$3004,Acuses!$A$5:$A$3004,$A27,Acuses!$B$5:$B$3004,AG$4)&lt;AG$5,"Pendiente",IF(AG$8=0,"OK",IF(EDATE(_xlfn.MAXIFS(Acuses!$D$5:$D$3004,Acuses!$A$5:$A$3004,$A27,Acuses!$B$5:$B$3004,AG$4,Acuses!$C$5:$C$3004,AG$5),AG$8)&lt;Resumen!$C$4,"Caducado",IF(EDATE(_xlfn.MAXIFS(Acuses!$D$5:$D$3004,Acuses!$A$5:$A$3004,$A27,Acuses!$B$5:$B$3004,AG$4,Acuses!$C$5:$C$3004,AG$5),AG$8)&lt;Resumen!$C$4+30,"Caduca pronto","OK"))))))</f>
        <v/>
      </c>
      <c r="AH27" s="26" t="str">
        <f aca="false">IF(OR($A27="",AH$4=""),"",IF(NOT(OR(AH$6="Toda la plantilla",ISNUMBER(SEARCH(";"&amp;SUBSTITUTE($C27," ","")&amp;";",";"&amp;SUBSTITUTE(AH$7," ","")&amp;";")))),"—",IF(_xlfn.MAXIFS(Acuses!$C$5:$C$3004,Acuses!$A$5:$A$3004,$A27,Acuses!$B$5:$B$3004,AH$4)&lt;AH$5,"Pendiente",IF(AH$8=0,"OK",IF(EDATE(_xlfn.MAXIFS(Acuses!$D$5:$D$3004,Acuses!$A$5:$A$3004,$A27,Acuses!$B$5:$B$3004,AH$4,Acuses!$C$5:$C$3004,AH$5),AH$8)&lt;Resumen!$C$4,"Caducado",IF(EDATE(_xlfn.MAXIFS(Acuses!$D$5:$D$3004,Acuses!$A$5:$A$3004,$A27,Acuses!$B$5:$B$3004,AH$4,Acuses!$C$5:$C$3004,AH$5),AH$8)&lt;Resumen!$C$4+30,"Caduca pronto","OK"))))))</f>
        <v/>
      </c>
      <c r="AI27" s="26" t="str">
        <f aca="false">IF(OR($A27="",AI$4=""),"",IF(NOT(OR(AI$6="Toda la plantilla",ISNUMBER(SEARCH(";"&amp;SUBSTITUTE($C27," ","")&amp;";",";"&amp;SUBSTITUTE(AI$7," ","")&amp;";")))),"—",IF(_xlfn.MAXIFS(Acuses!$C$5:$C$3004,Acuses!$A$5:$A$3004,$A27,Acuses!$B$5:$B$3004,AI$4)&lt;AI$5,"Pendiente",IF(AI$8=0,"OK",IF(EDATE(_xlfn.MAXIFS(Acuses!$D$5:$D$3004,Acuses!$A$5:$A$3004,$A27,Acuses!$B$5:$B$3004,AI$4,Acuses!$C$5:$C$3004,AI$5),AI$8)&lt;Resumen!$C$4,"Caducado",IF(EDATE(_xlfn.MAXIFS(Acuses!$D$5:$D$3004,Acuses!$A$5:$A$3004,$A27,Acuses!$B$5:$B$3004,AI$4,Acuses!$C$5:$C$3004,AI$5),AI$8)&lt;Resumen!$C$4+30,"Caduca pronto","OK"))))))</f>
        <v/>
      </c>
      <c r="AJ27" s="26" t="str">
        <f aca="false">IF(OR($A27="",AJ$4=""),"",IF(NOT(OR(AJ$6="Toda la plantilla",ISNUMBER(SEARCH(";"&amp;SUBSTITUTE($C27," ","")&amp;";",";"&amp;SUBSTITUTE(AJ$7," ","")&amp;";")))),"—",IF(_xlfn.MAXIFS(Acuses!$C$5:$C$3004,Acuses!$A$5:$A$3004,$A27,Acuses!$B$5:$B$3004,AJ$4)&lt;AJ$5,"Pendiente",IF(AJ$8=0,"OK",IF(EDATE(_xlfn.MAXIFS(Acuses!$D$5:$D$3004,Acuses!$A$5:$A$3004,$A27,Acuses!$B$5:$B$3004,AJ$4,Acuses!$C$5:$C$3004,AJ$5),AJ$8)&lt;Resumen!$C$4,"Caducado",IF(EDATE(_xlfn.MAXIFS(Acuses!$D$5:$D$3004,Acuses!$A$5:$A$3004,$A27,Acuses!$B$5:$B$3004,AJ$4,Acuses!$C$5:$C$3004,AJ$5),AJ$8)&lt;Resumen!$C$4+30,"Caduca pronto","OK"))))))</f>
        <v/>
      </c>
      <c r="AK27" s="26" t="str">
        <f aca="false">IF(OR($A27="",AK$4=""),"",IF(NOT(OR(AK$6="Toda la plantilla",ISNUMBER(SEARCH(";"&amp;SUBSTITUTE($C27," ","")&amp;";",";"&amp;SUBSTITUTE(AK$7," ","")&amp;";")))),"—",IF(_xlfn.MAXIFS(Acuses!$C$5:$C$3004,Acuses!$A$5:$A$3004,$A27,Acuses!$B$5:$B$3004,AK$4)&lt;AK$5,"Pendiente",IF(AK$8=0,"OK",IF(EDATE(_xlfn.MAXIFS(Acuses!$D$5:$D$3004,Acuses!$A$5:$A$3004,$A27,Acuses!$B$5:$B$3004,AK$4,Acuses!$C$5:$C$3004,AK$5),AK$8)&lt;Resumen!$C$4,"Caducado",IF(EDATE(_xlfn.MAXIFS(Acuses!$D$5:$D$3004,Acuses!$A$5:$A$3004,$A27,Acuses!$B$5:$B$3004,AK$4,Acuses!$C$5:$C$3004,AK$5),AK$8)&lt;Resumen!$C$4+30,"Caduca pronto","OK"))))))</f>
        <v/>
      </c>
      <c r="AL27" s="26" t="str">
        <f aca="false">IF(OR($A27="",AL$4=""),"",IF(NOT(OR(AL$6="Toda la plantilla",ISNUMBER(SEARCH(";"&amp;SUBSTITUTE($C27," ","")&amp;";",";"&amp;SUBSTITUTE(AL$7," ","")&amp;";")))),"—",IF(_xlfn.MAXIFS(Acuses!$C$5:$C$3004,Acuses!$A$5:$A$3004,$A27,Acuses!$B$5:$B$3004,AL$4)&lt;AL$5,"Pendiente",IF(AL$8=0,"OK",IF(EDATE(_xlfn.MAXIFS(Acuses!$D$5:$D$3004,Acuses!$A$5:$A$3004,$A27,Acuses!$B$5:$B$3004,AL$4,Acuses!$C$5:$C$3004,AL$5),AL$8)&lt;Resumen!$C$4,"Caducado",IF(EDATE(_xlfn.MAXIFS(Acuses!$D$5:$D$3004,Acuses!$A$5:$A$3004,$A27,Acuses!$B$5:$B$3004,AL$4,Acuses!$C$5:$C$3004,AL$5),AL$8)&lt;Resumen!$C$4+30,"Caduca pronto","OK"))))))</f>
        <v/>
      </c>
      <c r="AM27" s="26" t="str">
        <f aca="false">IF(OR($A27="",AM$4=""),"",IF(NOT(OR(AM$6="Toda la plantilla",ISNUMBER(SEARCH(";"&amp;SUBSTITUTE($C27," ","")&amp;";",";"&amp;SUBSTITUTE(AM$7," ","")&amp;";")))),"—",IF(_xlfn.MAXIFS(Acuses!$C$5:$C$3004,Acuses!$A$5:$A$3004,$A27,Acuses!$B$5:$B$3004,AM$4)&lt;AM$5,"Pendiente",IF(AM$8=0,"OK",IF(EDATE(_xlfn.MAXIFS(Acuses!$D$5:$D$3004,Acuses!$A$5:$A$3004,$A27,Acuses!$B$5:$B$3004,AM$4,Acuses!$C$5:$C$3004,AM$5),AM$8)&lt;Resumen!$C$4,"Caducado",IF(EDATE(_xlfn.MAXIFS(Acuses!$D$5:$D$3004,Acuses!$A$5:$A$3004,$A27,Acuses!$B$5:$B$3004,AM$4,Acuses!$C$5:$C$3004,AM$5),AM$8)&lt;Resumen!$C$4+30,"Caduca pronto","OK"))))))</f>
        <v/>
      </c>
      <c r="AN27" s="26" t="str">
        <f aca="false">IF(OR($A27="",AN$4=""),"",IF(NOT(OR(AN$6="Toda la plantilla",ISNUMBER(SEARCH(";"&amp;SUBSTITUTE($C27," ","")&amp;";",";"&amp;SUBSTITUTE(AN$7," ","")&amp;";")))),"—",IF(_xlfn.MAXIFS(Acuses!$C$5:$C$3004,Acuses!$A$5:$A$3004,$A27,Acuses!$B$5:$B$3004,AN$4)&lt;AN$5,"Pendiente",IF(AN$8=0,"OK",IF(EDATE(_xlfn.MAXIFS(Acuses!$D$5:$D$3004,Acuses!$A$5:$A$3004,$A27,Acuses!$B$5:$B$3004,AN$4,Acuses!$C$5:$C$3004,AN$5),AN$8)&lt;Resumen!$C$4,"Caducado",IF(EDATE(_xlfn.MAXIFS(Acuses!$D$5:$D$3004,Acuses!$A$5:$A$3004,$A27,Acuses!$B$5:$B$3004,AN$4,Acuses!$C$5:$C$3004,AN$5),AN$8)&lt;Resumen!$C$4+30,"Caduca pronto","OK"))))))</f>
        <v/>
      </c>
      <c r="AO27" s="26" t="str">
        <f aca="false">IF(OR($A27="",AO$4=""),"",IF(NOT(OR(AO$6="Toda la plantilla",ISNUMBER(SEARCH(";"&amp;SUBSTITUTE($C27," ","")&amp;";",";"&amp;SUBSTITUTE(AO$7," ","")&amp;";")))),"—",IF(_xlfn.MAXIFS(Acuses!$C$5:$C$3004,Acuses!$A$5:$A$3004,$A27,Acuses!$B$5:$B$3004,AO$4)&lt;AO$5,"Pendiente",IF(AO$8=0,"OK",IF(EDATE(_xlfn.MAXIFS(Acuses!$D$5:$D$3004,Acuses!$A$5:$A$3004,$A27,Acuses!$B$5:$B$3004,AO$4,Acuses!$C$5:$C$3004,AO$5),AO$8)&lt;Resumen!$C$4,"Caducado",IF(EDATE(_xlfn.MAXIFS(Acuses!$D$5:$D$3004,Acuses!$A$5:$A$3004,$A27,Acuses!$B$5:$B$3004,AO$4,Acuses!$C$5:$C$3004,AO$5),AO$8)&lt;Resumen!$C$4+30,"Caduca pronto","OK"))))))</f>
        <v/>
      </c>
      <c r="AP27" s="26" t="str">
        <f aca="false">IF(OR($A27="",AP$4=""),"",IF(NOT(OR(AP$6="Toda la plantilla",ISNUMBER(SEARCH(";"&amp;SUBSTITUTE($C27," ","")&amp;";",";"&amp;SUBSTITUTE(AP$7," ","")&amp;";")))),"—",IF(_xlfn.MAXIFS(Acuses!$C$5:$C$3004,Acuses!$A$5:$A$3004,$A27,Acuses!$B$5:$B$3004,AP$4)&lt;AP$5,"Pendiente",IF(AP$8=0,"OK",IF(EDATE(_xlfn.MAXIFS(Acuses!$D$5:$D$3004,Acuses!$A$5:$A$3004,$A27,Acuses!$B$5:$B$3004,AP$4,Acuses!$C$5:$C$3004,AP$5),AP$8)&lt;Resumen!$C$4,"Caducado",IF(EDATE(_xlfn.MAXIFS(Acuses!$D$5:$D$3004,Acuses!$A$5:$A$3004,$A27,Acuses!$B$5:$B$3004,AP$4,Acuses!$C$5:$C$3004,AP$5),AP$8)&lt;Resumen!$C$4+30,"Caduca pronto","OK"))))))</f>
        <v/>
      </c>
      <c r="AQ27" s="26" t="str">
        <f aca="false">IF(OR($A27="",AQ$4=""),"",IF(NOT(OR(AQ$6="Toda la plantilla",ISNUMBER(SEARCH(";"&amp;SUBSTITUTE($C27," ","")&amp;";",";"&amp;SUBSTITUTE(AQ$7," ","")&amp;";")))),"—",IF(_xlfn.MAXIFS(Acuses!$C$5:$C$3004,Acuses!$A$5:$A$3004,$A27,Acuses!$B$5:$B$3004,AQ$4)&lt;AQ$5,"Pendiente",IF(AQ$8=0,"OK",IF(EDATE(_xlfn.MAXIFS(Acuses!$D$5:$D$3004,Acuses!$A$5:$A$3004,$A27,Acuses!$B$5:$B$3004,AQ$4,Acuses!$C$5:$C$3004,AQ$5),AQ$8)&lt;Resumen!$C$4,"Caducado",IF(EDATE(_xlfn.MAXIFS(Acuses!$D$5:$D$3004,Acuses!$A$5:$A$3004,$A27,Acuses!$B$5:$B$3004,AQ$4,Acuses!$C$5:$C$3004,AQ$5),AQ$8)&lt;Resumen!$C$4+30,"Caduca pronto","OK"))))))</f>
        <v/>
      </c>
    </row>
    <row r="28" customFormat="false" ht="15" hidden="false" customHeight="false" outlineLevel="0" collapsed="false">
      <c r="A28" s="25" t="str">
        <f aca="false">IF(AND(Trabajadores!$A$23&lt;&gt;"",Trabajadores!$G$23&lt;&gt;"No"),Trabajadores!$A$23,"")</f>
        <v/>
      </c>
      <c r="B28" s="25" t="str">
        <f aca="false">IF($A28="","",Trabajadores!$B$23)</f>
        <v/>
      </c>
      <c r="C28" s="25" t="str">
        <f aca="false">IF($A28="","",Trabajadores!$C$23)</f>
        <v/>
      </c>
      <c r="D28" s="26" t="str">
        <f aca="false">IF(OR($A28="",D$4=""),"",IF(NOT(OR(D$6="Toda la plantilla",ISNUMBER(SEARCH(";"&amp;SUBSTITUTE($C28," ","")&amp;";",";"&amp;SUBSTITUTE(D$7," ","")&amp;";")))),"—",IF(_xlfn.MAXIFS(Acuses!$C$5:$C$3004,Acuses!$A$5:$A$3004,$A28,Acuses!$B$5:$B$3004,D$4)&lt;D$5,"Pendiente",IF(D$8=0,"OK",IF(EDATE(_xlfn.MAXIFS(Acuses!$D$5:$D$3004,Acuses!$A$5:$A$3004,$A28,Acuses!$B$5:$B$3004,D$4,Acuses!$C$5:$C$3004,D$5),D$8)&lt;Resumen!$C$4,"Caducado",IF(EDATE(_xlfn.MAXIFS(Acuses!$D$5:$D$3004,Acuses!$A$5:$A$3004,$A28,Acuses!$B$5:$B$3004,D$4,Acuses!$C$5:$C$3004,D$5),D$8)&lt;Resumen!$C$4+30,"Caduca pronto","OK"))))))</f>
        <v/>
      </c>
      <c r="E28" s="26" t="str">
        <f aca="false">IF(OR($A28="",E$4=""),"",IF(NOT(OR(E$6="Toda la plantilla",ISNUMBER(SEARCH(";"&amp;SUBSTITUTE($C28," ","")&amp;";",";"&amp;SUBSTITUTE(E$7," ","")&amp;";")))),"—",IF(_xlfn.MAXIFS(Acuses!$C$5:$C$3004,Acuses!$A$5:$A$3004,$A28,Acuses!$B$5:$B$3004,E$4)&lt;E$5,"Pendiente",IF(E$8=0,"OK",IF(EDATE(_xlfn.MAXIFS(Acuses!$D$5:$D$3004,Acuses!$A$5:$A$3004,$A28,Acuses!$B$5:$B$3004,E$4,Acuses!$C$5:$C$3004,E$5),E$8)&lt;Resumen!$C$4,"Caducado",IF(EDATE(_xlfn.MAXIFS(Acuses!$D$5:$D$3004,Acuses!$A$5:$A$3004,$A28,Acuses!$B$5:$B$3004,E$4,Acuses!$C$5:$C$3004,E$5),E$8)&lt;Resumen!$C$4+30,"Caduca pronto","OK"))))))</f>
        <v/>
      </c>
      <c r="F28" s="26" t="str">
        <f aca="false">IF(OR($A28="",F$4=""),"",IF(NOT(OR(F$6="Toda la plantilla",ISNUMBER(SEARCH(";"&amp;SUBSTITUTE($C28," ","")&amp;";",";"&amp;SUBSTITUTE(F$7," ","")&amp;";")))),"—",IF(_xlfn.MAXIFS(Acuses!$C$5:$C$3004,Acuses!$A$5:$A$3004,$A28,Acuses!$B$5:$B$3004,F$4)&lt;F$5,"Pendiente",IF(F$8=0,"OK",IF(EDATE(_xlfn.MAXIFS(Acuses!$D$5:$D$3004,Acuses!$A$5:$A$3004,$A28,Acuses!$B$5:$B$3004,F$4,Acuses!$C$5:$C$3004,F$5),F$8)&lt;Resumen!$C$4,"Caducado",IF(EDATE(_xlfn.MAXIFS(Acuses!$D$5:$D$3004,Acuses!$A$5:$A$3004,$A28,Acuses!$B$5:$B$3004,F$4,Acuses!$C$5:$C$3004,F$5),F$8)&lt;Resumen!$C$4+30,"Caduca pronto","OK"))))))</f>
        <v/>
      </c>
      <c r="G28" s="26" t="str">
        <f aca="false">IF(OR($A28="",G$4=""),"",IF(NOT(OR(G$6="Toda la plantilla",ISNUMBER(SEARCH(";"&amp;SUBSTITUTE($C28," ","")&amp;";",";"&amp;SUBSTITUTE(G$7," ","")&amp;";")))),"—",IF(_xlfn.MAXIFS(Acuses!$C$5:$C$3004,Acuses!$A$5:$A$3004,$A28,Acuses!$B$5:$B$3004,G$4)&lt;G$5,"Pendiente",IF(G$8=0,"OK",IF(EDATE(_xlfn.MAXIFS(Acuses!$D$5:$D$3004,Acuses!$A$5:$A$3004,$A28,Acuses!$B$5:$B$3004,G$4,Acuses!$C$5:$C$3004,G$5),G$8)&lt;Resumen!$C$4,"Caducado",IF(EDATE(_xlfn.MAXIFS(Acuses!$D$5:$D$3004,Acuses!$A$5:$A$3004,$A28,Acuses!$B$5:$B$3004,G$4,Acuses!$C$5:$C$3004,G$5),G$8)&lt;Resumen!$C$4+30,"Caduca pronto","OK"))))))</f>
        <v/>
      </c>
      <c r="H28" s="26" t="str">
        <f aca="false">IF(OR($A28="",H$4=""),"",IF(NOT(OR(H$6="Toda la plantilla",ISNUMBER(SEARCH(";"&amp;SUBSTITUTE($C28," ","")&amp;";",";"&amp;SUBSTITUTE(H$7," ","")&amp;";")))),"—",IF(_xlfn.MAXIFS(Acuses!$C$5:$C$3004,Acuses!$A$5:$A$3004,$A28,Acuses!$B$5:$B$3004,H$4)&lt;H$5,"Pendiente",IF(H$8=0,"OK",IF(EDATE(_xlfn.MAXIFS(Acuses!$D$5:$D$3004,Acuses!$A$5:$A$3004,$A28,Acuses!$B$5:$B$3004,H$4,Acuses!$C$5:$C$3004,H$5),H$8)&lt;Resumen!$C$4,"Caducado",IF(EDATE(_xlfn.MAXIFS(Acuses!$D$5:$D$3004,Acuses!$A$5:$A$3004,$A28,Acuses!$B$5:$B$3004,H$4,Acuses!$C$5:$C$3004,H$5),H$8)&lt;Resumen!$C$4+30,"Caduca pronto","OK"))))))</f>
        <v/>
      </c>
      <c r="I28" s="26" t="str">
        <f aca="false">IF(OR($A28="",I$4=""),"",IF(NOT(OR(I$6="Toda la plantilla",ISNUMBER(SEARCH(";"&amp;SUBSTITUTE($C28," ","")&amp;";",";"&amp;SUBSTITUTE(I$7," ","")&amp;";")))),"—",IF(_xlfn.MAXIFS(Acuses!$C$5:$C$3004,Acuses!$A$5:$A$3004,$A28,Acuses!$B$5:$B$3004,I$4)&lt;I$5,"Pendiente",IF(I$8=0,"OK",IF(EDATE(_xlfn.MAXIFS(Acuses!$D$5:$D$3004,Acuses!$A$5:$A$3004,$A28,Acuses!$B$5:$B$3004,I$4,Acuses!$C$5:$C$3004,I$5),I$8)&lt;Resumen!$C$4,"Caducado",IF(EDATE(_xlfn.MAXIFS(Acuses!$D$5:$D$3004,Acuses!$A$5:$A$3004,$A28,Acuses!$B$5:$B$3004,I$4,Acuses!$C$5:$C$3004,I$5),I$8)&lt;Resumen!$C$4+30,"Caduca pronto","OK"))))))</f>
        <v/>
      </c>
      <c r="J28" s="26" t="str">
        <f aca="false">IF(OR($A28="",J$4=""),"",IF(NOT(OR(J$6="Toda la plantilla",ISNUMBER(SEARCH(";"&amp;SUBSTITUTE($C28," ","")&amp;";",";"&amp;SUBSTITUTE(J$7," ","")&amp;";")))),"—",IF(_xlfn.MAXIFS(Acuses!$C$5:$C$3004,Acuses!$A$5:$A$3004,$A28,Acuses!$B$5:$B$3004,J$4)&lt;J$5,"Pendiente",IF(J$8=0,"OK",IF(EDATE(_xlfn.MAXIFS(Acuses!$D$5:$D$3004,Acuses!$A$5:$A$3004,$A28,Acuses!$B$5:$B$3004,J$4,Acuses!$C$5:$C$3004,J$5),J$8)&lt;Resumen!$C$4,"Caducado",IF(EDATE(_xlfn.MAXIFS(Acuses!$D$5:$D$3004,Acuses!$A$5:$A$3004,$A28,Acuses!$B$5:$B$3004,J$4,Acuses!$C$5:$C$3004,J$5),J$8)&lt;Resumen!$C$4+30,"Caduca pronto","OK"))))))</f>
        <v/>
      </c>
      <c r="K28" s="26" t="str">
        <f aca="false">IF(OR($A28="",K$4=""),"",IF(NOT(OR(K$6="Toda la plantilla",ISNUMBER(SEARCH(";"&amp;SUBSTITUTE($C28," ","")&amp;";",";"&amp;SUBSTITUTE(K$7," ","")&amp;";")))),"—",IF(_xlfn.MAXIFS(Acuses!$C$5:$C$3004,Acuses!$A$5:$A$3004,$A28,Acuses!$B$5:$B$3004,K$4)&lt;K$5,"Pendiente",IF(K$8=0,"OK",IF(EDATE(_xlfn.MAXIFS(Acuses!$D$5:$D$3004,Acuses!$A$5:$A$3004,$A28,Acuses!$B$5:$B$3004,K$4,Acuses!$C$5:$C$3004,K$5),K$8)&lt;Resumen!$C$4,"Caducado",IF(EDATE(_xlfn.MAXIFS(Acuses!$D$5:$D$3004,Acuses!$A$5:$A$3004,$A28,Acuses!$B$5:$B$3004,K$4,Acuses!$C$5:$C$3004,K$5),K$8)&lt;Resumen!$C$4+30,"Caduca pronto","OK"))))))</f>
        <v/>
      </c>
      <c r="L28" s="26" t="str">
        <f aca="false">IF(OR($A28="",L$4=""),"",IF(NOT(OR(L$6="Toda la plantilla",ISNUMBER(SEARCH(";"&amp;SUBSTITUTE($C28," ","")&amp;";",";"&amp;SUBSTITUTE(L$7," ","")&amp;";")))),"—",IF(_xlfn.MAXIFS(Acuses!$C$5:$C$3004,Acuses!$A$5:$A$3004,$A28,Acuses!$B$5:$B$3004,L$4)&lt;L$5,"Pendiente",IF(L$8=0,"OK",IF(EDATE(_xlfn.MAXIFS(Acuses!$D$5:$D$3004,Acuses!$A$5:$A$3004,$A28,Acuses!$B$5:$B$3004,L$4,Acuses!$C$5:$C$3004,L$5),L$8)&lt;Resumen!$C$4,"Caducado",IF(EDATE(_xlfn.MAXIFS(Acuses!$D$5:$D$3004,Acuses!$A$5:$A$3004,$A28,Acuses!$B$5:$B$3004,L$4,Acuses!$C$5:$C$3004,L$5),L$8)&lt;Resumen!$C$4+30,"Caduca pronto","OK"))))))</f>
        <v/>
      </c>
      <c r="M28" s="26" t="str">
        <f aca="false">IF(OR($A28="",M$4=""),"",IF(NOT(OR(M$6="Toda la plantilla",ISNUMBER(SEARCH(";"&amp;SUBSTITUTE($C28," ","")&amp;";",";"&amp;SUBSTITUTE(M$7," ","")&amp;";")))),"—",IF(_xlfn.MAXIFS(Acuses!$C$5:$C$3004,Acuses!$A$5:$A$3004,$A28,Acuses!$B$5:$B$3004,M$4)&lt;M$5,"Pendiente",IF(M$8=0,"OK",IF(EDATE(_xlfn.MAXIFS(Acuses!$D$5:$D$3004,Acuses!$A$5:$A$3004,$A28,Acuses!$B$5:$B$3004,M$4,Acuses!$C$5:$C$3004,M$5),M$8)&lt;Resumen!$C$4,"Caducado",IF(EDATE(_xlfn.MAXIFS(Acuses!$D$5:$D$3004,Acuses!$A$5:$A$3004,$A28,Acuses!$B$5:$B$3004,M$4,Acuses!$C$5:$C$3004,M$5),M$8)&lt;Resumen!$C$4+30,"Caduca pronto","OK"))))))</f>
        <v/>
      </c>
      <c r="N28" s="26" t="str">
        <f aca="false">IF(OR($A28="",N$4=""),"",IF(NOT(OR(N$6="Toda la plantilla",ISNUMBER(SEARCH(";"&amp;SUBSTITUTE($C28," ","")&amp;";",";"&amp;SUBSTITUTE(N$7," ","")&amp;";")))),"—",IF(_xlfn.MAXIFS(Acuses!$C$5:$C$3004,Acuses!$A$5:$A$3004,$A28,Acuses!$B$5:$B$3004,N$4)&lt;N$5,"Pendiente",IF(N$8=0,"OK",IF(EDATE(_xlfn.MAXIFS(Acuses!$D$5:$D$3004,Acuses!$A$5:$A$3004,$A28,Acuses!$B$5:$B$3004,N$4,Acuses!$C$5:$C$3004,N$5),N$8)&lt;Resumen!$C$4,"Caducado",IF(EDATE(_xlfn.MAXIFS(Acuses!$D$5:$D$3004,Acuses!$A$5:$A$3004,$A28,Acuses!$B$5:$B$3004,N$4,Acuses!$C$5:$C$3004,N$5),N$8)&lt;Resumen!$C$4+30,"Caduca pronto","OK"))))))</f>
        <v/>
      </c>
      <c r="O28" s="26" t="str">
        <f aca="false">IF(OR($A28="",O$4=""),"",IF(NOT(OR(O$6="Toda la plantilla",ISNUMBER(SEARCH(";"&amp;SUBSTITUTE($C28," ","")&amp;";",";"&amp;SUBSTITUTE(O$7," ","")&amp;";")))),"—",IF(_xlfn.MAXIFS(Acuses!$C$5:$C$3004,Acuses!$A$5:$A$3004,$A28,Acuses!$B$5:$B$3004,O$4)&lt;O$5,"Pendiente",IF(O$8=0,"OK",IF(EDATE(_xlfn.MAXIFS(Acuses!$D$5:$D$3004,Acuses!$A$5:$A$3004,$A28,Acuses!$B$5:$B$3004,O$4,Acuses!$C$5:$C$3004,O$5),O$8)&lt;Resumen!$C$4,"Caducado",IF(EDATE(_xlfn.MAXIFS(Acuses!$D$5:$D$3004,Acuses!$A$5:$A$3004,$A28,Acuses!$B$5:$B$3004,O$4,Acuses!$C$5:$C$3004,O$5),O$8)&lt;Resumen!$C$4+30,"Caduca pronto","OK"))))))</f>
        <v/>
      </c>
      <c r="P28" s="26" t="str">
        <f aca="false">IF(OR($A28="",P$4=""),"",IF(NOT(OR(P$6="Toda la plantilla",ISNUMBER(SEARCH(";"&amp;SUBSTITUTE($C28," ","")&amp;";",";"&amp;SUBSTITUTE(P$7," ","")&amp;";")))),"—",IF(_xlfn.MAXIFS(Acuses!$C$5:$C$3004,Acuses!$A$5:$A$3004,$A28,Acuses!$B$5:$B$3004,P$4)&lt;P$5,"Pendiente",IF(P$8=0,"OK",IF(EDATE(_xlfn.MAXIFS(Acuses!$D$5:$D$3004,Acuses!$A$5:$A$3004,$A28,Acuses!$B$5:$B$3004,P$4,Acuses!$C$5:$C$3004,P$5),P$8)&lt;Resumen!$C$4,"Caducado",IF(EDATE(_xlfn.MAXIFS(Acuses!$D$5:$D$3004,Acuses!$A$5:$A$3004,$A28,Acuses!$B$5:$B$3004,P$4,Acuses!$C$5:$C$3004,P$5),P$8)&lt;Resumen!$C$4+30,"Caduca pronto","OK"))))))</f>
        <v/>
      </c>
      <c r="Q28" s="26" t="str">
        <f aca="false">IF(OR($A28="",Q$4=""),"",IF(NOT(OR(Q$6="Toda la plantilla",ISNUMBER(SEARCH(";"&amp;SUBSTITUTE($C28," ","")&amp;";",";"&amp;SUBSTITUTE(Q$7," ","")&amp;";")))),"—",IF(_xlfn.MAXIFS(Acuses!$C$5:$C$3004,Acuses!$A$5:$A$3004,$A28,Acuses!$B$5:$B$3004,Q$4)&lt;Q$5,"Pendiente",IF(Q$8=0,"OK",IF(EDATE(_xlfn.MAXIFS(Acuses!$D$5:$D$3004,Acuses!$A$5:$A$3004,$A28,Acuses!$B$5:$B$3004,Q$4,Acuses!$C$5:$C$3004,Q$5),Q$8)&lt;Resumen!$C$4,"Caducado",IF(EDATE(_xlfn.MAXIFS(Acuses!$D$5:$D$3004,Acuses!$A$5:$A$3004,$A28,Acuses!$B$5:$B$3004,Q$4,Acuses!$C$5:$C$3004,Q$5),Q$8)&lt;Resumen!$C$4+30,"Caduca pronto","OK"))))))</f>
        <v/>
      </c>
      <c r="R28" s="26" t="str">
        <f aca="false">IF(OR($A28="",R$4=""),"",IF(NOT(OR(R$6="Toda la plantilla",ISNUMBER(SEARCH(";"&amp;SUBSTITUTE($C28," ","")&amp;";",";"&amp;SUBSTITUTE(R$7," ","")&amp;";")))),"—",IF(_xlfn.MAXIFS(Acuses!$C$5:$C$3004,Acuses!$A$5:$A$3004,$A28,Acuses!$B$5:$B$3004,R$4)&lt;R$5,"Pendiente",IF(R$8=0,"OK",IF(EDATE(_xlfn.MAXIFS(Acuses!$D$5:$D$3004,Acuses!$A$5:$A$3004,$A28,Acuses!$B$5:$B$3004,R$4,Acuses!$C$5:$C$3004,R$5),R$8)&lt;Resumen!$C$4,"Caducado",IF(EDATE(_xlfn.MAXIFS(Acuses!$D$5:$D$3004,Acuses!$A$5:$A$3004,$A28,Acuses!$B$5:$B$3004,R$4,Acuses!$C$5:$C$3004,R$5),R$8)&lt;Resumen!$C$4+30,"Caduca pronto","OK"))))))</f>
        <v/>
      </c>
      <c r="S28" s="26" t="str">
        <f aca="false">IF(OR($A28="",S$4=""),"",IF(NOT(OR(S$6="Toda la plantilla",ISNUMBER(SEARCH(";"&amp;SUBSTITUTE($C28," ","")&amp;";",";"&amp;SUBSTITUTE(S$7," ","")&amp;";")))),"—",IF(_xlfn.MAXIFS(Acuses!$C$5:$C$3004,Acuses!$A$5:$A$3004,$A28,Acuses!$B$5:$B$3004,S$4)&lt;S$5,"Pendiente",IF(S$8=0,"OK",IF(EDATE(_xlfn.MAXIFS(Acuses!$D$5:$D$3004,Acuses!$A$5:$A$3004,$A28,Acuses!$B$5:$B$3004,S$4,Acuses!$C$5:$C$3004,S$5),S$8)&lt;Resumen!$C$4,"Caducado",IF(EDATE(_xlfn.MAXIFS(Acuses!$D$5:$D$3004,Acuses!$A$5:$A$3004,$A28,Acuses!$B$5:$B$3004,S$4,Acuses!$C$5:$C$3004,S$5),S$8)&lt;Resumen!$C$4+30,"Caduca pronto","OK"))))))</f>
        <v/>
      </c>
      <c r="T28" s="26" t="str">
        <f aca="false">IF(OR($A28="",T$4=""),"",IF(NOT(OR(T$6="Toda la plantilla",ISNUMBER(SEARCH(";"&amp;SUBSTITUTE($C28," ","")&amp;";",";"&amp;SUBSTITUTE(T$7," ","")&amp;";")))),"—",IF(_xlfn.MAXIFS(Acuses!$C$5:$C$3004,Acuses!$A$5:$A$3004,$A28,Acuses!$B$5:$B$3004,T$4)&lt;T$5,"Pendiente",IF(T$8=0,"OK",IF(EDATE(_xlfn.MAXIFS(Acuses!$D$5:$D$3004,Acuses!$A$5:$A$3004,$A28,Acuses!$B$5:$B$3004,T$4,Acuses!$C$5:$C$3004,T$5),T$8)&lt;Resumen!$C$4,"Caducado",IF(EDATE(_xlfn.MAXIFS(Acuses!$D$5:$D$3004,Acuses!$A$5:$A$3004,$A28,Acuses!$B$5:$B$3004,T$4,Acuses!$C$5:$C$3004,T$5),T$8)&lt;Resumen!$C$4+30,"Caduca pronto","OK"))))))</f>
        <v/>
      </c>
      <c r="U28" s="26" t="str">
        <f aca="false">IF(OR($A28="",U$4=""),"",IF(NOT(OR(U$6="Toda la plantilla",ISNUMBER(SEARCH(";"&amp;SUBSTITUTE($C28," ","")&amp;";",";"&amp;SUBSTITUTE(U$7," ","")&amp;";")))),"—",IF(_xlfn.MAXIFS(Acuses!$C$5:$C$3004,Acuses!$A$5:$A$3004,$A28,Acuses!$B$5:$B$3004,U$4)&lt;U$5,"Pendiente",IF(U$8=0,"OK",IF(EDATE(_xlfn.MAXIFS(Acuses!$D$5:$D$3004,Acuses!$A$5:$A$3004,$A28,Acuses!$B$5:$B$3004,U$4,Acuses!$C$5:$C$3004,U$5),U$8)&lt;Resumen!$C$4,"Caducado",IF(EDATE(_xlfn.MAXIFS(Acuses!$D$5:$D$3004,Acuses!$A$5:$A$3004,$A28,Acuses!$B$5:$B$3004,U$4,Acuses!$C$5:$C$3004,U$5),U$8)&lt;Resumen!$C$4+30,"Caduca pronto","OK"))))))</f>
        <v/>
      </c>
      <c r="V28" s="26" t="str">
        <f aca="false">IF(OR($A28="",V$4=""),"",IF(NOT(OR(V$6="Toda la plantilla",ISNUMBER(SEARCH(";"&amp;SUBSTITUTE($C28," ","")&amp;";",";"&amp;SUBSTITUTE(V$7," ","")&amp;";")))),"—",IF(_xlfn.MAXIFS(Acuses!$C$5:$C$3004,Acuses!$A$5:$A$3004,$A28,Acuses!$B$5:$B$3004,V$4)&lt;V$5,"Pendiente",IF(V$8=0,"OK",IF(EDATE(_xlfn.MAXIFS(Acuses!$D$5:$D$3004,Acuses!$A$5:$A$3004,$A28,Acuses!$B$5:$B$3004,V$4,Acuses!$C$5:$C$3004,V$5),V$8)&lt;Resumen!$C$4,"Caducado",IF(EDATE(_xlfn.MAXIFS(Acuses!$D$5:$D$3004,Acuses!$A$5:$A$3004,$A28,Acuses!$B$5:$B$3004,V$4,Acuses!$C$5:$C$3004,V$5),V$8)&lt;Resumen!$C$4+30,"Caduca pronto","OK"))))))</f>
        <v/>
      </c>
      <c r="W28" s="26" t="str">
        <f aca="false">IF(OR($A28="",W$4=""),"",IF(NOT(OR(W$6="Toda la plantilla",ISNUMBER(SEARCH(";"&amp;SUBSTITUTE($C28," ","")&amp;";",";"&amp;SUBSTITUTE(W$7," ","")&amp;";")))),"—",IF(_xlfn.MAXIFS(Acuses!$C$5:$C$3004,Acuses!$A$5:$A$3004,$A28,Acuses!$B$5:$B$3004,W$4)&lt;W$5,"Pendiente",IF(W$8=0,"OK",IF(EDATE(_xlfn.MAXIFS(Acuses!$D$5:$D$3004,Acuses!$A$5:$A$3004,$A28,Acuses!$B$5:$B$3004,W$4,Acuses!$C$5:$C$3004,W$5),W$8)&lt;Resumen!$C$4,"Caducado",IF(EDATE(_xlfn.MAXIFS(Acuses!$D$5:$D$3004,Acuses!$A$5:$A$3004,$A28,Acuses!$B$5:$B$3004,W$4,Acuses!$C$5:$C$3004,W$5),W$8)&lt;Resumen!$C$4+30,"Caduca pronto","OK"))))))</f>
        <v/>
      </c>
      <c r="X28" s="26" t="str">
        <f aca="false">IF(OR($A28="",X$4=""),"",IF(NOT(OR(X$6="Toda la plantilla",ISNUMBER(SEARCH(";"&amp;SUBSTITUTE($C28," ","")&amp;";",";"&amp;SUBSTITUTE(X$7," ","")&amp;";")))),"—",IF(_xlfn.MAXIFS(Acuses!$C$5:$C$3004,Acuses!$A$5:$A$3004,$A28,Acuses!$B$5:$B$3004,X$4)&lt;X$5,"Pendiente",IF(X$8=0,"OK",IF(EDATE(_xlfn.MAXIFS(Acuses!$D$5:$D$3004,Acuses!$A$5:$A$3004,$A28,Acuses!$B$5:$B$3004,X$4,Acuses!$C$5:$C$3004,X$5),X$8)&lt;Resumen!$C$4,"Caducado",IF(EDATE(_xlfn.MAXIFS(Acuses!$D$5:$D$3004,Acuses!$A$5:$A$3004,$A28,Acuses!$B$5:$B$3004,X$4,Acuses!$C$5:$C$3004,X$5),X$8)&lt;Resumen!$C$4+30,"Caduca pronto","OK"))))))</f>
        <v/>
      </c>
      <c r="Y28" s="26" t="str">
        <f aca="false">IF(OR($A28="",Y$4=""),"",IF(NOT(OR(Y$6="Toda la plantilla",ISNUMBER(SEARCH(";"&amp;SUBSTITUTE($C28," ","")&amp;";",";"&amp;SUBSTITUTE(Y$7," ","")&amp;";")))),"—",IF(_xlfn.MAXIFS(Acuses!$C$5:$C$3004,Acuses!$A$5:$A$3004,$A28,Acuses!$B$5:$B$3004,Y$4)&lt;Y$5,"Pendiente",IF(Y$8=0,"OK",IF(EDATE(_xlfn.MAXIFS(Acuses!$D$5:$D$3004,Acuses!$A$5:$A$3004,$A28,Acuses!$B$5:$B$3004,Y$4,Acuses!$C$5:$C$3004,Y$5),Y$8)&lt;Resumen!$C$4,"Caducado",IF(EDATE(_xlfn.MAXIFS(Acuses!$D$5:$D$3004,Acuses!$A$5:$A$3004,$A28,Acuses!$B$5:$B$3004,Y$4,Acuses!$C$5:$C$3004,Y$5),Y$8)&lt;Resumen!$C$4+30,"Caduca pronto","OK"))))))</f>
        <v/>
      </c>
      <c r="Z28" s="26" t="str">
        <f aca="false">IF(OR($A28="",Z$4=""),"",IF(NOT(OR(Z$6="Toda la plantilla",ISNUMBER(SEARCH(";"&amp;SUBSTITUTE($C28," ","")&amp;";",";"&amp;SUBSTITUTE(Z$7," ","")&amp;";")))),"—",IF(_xlfn.MAXIFS(Acuses!$C$5:$C$3004,Acuses!$A$5:$A$3004,$A28,Acuses!$B$5:$B$3004,Z$4)&lt;Z$5,"Pendiente",IF(Z$8=0,"OK",IF(EDATE(_xlfn.MAXIFS(Acuses!$D$5:$D$3004,Acuses!$A$5:$A$3004,$A28,Acuses!$B$5:$B$3004,Z$4,Acuses!$C$5:$C$3004,Z$5),Z$8)&lt;Resumen!$C$4,"Caducado",IF(EDATE(_xlfn.MAXIFS(Acuses!$D$5:$D$3004,Acuses!$A$5:$A$3004,$A28,Acuses!$B$5:$B$3004,Z$4,Acuses!$C$5:$C$3004,Z$5),Z$8)&lt;Resumen!$C$4+30,"Caduca pronto","OK"))))))</f>
        <v/>
      </c>
      <c r="AA28" s="26" t="str">
        <f aca="false">IF(OR($A28="",AA$4=""),"",IF(NOT(OR(AA$6="Toda la plantilla",ISNUMBER(SEARCH(";"&amp;SUBSTITUTE($C28," ","")&amp;";",";"&amp;SUBSTITUTE(AA$7," ","")&amp;";")))),"—",IF(_xlfn.MAXIFS(Acuses!$C$5:$C$3004,Acuses!$A$5:$A$3004,$A28,Acuses!$B$5:$B$3004,AA$4)&lt;AA$5,"Pendiente",IF(AA$8=0,"OK",IF(EDATE(_xlfn.MAXIFS(Acuses!$D$5:$D$3004,Acuses!$A$5:$A$3004,$A28,Acuses!$B$5:$B$3004,AA$4,Acuses!$C$5:$C$3004,AA$5),AA$8)&lt;Resumen!$C$4,"Caducado",IF(EDATE(_xlfn.MAXIFS(Acuses!$D$5:$D$3004,Acuses!$A$5:$A$3004,$A28,Acuses!$B$5:$B$3004,AA$4,Acuses!$C$5:$C$3004,AA$5),AA$8)&lt;Resumen!$C$4+30,"Caduca pronto","OK"))))))</f>
        <v/>
      </c>
      <c r="AB28" s="26" t="str">
        <f aca="false">IF(OR($A28="",AB$4=""),"",IF(NOT(OR(AB$6="Toda la plantilla",ISNUMBER(SEARCH(";"&amp;SUBSTITUTE($C28," ","")&amp;";",";"&amp;SUBSTITUTE(AB$7," ","")&amp;";")))),"—",IF(_xlfn.MAXIFS(Acuses!$C$5:$C$3004,Acuses!$A$5:$A$3004,$A28,Acuses!$B$5:$B$3004,AB$4)&lt;AB$5,"Pendiente",IF(AB$8=0,"OK",IF(EDATE(_xlfn.MAXIFS(Acuses!$D$5:$D$3004,Acuses!$A$5:$A$3004,$A28,Acuses!$B$5:$B$3004,AB$4,Acuses!$C$5:$C$3004,AB$5),AB$8)&lt;Resumen!$C$4,"Caducado",IF(EDATE(_xlfn.MAXIFS(Acuses!$D$5:$D$3004,Acuses!$A$5:$A$3004,$A28,Acuses!$B$5:$B$3004,AB$4,Acuses!$C$5:$C$3004,AB$5),AB$8)&lt;Resumen!$C$4+30,"Caduca pronto","OK"))))))</f>
        <v/>
      </c>
      <c r="AC28" s="26" t="str">
        <f aca="false">IF(OR($A28="",AC$4=""),"",IF(NOT(OR(AC$6="Toda la plantilla",ISNUMBER(SEARCH(";"&amp;SUBSTITUTE($C28," ","")&amp;";",";"&amp;SUBSTITUTE(AC$7," ","")&amp;";")))),"—",IF(_xlfn.MAXIFS(Acuses!$C$5:$C$3004,Acuses!$A$5:$A$3004,$A28,Acuses!$B$5:$B$3004,AC$4)&lt;AC$5,"Pendiente",IF(AC$8=0,"OK",IF(EDATE(_xlfn.MAXIFS(Acuses!$D$5:$D$3004,Acuses!$A$5:$A$3004,$A28,Acuses!$B$5:$B$3004,AC$4,Acuses!$C$5:$C$3004,AC$5),AC$8)&lt;Resumen!$C$4,"Caducado",IF(EDATE(_xlfn.MAXIFS(Acuses!$D$5:$D$3004,Acuses!$A$5:$A$3004,$A28,Acuses!$B$5:$B$3004,AC$4,Acuses!$C$5:$C$3004,AC$5),AC$8)&lt;Resumen!$C$4+30,"Caduca pronto","OK"))))))</f>
        <v/>
      </c>
      <c r="AD28" s="26" t="str">
        <f aca="false">IF(OR($A28="",AD$4=""),"",IF(NOT(OR(AD$6="Toda la plantilla",ISNUMBER(SEARCH(";"&amp;SUBSTITUTE($C28," ","")&amp;";",";"&amp;SUBSTITUTE(AD$7," ","")&amp;";")))),"—",IF(_xlfn.MAXIFS(Acuses!$C$5:$C$3004,Acuses!$A$5:$A$3004,$A28,Acuses!$B$5:$B$3004,AD$4)&lt;AD$5,"Pendiente",IF(AD$8=0,"OK",IF(EDATE(_xlfn.MAXIFS(Acuses!$D$5:$D$3004,Acuses!$A$5:$A$3004,$A28,Acuses!$B$5:$B$3004,AD$4,Acuses!$C$5:$C$3004,AD$5),AD$8)&lt;Resumen!$C$4,"Caducado",IF(EDATE(_xlfn.MAXIFS(Acuses!$D$5:$D$3004,Acuses!$A$5:$A$3004,$A28,Acuses!$B$5:$B$3004,AD$4,Acuses!$C$5:$C$3004,AD$5),AD$8)&lt;Resumen!$C$4+30,"Caduca pronto","OK"))))))</f>
        <v/>
      </c>
      <c r="AE28" s="26" t="str">
        <f aca="false">IF(OR($A28="",AE$4=""),"",IF(NOT(OR(AE$6="Toda la plantilla",ISNUMBER(SEARCH(";"&amp;SUBSTITUTE($C28," ","")&amp;";",";"&amp;SUBSTITUTE(AE$7," ","")&amp;";")))),"—",IF(_xlfn.MAXIFS(Acuses!$C$5:$C$3004,Acuses!$A$5:$A$3004,$A28,Acuses!$B$5:$B$3004,AE$4)&lt;AE$5,"Pendiente",IF(AE$8=0,"OK",IF(EDATE(_xlfn.MAXIFS(Acuses!$D$5:$D$3004,Acuses!$A$5:$A$3004,$A28,Acuses!$B$5:$B$3004,AE$4,Acuses!$C$5:$C$3004,AE$5),AE$8)&lt;Resumen!$C$4,"Caducado",IF(EDATE(_xlfn.MAXIFS(Acuses!$D$5:$D$3004,Acuses!$A$5:$A$3004,$A28,Acuses!$B$5:$B$3004,AE$4,Acuses!$C$5:$C$3004,AE$5),AE$8)&lt;Resumen!$C$4+30,"Caduca pronto","OK"))))))</f>
        <v/>
      </c>
      <c r="AF28" s="26" t="str">
        <f aca="false">IF(OR($A28="",AF$4=""),"",IF(NOT(OR(AF$6="Toda la plantilla",ISNUMBER(SEARCH(";"&amp;SUBSTITUTE($C28," ","")&amp;";",";"&amp;SUBSTITUTE(AF$7," ","")&amp;";")))),"—",IF(_xlfn.MAXIFS(Acuses!$C$5:$C$3004,Acuses!$A$5:$A$3004,$A28,Acuses!$B$5:$B$3004,AF$4)&lt;AF$5,"Pendiente",IF(AF$8=0,"OK",IF(EDATE(_xlfn.MAXIFS(Acuses!$D$5:$D$3004,Acuses!$A$5:$A$3004,$A28,Acuses!$B$5:$B$3004,AF$4,Acuses!$C$5:$C$3004,AF$5),AF$8)&lt;Resumen!$C$4,"Caducado",IF(EDATE(_xlfn.MAXIFS(Acuses!$D$5:$D$3004,Acuses!$A$5:$A$3004,$A28,Acuses!$B$5:$B$3004,AF$4,Acuses!$C$5:$C$3004,AF$5),AF$8)&lt;Resumen!$C$4+30,"Caduca pronto","OK"))))))</f>
        <v/>
      </c>
      <c r="AG28" s="26" t="str">
        <f aca="false">IF(OR($A28="",AG$4=""),"",IF(NOT(OR(AG$6="Toda la plantilla",ISNUMBER(SEARCH(";"&amp;SUBSTITUTE($C28," ","")&amp;";",";"&amp;SUBSTITUTE(AG$7," ","")&amp;";")))),"—",IF(_xlfn.MAXIFS(Acuses!$C$5:$C$3004,Acuses!$A$5:$A$3004,$A28,Acuses!$B$5:$B$3004,AG$4)&lt;AG$5,"Pendiente",IF(AG$8=0,"OK",IF(EDATE(_xlfn.MAXIFS(Acuses!$D$5:$D$3004,Acuses!$A$5:$A$3004,$A28,Acuses!$B$5:$B$3004,AG$4,Acuses!$C$5:$C$3004,AG$5),AG$8)&lt;Resumen!$C$4,"Caducado",IF(EDATE(_xlfn.MAXIFS(Acuses!$D$5:$D$3004,Acuses!$A$5:$A$3004,$A28,Acuses!$B$5:$B$3004,AG$4,Acuses!$C$5:$C$3004,AG$5),AG$8)&lt;Resumen!$C$4+30,"Caduca pronto","OK"))))))</f>
        <v/>
      </c>
      <c r="AH28" s="26" t="str">
        <f aca="false">IF(OR($A28="",AH$4=""),"",IF(NOT(OR(AH$6="Toda la plantilla",ISNUMBER(SEARCH(";"&amp;SUBSTITUTE($C28," ","")&amp;";",";"&amp;SUBSTITUTE(AH$7," ","")&amp;";")))),"—",IF(_xlfn.MAXIFS(Acuses!$C$5:$C$3004,Acuses!$A$5:$A$3004,$A28,Acuses!$B$5:$B$3004,AH$4)&lt;AH$5,"Pendiente",IF(AH$8=0,"OK",IF(EDATE(_xlfn.MAXIFS(Acuses!$D$5:$D$3004,Acuses!$A$5:$A$3004,$A28,Acuses!$B$5:$B$3004,AH$4,Acuses!$C$5:$C$3004,AH$5),AH$8)&lt;Resumen!$C$4,"Caducado",IF(EDATE(_xlfn.MAXIFS(Acuses!$D$5:$D$3004,Acuses!$A$5:$A$3004,$A28,Acuses!$B$5:$B$3004,AH$4,Acuses!$C$5:$C$3004,AH$5),AH$8)&lt;Resumen!$C$4+30,"Caduca pronto","OK"))))))</f>
        <v/>
      </c>
      <c r="AI28" s="26" t="str">
        <f aca="false">IF(OR($A28="",AI$4=""),"",IF(NOT(OR(AI$6="Toda la plantilla",ISNUMBER(SEARCH(";"&amp;SUBSTITUTE($C28," ","")&amp;";",";"&amp;SUBSTITUTE(AI$7," ","")&amp;";")))),"—",IF(_xlfn.MAXIFS(Acuses!$C$5:$C$3004,Acuses!$A$5:$A$3004,$A28,Acuses!$B$5:$B$3004,AI$4)&lt;AI$5,"Pendiente",IF(AI$8=0,"OK",IF(EDATE(_xlfn.MAXIFS(Acuses!$D$5:$D$3004,Acuses!$A$5:$A$3004,$A28,Acuses!$B$5:$B$3004,AI$4,Acuses!$C$5:$C$3004,AI$5),AI$8)&lt;Resumen!$C$4,"Caducado",IF(EDATE(_xlfn.MAXIFS(Acuses!$D$5:$D$3004,Acuses!$A$5:$A$3004,$A28,Acuses!$B$5:$B$3004,AI$4,Acuses!$C$5:$C$3004,AI$5),AI$8)&lt;Resumen!$C$4+30,"Caduca pronto","OK"))))))</f>
        <v/>
      </c>
      <c r="AJ28" s="26" t="str">
        <f aca="false">IF(OR($A28="",AJ$4=""),"",IF(NOT(OR(AJ$6="Toda la plantilla",ISNUMBER(SEARCH(";"&amp;SUBSTITUTE($C28," ","")&amp;";",";"&amp;SUBSTITUTE(AJ$7," ","")&amp;";")))),"—",IF(_xlfn.MAXIFS(Acuses!$C$5:$C$3004,Acuses!$A$5:$A$3004,$A28,Acuses!$B$5:$B$3004,AJ$4)&lt;AJ$5,"Pendiente",IF(AJ$8=0,"OK",IF(EDATE(_xlfn.MAXIFS(Acuses!$D$5:$D$3004,Acuses!$A$5:$A$3004,$A28,Acuses!$B$5:$B$3004,AJ$4,Acuses!$C$5:$C$3004,AJ$5),AJ$8)&lt;Resumen!$C$4,"Caducado",IF(EDATE(_xlfn.MAXIFS(Acuses!$D$5:$D$3004,Acuses!$A$5:$A$3004,$A28,Acuses!$B$5:$B$3004,AJ$4,Acuses!$C$5:$C$3004,AJ$5),AJ$8)&lt;Resumen!$C$4+30,"Caduca pronto","OK"))))))</f>
        <v/>
      </c>
      <c r="AK28" s="26" t="str">
        <f aca="false">IF(OR($A28="",AK$4=""),"",IF(NOT(OR(AK$6="Toda la plantilla",ISNUMBER(SEARCH(";"&amp;SUBSTITUTE($C28," ","")&amp;";",";"&amp;SUBSTITUTE(AK$7," ","")&amp;";")))),"—",IF(_xlfn.MAXIFS(Acuses!$C$5:$C$3004,Acuses!$A$5:$A$3004,$A28,Acuses!$B$5:$B$3004,AK$4)&lt;AK$5,"Pendiente",IF(AK$8=0,"OK",IF(EDATE(_xlfn.MAXIFS(Acuses!$D$5:$D$3004,Acuses!$A$5:$A$3004,$A28,Acuses!$B$5:$B$3004,AK$4,Acuses!$C$5:$C$3004,AK$5),AK$8)&lt;Resumen!$C$4,"Caducado",IF(EDATE(_xlfn.MAXIFS(Acuses!$D$5:$D$3004,Acuses!$A$5:$A$3004,$A28,Acuses!$B$5:$B$3004,AK$4,Acuses!$C$5:$C$3004,AK$5),AK$8)&lt;Resumen!$C$4+30,"Caduca pronto","OK"))))))</f>
        <v/>
      </c>
      <c r="AL28" s="26" t="str">
        <f aca="false">IF(OR($A28="",AL$4=""),"",IF(NOT(OR(AL$6="Toda la plantilla",ISNUMBER(SEARCH(";"&amp;SUBSTITUTE($C28," ","")&amp;";",";"&amp;SUBSTITUTE(AL$7," ","")&amp;";")))),"—",IF(_xlfn.MAXIFS(Acuses!$C$5:$C$3004,Acuses!$A$5:$A$3004,$A28,Acuses!$B$5:$B$3004,AL$4)&lt;AL$5,"Pendiente",IF(AL$8=0,"OK",IF(EDATE(_xlfn.MAXIFS(Acuses!$D$5:$D$3004,Acuses!$A$5:$A$3004,$A28,Acuses!$B$5:$B$3004,AL$4,Acuses!$C$5:$C$3004,AL$5),AL$8)&lt;Resumen!$C$4,"Caducado",IF(EDATE(_xlfn.MAXIFS(Acuses!$D$5:$D$3004,Acuses!$A$5:$A$3004,$A28,Acuses!$B$5:$B$3004,AL$4,Acuses!$C$5:$C$3004,AL$5),AL$8)&lt;Resumen!$C$4+30,"Caduca pronto","OK"))))))</f>
        <v/>
      </c>
      <c r="AM28" s="26" t="str">
        <f aca="false">IF(OR($A28="",AM$4=""),"",IF(NOT(OR(AM$6="Toda la plantilla",ISNUMBER(SEARCH(";"&amp;SUBSTITUTE($C28," ","")&amp;";",";"&amp;SUBSTITUTE(AM$7," ","")&amp;";")))),"—",IF(_xlfn.MAXIFS(Acuses!$C$5:$C$3004,Acuses!$A$5:$A$3004,$A28,Acuses!$B$5:$B$3004,AM$4)&lt;AM$5,"Pendiente",IF(AM$8=0,"OK",IF(EDATE(_xlfn.MAXIFS(Acuses!$D$5:$D$3004,Acuses!$A$5:$A$3004,$A28,Acuses!$B$5:$B$3004,AM$4,Acuses!$C$5:$C$3004,AM$5),AM$8)&lt;Resumen!$C$4,"Caducado",IF(EDATE(_xlfn.MAXIFS(Acuses!$D$5:$D$3004,Acuses!$A$5:$A$3004,$A28,Acuses!$B$5:$B$3004,AM$4,Acuses!$C$5:$C$3004,AM$5),AM$8)&lt;Resumen!$C$4+30,"Caduca pronto","OK"))))))</f>
        <v/>
      </c>
      <c r="AN28" s="26" t="str">
        <f aca="false">IF(OR($A28="",AN$4=""),"",IF(NOT(OR(AN$6="Toda la plantilla",ISNUMBER(SEARCH(";"&amp;SUBSTITUTE($C28," ","")&amp;";",";"&amp;SUBSTITUTE(AN$7," ","")&amp;";")))),"—",IF(_xlfn.MAXIFS(Acuses!$C$5:$C$3004,Acuses!$A$5:$A$3004,$A28,Acuses!$B$5:$B$3004,AN$4)&lt;AN$5,"Pendiente",IF(AN$8=0,"OK",IF(EDATE(_xlfn.MAXIFS(Acuses!$D$5:$D$3004,Acuses!$A$5:$A$3004,$A28,Acuses!$B$5:$B$3004,AN$4,Acuses!$C$5:$C$3004,AN$5),AN$8)&lt;Resumen!$C$4,"Caducado",IF(EDATE(_xlfn.MAXIFS(Acuses!$D$5:$D$3004,Acuses!$A$5:$A$3004,$A28,Acuses!$B$5:$B$3004,AN$4,Acuses!$C$5:$C$3004,AN$5),AN$8)&lt;Resumen!$C$4+30,"Caduca pronto","OK"))))))</f>
        <v/>
      </c>
      <c r="AO28" s="26" t="str">
        <f aca="false">IF(OR($A28="",AO$4=""),"",IF(NOT(OR(AO$6="Toda la plantilla",ISNUMBER(SEARCH(";"&amp;SUBSTITUTE($C28," ","")&amp;";",";"&amp;SUBSTITUTE(AO$7," ","")&amp;";")))),"—",IF(_xlfn.MAXIFS(Acuses!$C$5:$C$3004,Acuses!$A$5:$A$3004,$A28,Acuses!$B$5:$B$3004,AO$4)&lt;AO$5,"Pendiente",IF(AO$8=0,"OK",IF(EDATE(_xlfn.MAXIFS(Acuses!$D$5:$D$3004,Acuses!$A$5:$A$3004,$A28,Acuses!$B$5:$B$3004,AO$4,Acuses!$C$5:$C$3004,AO$5),AO$8)&lt;Resumen!$C$4,"Caducado",IF(EDATE(_xlfn.MAXIFS(Acuses!$D$5:$D$3004,Acuses!$A$5:$A$3004,$A28,Acuses!$B$5:$B$3004,AO$4,Acuses!$C$5:$C$3004,AO$5),AO$8)&lt;Resumen!$C$4+30,"Caduca pronto","OK"))))))</f>
        <v/>
      </c>
      <c r="AP28" s="26" t="str">
        <f aca="false">IF(OR($A28="",AP$4=""),"",IF(NOT(OR(AP$6="Toda la plantilla",ISNUMBER(SEARCH(";"&amp;SUBSTITUTE($C28," ","")&amp;";",";"&amp;SUBSTITUTE(AP$7," ","")&amp;";")))),"—",IF(_xlfn.MAXIFS(Acuses!$C$5:$C$3004,Acuses!$A$5:$A$3004,$A28,Acuses!$B$5:$B$3004,AP$4)&lt;AP$5,"Pendiente",IF(AP$8=0,"OK",IF(EDATE(_xlfn.MAXIFS(Acuses!$D$5:$D$3004,Acuses!$A$5:$A$3004,$A28,Acuses!$B$5:$B$3004,AP$4,Acuses!$C$5:$C$3004,AP$5),AP$8)&lt;Resumen!$C$4,"Caducado",IF(EDATE(_xlfn.MAXIFS(Acuses!$D$5:$D$3004,Acuses!$A$5:$A$3004,$A28,Acuses!$B$5:$B$3004,AP$4,Acuses!$C$5:$C$3004,AP$5),AP$8)&lt;Resumen!$C$4+30,"Caduca pronto","OK"))))))</f>
        <v/>
      </c>
      <c r="AQ28" s="26" t="str">
        <f aca="false">IF(OR($A28="",AQ$4=""),"",IF(NOT(OR(AQ$6="Toda la plantilla",ISNUMBER(SEARCH(";"&amp;SUBSTITUTE($C28," ","")&amp;";",";"&amp;SUBSTITUTE(AQ$7," ","")&amp;";")))),"—",IF(_xlfn.MAXIFS(Acuses!$C$5:$C$3004,Acuses!$A$5:$A$3004,$A28,Acuses!$B$5:$B$3004,AQ$4)&lt;AQ$5,"Pendiente",IF(AQ$8=0,"OK",IF(EDATE(_xlfn.MAXIFS(Acuses!$D$5:$D$3004,Acuses!$A$5:$A$3004,$A28,Acuses!$B$5:$B$3004,AQ$4,Acuses!$C$5:$C$3004,AQ$5),AQ$8)&lt;Resumen!$C$4,"Caducado",IF(EDATE(_xlfn.MAXIFS(Acuses!$D$5:$D$3004,Acuses!$A$5:$A$3004,$A28,Acuses!$B$5:$B$3004,AQ$4,Acuses!$C$5:$C$3004,AQ$5),AQ$8)&lt;Resumen!$C$4+30,"Caduca pronto","OK"))))))</f>
        <v/>
      </c>
    </row>
    <row r="29" customFormat="false" ht="15" hidden="false" customHeight="false" outlineLevel="0" collapsed="false">
      <c r="A29" s="25" t="str">
        <f aca="false">IF(AND(Trabajadores!$A$24&lt;&gt;"",Trabajadores!$G$24&lt;&gt;"No"),Trabajadores!$A$24,"")</f>
        <v/>
      </c>
      <c r="B29" s="25" t="str">
        <f aca="false">IF($A29="","",Trabajadores!$B$24)</f>
        <v/>
      </c>
      <c r="C29" s="25" t="str">
        <f aca="false">IF($A29="","",Trabajadores!$C$24)</f>
        <v/>
      </c>
      <c r="D29" s="26" t="str">
        <f aca="false">IF(OR($A29="",D$4=""),"",IF(NOT(OR(D$6="Toda la plantilla",ISNUMBER(SEARCH(";"&amp;SUBSTITUTE($C29," ","")&amp;";",";"&amp;SUBSTITUTE(D$7," ","")&amp;";")))),"—",IF(_xlfn.MAXIFS(Acuses!$C$5:$C$3004,Acuses!$A$5:$A$3004,$A29,Acuses!$B$5:$B$3004,D$4)&lt;D$5,"Pendiente",IF(D$8=0,"OK",IF(EDATE(_xlfn.MAXIFS(Acuses!$D$5:$D$3004,Acuses!$A$5:$A$3004,$A29,Acuses!$B$5:$B$3004,D$4,Acuses!$C$5:$C$3004,D$5),D$8)&lt;Resumen!$C$4,"Caducado",IF(EDATE(_xlfn.MAXIFS(Acuses!$D$5:$D$3004,Acuses!$A$5:$A$3004,$A29,Acuses!$B$5:$B$3004,D$4,Acuses!$C$5:$C$3004,D$5),D$8)&lt;Resumen!$C$4+30,"Caduca pronto","OK"))))))</f>
        <v/>
      </c>
      <c r="E29" s="26" t="str">
        <f aca="false">IF(OR($A29="",E$4=""),"",IF(NOT(OR(E$6="Toda la plantilla",ISNUMBER(SEARCH(";"&amp;SUBSTITUTE($C29," ","")&amp;";",";"&amp;SUBSTITUTE(E$7," ","")&amp;";")))),"—",IF(_xlfn.MAXIFS(Acuses!$C$5:$C$3004,Acuses!$A$5:$A$3004,$A29,Acuses!$B$5:$B$3004,E$4)&lt;E$5,"Pendiente",IF(E$8=0,"OK",IF(EDATE(_xlfn.MAXIFS(Acuses!$D$5:$D$3004,Acuses!$A$5:$A$3004,$A29,Acuses!$B$5:$B$3004,E$4,Acuses!$C$5:$C$3004,E$5),E$8)&lt;Resumen!$C$4,"Caducado",IF(EDATE(_xlfn.MAXIFS(Acuses!$D$5:$D$3004,Acuses!$A$5:$A$3004,$A29,Acuses!$B$5:$B$3004,E$4,Acuses!$C$5:$C$3004,E$5),E$8)&lt;Resumen!$C$4+30,"Caduca pronto","OK"))))))</f>
        <v/>
      </c>
      <c r="F29" s="26" t="str">
        <f aca="false">IF(OR($A29="",F$4=""),"",IF(NOT(OR(F$6="Toda la plantilla",ISNUMBER(SEARCH(";"&amp;SUBSTITUTE($C29," ","")&amp;";",";"&amp;SUBSTITUTE(F$7," ","")&amp;";")))),"—",IF(_xlfn.MAXIFS(Acuses!$C$5:$C$3004,Acuses!$A$5:$A$3004,$A29,Acuses!$B$5:$B$3004,F$4)&lt;F$5,"Pendiente",IF(F$8=0,"OK",IF(EDATE(_xlfn.MAXIFS(Acuses!$D$5:$D$3004,Acuses!$A$5:$A$3004,$A29,Acuses!$B$5:$B$3004,F$4,Acuses!$C$5:$C$3004,F$5),F$8)&lt;Resumen!$C$4,"Caducado",IF(EDATE(_xlfn.MAXIFS(Acuses!$D$5:$D$3004,Acuses!$A$5:$A$3004,$A29,Acuses!$B$5:$B$3004,F$4,Acuses!$C$5:$C$3004,F$5),F$8)&lt;Resumen!$C$4+30,"Caduca pronto","OK"))))))</f>
        <v/>
      </c>
      <c r="G29" s="26" t="str">
        <f aca="false">IF(OR($A29="",G$4=""),"",IF(NOT(OR(G$6="Toda la plantilla",ISNUMBER(SEARCH(";"&amp;SUBSTITUTE($C29," ","")&amp;";",";"&amp;SUBSTITUTE(G$7," ","")&amp;";")))),"—",IF(_xlfn.MAXIFS(Acuses!$C$5:$C$3004,Acuses!$A$5:$A$3004,$A29,Acuses!$B$5:$B$3004,G$4)&lt;G$5,"Pendiente",IF(G$8=0,"OK",IF(EDATE(_xlfn.MAXIFS(Acuses!$D$5:$D$3004,Acuses!$A$5:$A$3004,$A29,Acuses!$B$5:$B$3004,G$4,Acuses!$C$5:$C$3004,G$5),G$8)&lt;Resumen!$C$4,"Caducado",IF(EDATE(_xlfn.MAXIFS(Acuses!$D$5:$D$3004,Acuses!$A$5:$A$3004,$A29,Acuses!$B$5:$B$3004,G$4,Acuses!$C$5:$C$3004,G$5),G$8)&lt;Resumen!$C$4+30,"Caduca pronto","OK"))))))</f>
        <v/>
      </c>
      <c r="H29" s="26" t="str">
        <f aca="false">IF(OR($A29="",H$4=""),"",IF(NOT(OR(H$6="Toda la plantilla",ISNUMBER(SEARCH(";"&amp;SUBSTITUTE($C29," ","")&amp;";",";"&amp;SUBSTITUTE(H$7," ","")&amp;";")))),"—",IF(_xlfn.MAXIFS(Acuses!$C$5:$C$3004,Acuses!$A$5:$A$3004,$A29,Acuses!$B$5:$B$3004,H$4)&lt;H$5,"Pendiente",IF(H$8=0,"OK",IF(EDATE(_xlfn.MAXIFS(Acuses!$D$5:$D$3004,Acuses!$A$5:$A$3004,$A29,Acuses!$B$5:$B$3004,H$4,Acuses!$C$5:$C$3004,H$5),H$8)&lt;Resumen!$C$4,"Caducado",IF(EDATE(_xlfn.MAXIFS(Acuses!$D$5:$D$3004,Acuses!$A$5:$A$3004,$A29,Acuses!$B$5:$B$3004,H$4,Acuses!$C$5:$C$3004,H$5),H$8)&lt;Resumen!$C$4+30,"Caduca pronto","OK"))))))</f>
        <v/>
      </c>
      <c r="I29" s="26" t="str">
        <f aca="false">IF(OR($A29="",I$4=""),"",IF(NOT(OR(I$6="Toda la plantilla",ISNUMBER(SEARCH(";"&amp;SUBSTITUTE($C29," ","")&amp;";",";"&amp;SUBSTITUTE(I$7," ","")&amp;";")))),"—",IF(_xlfn.MAXIFS(Acuses!$C$5:$C$3004,Acuses!$A$5:$A$3004,$A29,Acuses!$B$5:$B$3004,I$4)&lt;I$5,"Pendiente",IF(I$8=0,"OK",IF(EDATE(_xlfn.MAXIFS(Acuses!$D$5:$D$3004,Acuses!$A$5:$A$3004,$A29,Acuses!$B$5:$B$3004,I$4,Acuses!$C$5:$C$3004,I$5),I$8)&lt;Resumen!$C$4,"Caducado",IF(EDATE(_xlfn.MAXIFS(Acuses!$D$5:$D$3004,Acuses!$A$5:$A$3004,$A29,Acuses!$B$5:$B$3004,I$4,Acuses!$C$5:$C$3004,I$5),I$8)&lt;Resumen!$C$4+30,"Caduca pronto","OK"))))))</f>
        <v/>
      </c>
      <c r="J29" s="26" t="str">
        <f aca="false">IF(OR($A29="",J$4=""),"",IF(NOT(OR(J$6="Toda la plantilla",ISNUMBER(SEARCH(";"&amp;SUBSTITUTE($C29," ","")&amp;";",";"&amp;SUBSTITUTE(J$7," ","")&amp;";")))),"—",IF(_xlfn.MAXIFS(Acuses!$C$5:$C$3004,Acuses!$A$5:$A$3004,$A29,Acuses!$B$5:$B$3004,J$4)&lt;J$5,"Pendiente",IF(J$8=0,"OK",IF(EDATE(_xlfn.MAXIFS(Acuses!$D$5:$D$3004,Acuses!$A$5:$A$3004,$A29,Acuses!$B$5:$B$3004,J$4,Acuses!$C$5:$C$3004,J$5),J$8)&lt;Resumen!$C$4,"Caducado",IF(EDATE(_xlfn.MAXIFS(Acuses!$D$5:$D$3004,Acuses!$A$5:$A$3004,$A29,Acuses!$B$5:$B$3004,J$4,Acuses!$C$5:$C$3004,J$5),J$8)&lt;Resumen!$C$4+30,"Caduca pronto","OK"))))))</f>
        <v/>
      </c>
      <c r="K29" s="26" t="str">
        <f aca="false">IF(OR($A29="",K$4=""),"",IF(NOT(OR(K$6="Toda la plantilla",ISNUMBER(SEARCH(";"&amp;SUBSTITUTE($C29," ","")&amp;";",";"&amp;SUBSTITUTE(K$7," ","")&amp;";")))),"—",IF(_xlfn.MAXIFS(Acuses!$C$5:$C$3004,Acuses!$A$5:$A$3004,$A29,Acuses!$B$5:$B$3004,K$4)&lt;K$5,"Pendiente",IF(K$8=0,"OK",IF(EDATE(_xlfn.MAXIFS(Acuses!$D$5:$D$3004,Acuses!$A$5:$A$3004,$A29,Acuses!$B$5:$B$3004,K$4,Acuses!$C$5:$C$3004,K$5),K$8)&lt;Resumen!$C$4,"Caducado",IF(EDATE(_xlfn.MAXIFS(Acuses!$D$5:$D$3004,Acuses!$A$5:$A$3004,$A29,Acuses!$B$5:$B$3004,K$4,Acuses!$C$5:$C$3004,K$5),K$8)&lt;Resumen!$C$4+30,"Caduca pronto","OK"))))))</f>
        <v/>
      </c>
      <c r="L29" s="26" t="str">
        <f aca="false">IF(OR($A29="",L$4=""),"",IF(NOT(OR(L$6="Toda la plantilla",ISNUMBER(SEARCH(";"&amp;SUBSTITUTE($C29," ","")&amp;";",";"&amp;SUBSTITUTE(L$7," ","")&amp;";")))),"—",IF(_xlfn.MAXIFS(Acuses!$C$5:$C$3004,Acuses!$A$5:$A$3004,$A29,Acuses!$B$5:$B$3004,L$4)&lt;L$5,"Pendiente",IF(L$8=0,"OK",IF(EDATE(_xlfn.MAXIFS(Acuses!$D$5:$D$3004,Acuses!$A$5:$A$3004,$A29,Acuses!$B$5:$B$3004,L$4,Acuses!$C$5:$C$3004,L$5),L$8)&lt;Resumen!$C$4,"Caducado",IF(EDATE(_xlfn.MAXIFS(Acuses!$D$5:$D$3004,Acuses!$A$5:$A$3004,$A29,Acuses!$B$5:$B$3004,L$4,Acuses!$C$5:$C$3004,L$5),L$8)&lt;Resumen!$C$4+30,"Caduca pronto","OK"))))))</f>
        <v/>
      </c>
      <c r="M29" s="26" t="str">
        <f aca="false">IF(OR($A29="",M$4=""),"",IF(NOT(OR(M$6="Toda la plantilla",ISNUMBER(SEARCH(";"&amp;SUBSTITUTE($C29," ","")&amp;";",";"&amp;SUBSTITUTE(M$7," ","")&amp;";")))),"—",IF(_xlfn.MAXIFS(Acuses!$C$5:$C$3004,Acuses!$A$5:$A$3004,$A29,Acuses!$B$5:$B$3004,M$4)&lt;M$5,"Pendiente",IF(M$8=0,"OK",IF(EDATE(_xlfn.MAXIFS(Acuses!$D$5:$D$3004,Acuses!$A$5:$A$3004,$A29,Acuses!$B$5:$B$3004,M$4,Acuses!$C$5:$C$3004,M$5),M$8)&lt;Resumen!$C$4,"Caducado",IF(EDATE(_xlfn.MAXIFS(Acuses!$D$5:$D$3004,Acuses!$A$5:$A$3004,$A29,Acuses!$B$5:$B$3004,M$4,Acuses!$C$5:$C$3004,M$5),M$8)&lt;Resumen!$C$4+30,"Caduca pronto","OK"))))))</f>
        <v/>
      </c>
      <c r="N29" s="26" t="str">
        <f aca="false">IF(OR($A29="",N$4=""),"",IF(NOT(OR(N$6="Toda la plantilla",ISNUMBER(SEARCH(";"&amp;SUBSTITUTE($C29," ","")&amp;";",";"&amp;SUBSTITUTE(N$7," ","")&amp;";")))),"—",IF(_xlfn.MAXIFS(Acuses!$C$5:$C$3004,Acuses!$A$5:$A$3004,$A29,Acuses!$B$5:$B$3004,N$4)&lt;N$5,"Pendiente",IF(N$8=0,"OK",IF(EDATE(_xlfn.MAXIFS(Acuses!$D$5:$D$3004,Acuses!$A$5:$A$3004,$A29,Acuses!$B$5:$B$3004,N$4,Acuses!$C$5:$C$3004,N$5),N$8)&lt;Resumen!$C$4,"Caducado",IF(EDATE(_xlfn.MAXIFS(Acuses!$D$5:$D$3004,Acuses!$A$5:$A$3004,$A29,Acuses!$B$5:$B$3004,N$4,Acuses!$C$5:$C$3004,N$5),N$8)&lt;Resumen!$C$4+30,"Caduca pronto","OK"))))))</f>
        <v/>
      </c>
      <c r="O29" s="26" t="str">
        <f aca="false">IF(OR($A29="",O$4=""),"",IF(NOT(OR(O$6="Toda la plantilla",ISNUMBER(SEARCH(";"&amp;SUBSTITUTE($C29," ","")&amp;";",";"&amp;SUBSTITUTE(O$7," ","")&amp;";")))),"—",IF(_xlfn.MAXIFS(Acuses!$C$5:$C$3004,Acuses!$A$5:$A$3004,$A29,Acuses!$B$5:$B$3004,O$4)&lt;O$5,"Pendiente",IF(O$8=0,"OK",IF(EDATE(_xlfn.MAXIFS(Acuses!$D$5:$D$3004,Acuses!$A$5:$A$3004,$A29,Acuses!$B$5:$B$3004,O$4,Acuses!$C$5:$C$3004,O$5),O$8)&lt;Resumen!$C$4,"Caducado",IF(EDATE(_xlfn.MAXIFS(Acuses!$D$5:$D$3004,Acuses!$A$5:$A$3004,$A29,Acuses!$B$5:$B$3004,O$4,Acuses!$C$5:$C$3004,O$5),O$8)&lt;Resumen!$C$4+30,"Caduca pronto","OK"))))))</f>
        <v/>
      </c>
      <c r="P29" s="26" t="str">
        <f aca="false">IF(OR($A29="",P$4=""),"",IF(NOT(OR(P$6="Toda la plantilla",ISNUMBER(SEARCH(";"&amp;SUBSTITUTE($C29," ","")&amp;";",";"&amp;SUBSTITUTE(P$7," ","")&amp;";")))),"—",IF(_xlfn.MAXIFS(Acuses!$C$5:$C$3004,Acuses!$A$5:$A$3004,$A29,Acuses!$B$5:$B$3004,P$4)&lt;P$5,"Pendiente",IF(P$8=0,"OK",IF(EDATE(_xlfn.MAXIFS(Acuses!$D$5:$D$3004,Acuses!$A$5:$A$3004,$A29,Acuses!$B$5:$B$3004,P$4,Acuses!$C$5:$C$3004,P$5),P$8)&lt;Resumen!$C$4,"Caducado",IF(EDATE(_xlfn.MAXIFS(Acuses!$D$5:$D$3004,Acuses!$A$5:$A$3004,$A29,Acuses!$B$5:$B$3004,P$4,Acuses!$C$5:$C$3004,P$5),P$8)&lt;Resumen!$C$4+30,"Caduca pronto","OK"))))))</f>
        <v/>
      </c>
      <c r="Q29" s="26" t="str">
        <f aca="false">IF(OR($A29="",Q$4=""),"",IF(NOT(OR(Q$6="Toda la plantilla",ISNUMBER(SEARCH(";"&amp;SUBSTITUTE($C29," ","")&amp;";",";"&amp;SUBSTITUTE(Q$7," ","")&amp;";")))),"—",IF(_xlfn.MAXIFS(Acuses!$C$5:$C$3004,Acuses!$A$5:$A$3004,$A29,Acuses!$B$5:$B$3004,Q$4)&lt;Q$5,"Pendiente",IF(Q$8=0,"OK",IF(EDATE(_xlfn.MAXIFS(Acuses!$D$5:$D$3004,Acuses!$A$5:$A$3004,$A29,Acuses!$B$5:$B$3004,Q$4,Acuses!$C$5:$C$3004,Q$5),Q$8)&lt;Resumen!$C$4,"Caducado",IF(EDATE(_xlfn.MAXIFS(Acuses!$D$5:$D$3004,Acuses!$A$5:$A$3004,$A29,Acuses!$B$5:$B$3004,Q$4,Acuses!$C$5:$C$3004,Q$5),Q$8)&lt;Resumen!$C$4+30,"Caduca pronto","OK"))))))</f>
        <v/>
      </c>
      <c r="R29" s="26" t="str">
        <f aca="false">IF(OR($A29="",R$4=""),"",IF(NOT(OR(R$6="Toda la plantilla",ISNUMBER(SEARCH(";"&amp;SUBSTITUTE($C29," ","")&amp;";",";"&amp;SUBSTITUTE(R$7," ","")&amp;";")))),"—",IF(_xlfn.MAXIFS(Acuses!$C$5:$C$3004,Acuses!$A$5:$A$3004,$A29,Acuses!$B$5:$B$3004,R$4)&lt;R$5,"Pendiente",IF(R$8=0,"OK",IF(EDATE(_xlfn.MAXIFS(Acuses!$D$5:$D$3004,Acuses!$A$5:$A$3004,$A29,Acuses!$B$5:$B$3004,R$4,Acuses!$C$5:$C$3004,R$5),R$8)&lt;Resumen!$C$4,"Caducado",IF(EDATE(_xlfn.MAXIFS(Acuses!$D$5:$D$3004,Acuses!$A$5:$A$3004,$A29,Acuses!$B$5:$B$3004,R$4,Acuses!$C$5:$C$3004,R$5),R$8)&lt;Resumen!$C$4+30,"Caduca pronto","OK"))))))</f>
        <v/>
      </c>
      <c r="S29" s="26" t="str">
        <f aca="false">IF(OR($A29="",S$4=""),"",IF(NOT(OR(S$6="Toda la plantilla",ISNUMBER(SEARCH(";"&amp;SUBSTITUTE($C29," ","")&amp;";",";"&amp;SUBSTITUTE(S$7," ","")&amp;";")))),"—",IF(_xlfn.MAXIFS(Acuses!$C$5:$C$3004,Acuses!$A$5:$A$3004,$A29,Acuses!$B$5:$B$3004,S$4)&lt;S$5,"Pendiente",IF(S$8=0,"OK",IF(EDATE(_xlfn.MAXIFS(Acuses!$D$5:$D$3004,Acuses!$A$5:$A$3004,$A29,Acuses!$B$5:$B$3004,S$4,Acuses!$C$5:$C$3004,S$5),S$8)&lt;Resumen!$C$4,"Caducado",IF(EDATE(_xlfn.MAXIFS(Acuses!$D$5:$D$3004,Acuses!$A$5:$A$3004,$A29,Acuses!$B$5:$B$3004,S$4,Acuses!$C$5:$C$3004,S$5),S$8)&lt;Resumen!$C$4+30,"Caduca pronto","OK"))))))</f>
        <v/>
      </c>
      <c r="T29" s="26" t="str">
        <f aca="false">IF(OR($A29="",T$4=""),"",IF(NOT(OR(T$6="Toda la plantilla",ISNUMBER(SEARCH(";"&amp;SUBSTITUTE($C29," ","")&amp;";",";"&amp;SUBSTITUTE(T$7," ","")&amp;";")))),"—",IF(_xlfn.MAXIFS(Acuses!$C$5:$C$3004,Acuses!$A$5:$A$3004,$A29,Acuses!$B$5:$B$3004,T$4)&lt;T$5,"Pendiente",IF(T$8=0,"OK",IF(EDATE(_xlfn.MAXIFS(Acuses!$D$5:$D$3004,Acuses!$A$5:$A$3004,$A29,Acuses!$B$5:$B$3004,T$4,Acuses!$C$5:$C$3004,T$5),T$8)&lt;Resumen!$C$4,"Caducado",IF(EDATE(_xlfn.MAXIFS(Acuses!$D$5:$D$3004,Acuses!$A$5:$A$3004,$A29,Acuses!$B$5:$B$3004,T$4,Acuses!$C$5:$C$3004,T$5),T$8)&lt;Resumen!$C$4+30,"Caduca pronto","OK"))))))</f>
        <v/>
      </c>
      <c r="U29" s="26" t="str">
        <f aca="false">IF(OR($A29="",U$4=""),"",IF(NOT(OR(U$6="Toda la plantilla",ISNUMBER(SEARCH(";"&amp;SUBSTITUTE($C29," ","")&amp;";",";"&amp;SUBSTITUTE(U$7," ","")&amp;";")))),"—",IF(_xlfn.MAXIFS(Acuses!$C$5:$C$3004,Acuses!$A$5:$A$3004,$A29,Acuses!$B$5:$B$3004,U$4)&lt;U$5,"Pendiente",IF(U$8=0,"OK",IF(EDATE(_xlfn.MAXIFS(Acuses!$D$5:$D$3004,Acuses!$A$5:$A$3004,$A29,Acuses!$B$5:$B$3004,U$4,Acuses!$C$5:$C$3004,U$5),U$8)&lt;Resumen!$C$4,"Caducado",IF(EDATE(_xlfn.MAXIFS(Acuses!$D$5:$D$3004,Acuses!$A$5:$A$3004,$A29,Acuses!$B$5:$B$3004,U$4,Acuses!$C$5:$C$3004,U$5),U$8)&lt;Resumen!$C$4+30,"Caduca pronto","OK"))))))</f>
        <v/>
      </c>
      <c r="V29" s="26" t="str">
        <f aca="false">IF(OR($A29="",V$4=""),"",IF(NOT(OR(V$6="Toda la plantilla",ISNUMBER(SEARCH(";"&amp;SUBSTITUTE($C29," ","")&amp;";",";"&amp;SUBSTITUTE(V$7," ","")&amp;";")))),"—",IF(_xlfn.MAXIFS(Acuses!$C$5:$C$3004,Acuses!$A$5:$A$3004,$A29,Acuses!$B$5:$B$3004,V$4)&lt;V$5,"Pendiente",IF(V$8=0,"OK",IF(EDATE(_xlfn.MAXIFS(Acuses!$D$5:$D$3004,Acuses!$A$5:$A$3004,$A29,Acuses!$B$5:$B$3004,V$4,Acuses!$C$5:$C$3004,V$5),V$8)&lt;Resumen!$C$4,"Caducado",IF(EDATE(_xlfn.MAXIFS(Acuses!$D$5:$D$3004,Acuses!$A$5:$A$3004,$A29,Acuses!$B$5:$B$3004,V$4,Acuses!$C$5:$C$3004,V$5),V$8)&lt;Resumen!$C$4+30,"Caduca pronto","OK"))))))</f>
        <v/>
      </c>
      <c r="W29" s="26" t="str">
        <f aca="false">IF(OR($A29="",W$4=""),"",IF(NOT(OR(W$6="Toda la plantilla",ISNUMBER(SEARCH(";"&amp;SUBSTITUTE($C29," ","")&amp;";",";"&amp;SUBSTITUTE(W$7," ","")&amp;";")))),"—",IF(_xlfn.MAXIFS(Acuses!$C$5:$C$3004,Acuses!$A$5:$A$3004,$A29,Acuses!$B$5:$B$3004,W$4)&lt;W$5,"Pendiente",IF(W$8=0,"OK",IF(EDATE(_xlfn.MAXIFS(Acuses!$D$5:$D$3004,Acuses!$A$5:$A$3004,$A29,Acuses!$B$5:$B$3004,W$4,Acuses!$C$5:$C$3004,W$5),W$8)&lt;Resumen!$C$4,"Caducado",IF(EDATE(_xlfn.MAXIFS(Acuses!$D$5:$D$3004,Acuses!$A$5:$A$3004,$A29,Acuses!$B$5:$B$3004,W$4,Acuses!$C$5:$C$3004,W$5),W$8)&lt;Resumen!$C$4+30,"Caduca pronto","OK"))))))</f>
        <v/>
      </c>
      <c r="X29" s="26" t="str">
        <f aca="false">IF(OR($A29="",X$4=""),"",IF(NOT(OR(X$6="Toda la plantilla",ISNUMBER(SEARCH(";"&amp;SUBSTITUTE($C29," ","")&amp;";",";"&amp;SUBSTITUTE(X$7," ","")&amp;";")))),"—",IF(_xlfn.MAXIFS(Acuses!$C$5:$C$3004,Acuses!$A$5:$A$3004,$A29,Acuses!$B$5:$B$3004,X$4)&lt;X$5,"Pendiente",IF(X$8=0,"OK",IF(EDATE(_xlfn.MAXIFS(Acuses!$D$5:$D$3004,Acuses!$A$5:$A$3004,$A29,Acuses!$B$5:$B$3004,X$4,Acuses!$C$5:$C$3004,X$5),X$8)&lt;Resumen!$C$4,"Caducado",IF(EDATE(_xlfn.MAXIFS(Acuses!$D$5:$D$3004,Acuses!$A$5:$A$3004,$A29,Acuses!$B$5:$B$3004,X$4,Acuses!$C$5:$C$3004,X$5),X$8)&lt;Resumen!$C$4+30,"Caduca pronto","OK"))))))</f>
        <v/>
      </c>
      <c r="Y29" s="26" t="str">
        <f aca="false">IF(OR($A29="",Y$4=""),"",IF(NOT(OR(Y$6="Toda la plantilla",ISNUMBER(SEARCH(";"&amp;SUBSTITUTE($C29," ","")&amp;";",";"&amp;SUBSTITUTE(Y$7," ","")&amp;";")))),"—",IF(_xlfn.MAXIFS(Acuses!$C$5:$C$3004,Acuses!$A$5:$A$3004,$A29,Acuses!$B$5:$B$3004,Y$4)&lt;Y$5,"Pendiente",IF(Y$8=0,"OK",IF(EDATE(_xlfn.MAXIFS(Acuses!$D$5:$D$3004,Acuses!$A$5:$A$3004,$A29,Acuses!$B$5:$B$3004,Y$4,Acuses!$C$5:$C$3004,Y$5),Y$8)&lt;Resumen!$C$4,"Caducado",IF(EDATE(_xlfn.MAXIFS(Acuses!$D$5:$D$3004,Acuses!$A$5:$A$3004,$A29,Acuses!$B$5:$B$3004,Y$4,Acuses!$C$5:$C$3004,Y$5),Y$8)&lt;Resumen!$C$4+30,"Caduca pronto","OK"))))))</f>
        <v/>
      </c>
      <c r="Z29" s="26" t="str">
        <f aca="false">IF(OR($A29="",Z$4=""),"",IF(NOT(OR(Z$6="Toda la plantilla",ISNUMBER(SEARCH(";"&amp;SUBSTITUTE($C29," ","")&amp;";",";"&amp;SUBSTITUTE(Z$7," ","")&amp;";")))),"—",IF(_xlfn.MAXIFS(Acuses!$C$5:$C$3004,Acuses!$A$5:$A$3004,$A29,Acuses!$B$5:$B$3004,Z$4)&lt;Z$5,"Pendiente",IF(Z$8=0,"OK",IF(EDATE(_xlfn.MAXIFS(Acuses!$D$5:$D$3004,Acuses!$A$5:$A$3004,$A29,Acuses!$B$5:$B$3004,Z$4,Acuses!$C$5:$C$3004,Z$5),Z$8)&lt;Resumen!$C$4,"Caducado",IF(EDATE(_xlfn.MAXIFS(Acuses!$D$5:$D$3004,Acuses!$A$5:$A$3004,$A29,Acuses!$B$5:$B$3004,Z$4,Acuses!$C$5:$C$3004,Z$5),Z$8)&lt;Resumen!$C$4+30,"Caduca pronto","OK"))))))</f>
        <v/>
      </c>
      <c r="AA29" s="26" t="str">
        <f aca="false">IF(OR($A29="",AA$4=""),"",IF(NOT(OR(AA$6="Toda la plantilla",ISNUMBER(SEARCH(";"&amp;SUBSTITUTE($C29," ","")&amp;";",";"&amp;SUBSTITUTE(AA$7," ","")&amp;";")))),"—",IF(_xlfn.MAXIFS(Acuses!$C$5:$C$3004,Acuses!$A$5:$A$3004,$A29,Acuses!$B$5:$B$3004,AA$4)&lt;AA$5,"Pendiente",IF(AA$8=0,"OK",IF(EDATE(_xlfn.MAXIFS(Acuses!$D$5:$D$3004,Acuses!$A$5:$A$3004,$A29,Acuses!$B$5:$B$3004,AA$4,Acuses!$C$5:$C$3004,AA$5),AA$8)&lt;Resumen!$C$4,"Caducado",IF(EDATE(_xlfn.MAXIFS(Acuses!$D$5:$D$3004,Acuses!$A$5:$A$3004,$A29,Acuses!$B$5:$B$3004,AA$4,Acuses!$C$5:$C$3004,AA$5),AA$8)&lt;Resumen!$C$4+30,"Caduca pronto","OK"))))))</f>
        <v/>
      </c>
      <c r="AB29" s="26" t="str">
        <f aca="false">IF(OR($A29="",AB$4=""),"",IF(NOT(OR(AB$6="Toda la plantilla",ISNUMBER(SEARCH(";"&amp;SUBSTITUTE($C29," ","")&amp;";",";"&amp;SUBSTITUTE(AB$7," ","")&amp;";")))),"—",IF(_xlfn.MAXIFS(Acuses!$C$5:$C$3004,Acuses!$A$5:$A$3004,$A29,Acuses!$B$5:$B$3004,AB$4)&lt;AB$5,"Pendiente",IF(AB$8=0,"OK",IF(EDATE(_xlfn.MAXIFS(Acuses!$D$5:$D$3004,Acuses!$A$5:$A$3004,$A29,Acuses!$B$5:$B$3004,AB$4,Acuses!$C$5:$C$3004,AB$5),AB$8)&lt;Resumen!$C$4,"Caducado",IF(EDATE(_xlfn.MAXIFS(Acuses!$D$5:$D$3004,Acuses!$A$5:$A$3004,$A29,Acuses!$B$5:$B$3004,AB$4,Acuses!$C$5:$C$3004,AB$5),AB$8)&lt;Resumen!$C$4+30,"Caduca pronto","OK"))))))</f>
        <v/>
      </c>
      <c r="AC29" s="26" t="str">
        <f aca="false">IF(OR($A29="",AC$4=""),"",IF(NOT(OR(AC$6="Toda la plantilla",ISNUMBER(SEARCH(";"&amp;SUBSTITUTE($C29," ","")&amp;";",";"&amp;SUBSTITUTE(AC$7," ","")&amp;";")))),"—",IF(_xlfn.MAXIFS(Acuses!$C$5:$C$3004,Acuses!$A$5:$A$3004,$A29,Acuses!$B$5:$B$3004,AC$4)&lt;AC$5,"Pendiente",IF(AC$8=0,"OK",IF(EDATE(_xlfn.MAXIFS(Acuses!$D$5:$D$3004,Acuses!$A$5:$A$3004,$A29,Acuses!$B$5:$B$3004,AC$4,Acuses!$C$5:$C$3004,AC$5),AC$8)&lt;Resumen!$C$4,"Caducado",IF(EDATE(_xlfn.MAXIFS(Acuses!$D$5:$D$3004,Acuses!$A$5:$A$3004,$A29,Acuses!$B$5:$B$3004,AC$4,Acuses!$C$5:$C$3004,AC$5),AC$8)&lt;Resumen!$C$4+30,"Caduca pronto","OK"))))))</f>
        <v/>
      </c>
      <c r="AD29" s="26" t="str">
        <f aca="false">IF(OR($A29="",AD$4=""),"",IF(NOT(OR(AD$6="Toda la plantilla",ISNUMBER(SEARCH(";"&amp;SUBSTITUTE($C29," ","")&amp;";",";"&amp;SUBSTITUTE(AD$7," ","")&amp;";")))),"—",IF(_xlfn.MAXIFS(Acuses!$C$5:$C$3004,Acuses!$A$5:$A$3004,$A29,Acuses!$B$5:$B$3004,AD$4)&lt;AD$5,"Pendiente",IF(AD$8=0,"OK",IF(EDATE(_xlfn.MAXIFS(Acuses!$D$5:$D$3004,Acuses!$A$5:$A$3004,$A29,Acuses!$B$5:$B$3004,AD$4,Acuses!$C$5:$C$3004,AD$5),AD$8)&lt;Resumen!$C$4,"Caducado",IF(EDATE(_xlfn.MAXIFS(Acuses!$D$5:$D$3004,Acuses!$A$5:$A$3004,$A29,Acuses!$B$5:$B$3004,AD$4,Acuses!$C$5:$C$3004,AD$5),AD$8)&lt;Resumen!$C$4+30,"Caduca pronto","OK"))))))</f>
        <v/>
      </c>
      <c r="AE29" s="26" t="str">
        <f aca="false">IF(OR($A29="",AE$4=""),"",IF(NOT(OR(AE$6="Toda la plantilla",ISNUMBER(SEARCH(";"&amp;SUBSTITUTE($C29," ","")&amp;";",";"&amp;SUBSTITUTE(AE$7," ","")&amp;";")))),"—",IF(_xlfn.MAXIFS(Acuses!$C$5:$C$3004,Acuses!$A$5:$A$3004,$A29,Acuses!$B$5:$B$3004,AE$4)&lt;AE$5,"Pendiente",IF(AE$8=0,"OK",IF(EDATE(_xlfn.MAXIFS(Acuses!$D$5:$D$3004,Acuses!$A$5:$A$3004,$A29,Acuses!$B$5:$B$3004,AE$4,Acuses!$C$5:$C$3004,AE$5),AE$8)&lt;Resumen!$C$4,"Caducado",IF(EDATE(_xlfn.MAXIFS(Acuses!$D$5:$D$3004,Acuses!$A$5:$A$3004,$A29,Acuses!$B$5:$B$3004,AE$4,Acuses!$C$5:$C$3004,AE$5),AE$8)&lt;Resumen!$C$4+30,"Caduca pronto","OK"))))))</f>
        <v/>
      </c>
      <c r="AF29" s="26" t="str">
        <f aca="false">IF(OR($A29="",AF$4=""),"",IF(NOT(OR(AF$6="Toda la plantilla",ISNUMBER(SEARCH(";"&amp;SUBSTITUTE($C29," ","")&amp;";",";"&amp;SUBSTITUTE(AF$7," ","")&amp;";")))),"—",IF(_xlfn.MAXIFS(Acuses!$C$5:$C$3004,Acuses!$A$5:$A$3004,$A29,Acuses!$B$5:$B$3004,AF$4)&lt;AF$5,"Pendiente",IF(AF$8=0,"OK",IF(EDATE(_xlfn.MAXIFS(Acuses!$D$5:$D$3004,Acuses!$A$5:$A$3004,$A29,Acuses!$B$5:$B$3004,AF$4,Acuses!$C$5:$C$3004,AF$5),AF$8)&lt;Resumen!$C$4,"Caducado",IF(EDATE(_xlfn.MAXIFS(Acuses!$D$5:$D$3004,Acuses!$A$5:$A$3004,$A29,Acuses!$B$5:$B$3004,AF$4,Acuses!$C$5:$C$3004,AF$5),AF$8)&lt;Resumen!$C$4+30,"Caduca pronto","OK"))))))</f>
        <v/>
      </c>
      <c r="AG29" s="26" t="str">
        <f aca="false">IF(OR($A29="",AG$4=""),"",IF(NOT(OR(AG$6="Toda la plantilla",ISNUMBER(SEARCH(";"&amp;SUBSTITUTE($C29," ","")&amp;";",";"&amp;SUBSTITUTE(AG$7," ","")&amp;";")))),"—",IF(_xlfn.MAXIFS(Acuses!$C$5:$C$3004,Acuses!$A$5:$A$3004,$A29,Acuses!$B$5:$B$3004,AG$4)&lt;AG$5,"Pendiente",IF(AG$8=0,"OK",IF(EDATE(_xlfn.MAXIFS(Acuses!$D$5:$D$3004,Acuses!$A$5:$A$3004,$A29,Acuses!$B$5:$B$3004,AG$4,Acuses!$C$5:$C$3004,AG$5),AG$8)&lt;Resumen!$C$4,"Caducado",IF(EDATE(_xlfn.MAXIFS(Acuses!$D$5:$D$3004,Acuses!$A$5:$A$3004,$A29,Acuses!$B$5:$B$3004,AG$4,Acuses!$C$5:$C$3004,AG$5),AG$8)&lt;Resumen!$C$4+30,"Caduca pronto","OK"))))))</f>
        <v/>
      </c>
      <c r="AH29" s="26" t="str">
        <f aca="false">IF(OR($A29="",AH$4=""),"",IF(NOT(OR(AH$6="Toda la plantilla",ISNUMBER(SEARCH(";"&amp;SUBSTITUTE($C29," ","")&amp;";",";"&amp;SUBSTITUTE(AH$7," ","")&amp;";")))),"—",IF(_xlfn.MAXIFS(Acuses!$C$5:$C$3004,Acuses!$A$5:$A$3004,$A29,Acuses!$B$5:$B$3004,AH$4)&lt;AH$5,"Pendiente",IF(AH$8=0,"OK",IF(EDATE(_xlfn.MAXIFS(Acuses!$D$5:$D$3004,Acuses!$A$5:$A$3004,$A29,Acuses!$B$5:$B$3004,AH$4,Acuses!$C$5:$C$3004,AH$5),AH$8)&lt;Resumen!$C$4,"Caducado",IF(EDATE(_xlfn.MAXIFS(Acuses!$D$5:$D$3004,Acuses!$A$5:$A$3004,$A29,Acuses!$B$5:$B$3004,AH$4,Acuses!$C$5:$C$3004,AH$5),AH$8)&lt;Resumen!$C$4+30,"Caduca pronto","OK"))))))</f>
        <v/>
      </c>
      <c r="AI29" s="26" t="str">
        <f aca="false">IF(OR($A29="",AI$4=""),"",IF(NOT(OR(AI$6="Toda la plantilla",ISNUMBER(SEARCH(";"&amp;SUBSTITUTE($C29," ","")&amp;";",";"&amp;SUBSTITUTE(AI$7," ","")&amp;";")))),"—",IF(_xlfn.MAXIFS(Acuses!$C$5:$C$3004,Acuses!$A$5:$A$3004,$A29,Acuses!$B$5:$B$3004,AI$4)&lt;AI$5,"Pendiente",IF(AI$8=0,"OK",IF(EDATE(_xlfn.MAXIFS(Acuses!$D$5:$D$3004,Acuses!$A$5:$A$3004,$A29,Acuses!$B$5:$B$3004,AI$4,Acuses!$C$5:$C$3004,AI$5),AI$8)&lt;Resumen!$C$4,"Caducado",IF(EDATE(_xlfn.MAXIFS(Acuses!$D$5:$D$3004,Acuses!$A$5:$A$3004,$A29,Acuses!$B$5:$B$3004,AI$4,Acuses!$C$5:$C$3004,AI$5),AI$8)&lt;Resumen!$C$4+30,"Caduca pronto","OK"))))))</f>
        <v/>
      </c>
      <c r="AJ29" s="26" t="str">
        <f aca="false">IF(OR($A29="",AJ$4=""),"",IF(NOT(OR(AJ$6="Toda la plantilla",ISNUMBER(SEARCH(";"&amp;SUBSTITUTE($C29," ","")&amp;";",";"&amp;SUBSTITUTE(AJ$7," ","")&amp;";")))),"—",IF(_xlfn.MAXIFS(Acuses!$C$5:$C$3004,Acuses!$A$5:$A$3004,$A29,Acuses!$B$5:$B$3004,AJ$4)&lt;AJ$5,"Pendiente",IF(AJ$8=0,"OK",IF(EDATE(_xlfn.MAXIFS(Acuses!$D$5:$D$3004,Acuses!$A$5:$A$3004,$A29,Acuses!$B$5:$B$3004,AJ$4,Acuses!$C$5:$C$3004,AJ$5),AJ$8)&lt;Resumen!$C$4,"Caducado",IF(EDATE(_xlfn.MAXIFS(Acuses!$D$5:$D$3004,Acuses!$A$5:$A$3004,$A29,Acuses!$B$5:$B$3004,AJ$4,Acuses!$C$5:$C$3004,AJ$5),AJ$8)&lt;Resumen!$C$4+30,"Caduca pronto","OK"))))))</f>
        <v/>
      </c>
      <c r="AK29" s="26" t="str">
        <f aca="false">IF(OR($A29="",AK$4=""),"",IF(NOT(OR(AK$6="Toda la plantilla",ISNUMBER(SEARCH(";"&amp;SUBSTITUTE($C29," ","")&amp;";",";"&amp;SUBSTITUTE(AK$7," ","")&amp;";")))),"—",IF(_xlfn.MAXIFS(Acuses!$C$5:$C$3004,Acuses!$A$5:$A$3004,$A29,Acuses!$B$5:$B$3004,AK$4)&lt;AK$5,"Pendiente",IF(AK$8=0,"OK",IF(EDATE(_xlfn.MAXIFS(Acuses!$D$5:$D$3004,Acuses!$A$5:$A$3004,$A29,Acuses!$B$5:$B$3004,AK$4,Acuses!$C$5:$C$3004,AK$5),AK$8)&lt;Resumen!$C$4,"Caducado",IF(EDATE(_xlfn.MAXIFS(Acuses!$D$5:$D$3004,Acuses!$A$5:$A$3004,$A29,Acuses!$B$5:$B$3004,AK$4,Acuses!$C$5:$C$3004,AK$5),AK$8)&lt;Resumen!$C$4+30,"Caduca pronto","OK"))))))</f>
        <v/>
      </c>
      <c r="AL29" s="26" t="str">
        <f aca="false">IF(OR($A29="",AL$4=""),"",IF(NOT(OR(AL$6="Toda la plantilla",ISNUMBER(SEARCH(";"&amp;SUBSTITUTE($C29," ","")&amp;";",";"&amp;SUBSTITUTE(AL$7," ","")&amp;";")))),"—",IF(_xlfn.MAXIFS(Acuses!$C$5:$C$3004,Acuses!$A$5:$A$3004,$A29,Acuses!$B$5:$B$3004,AL$4)&lt;AL$5,"Pendiente",IF(AL$8=0,"OK",IF(EDATE(_xlfn.MAXIFS(Acuses!$D$5:$D$3004,Acuses!$A$5:$A$3004,$A29,Acuses!$B$5:$B$3004,AL$4,Acuses!$C$5:$C$3004,AL$5),AL$8)&lt;Resumen!$C$4,"Caducado",IF(EDATE(_xlfn.MAXIFS(Acuses!$D$5:$D$3004,Acuses!$A$5:$A$3004,$A29,Acuses!$B$5:$B$3004,AL$4,Acuses!$C$5:$C$3004,AL$5),AL$8)&lt;Resumen!$C$4+30,"Caduca pronto","OK"))))))</f>
        <v/>
      </c>
      <c r="AM29" s="26" t="str">
        <f aca="false">IF(OR($A29="",AM$4=""),"",IF(NOT(OR(AM$6="Toda la plantilla",ISNUMBER(SEARCH(";"&amp;SUBSTITUTE($C29," ","")&amp;";",";"&amp;SUBSTITUTE(AM$7," ","")&amp;";")))),"—",IF(_xlfn.MAXIFS(Acuses!$C$5:$C$3004,Acuses!$A$5:$A$3004,$A29,Acuses!$B$5:$B$3004,AM$4)&lt;AM$5,"Pendiente",IF(AM$8=0,"OK",IF(EDATE(_xlfn.MAXIFS(Acuses!$D$5:$D$3004,Acuses!$A$5:$A$3004,$A29,Acuses!$B$5:$B$3004,AM$4,Acuses!$C$5:$C$3004,AM$5),AM$8)&lt;Resumen!$C$4,"Caducado",IF(EDATE(_xlfn.MAXIFS(Acuses!$D$5:$D$3004,Acuses!$A$5:$A$3004,$A29,Acuses!$B$5:$B$3004,AM$4,Acuses!$C$5:$C$3004,AM$5),AM$8)&lt;Resumen!$C$4+30,"Caduca pronto","OK"))))))</f>
        <v/>
      </c>
      <c r="AN29" s="26" t="str">
        <f aca="false">IF(OR($A29="",AN$4=""),"",IF(NOT(OR(AN$6="Toda la plantilla",ISNUMBER(SEARCH(";"&amp;SUBSTITUTE($C29," ","")&amp;";",";"&amp;SUBSTITUTE(AN$7," ","")&amp;";")))),"—",IF(_xlfn.MAXIFS(Acuses!$C$5:$C$3004,Acuses!$A$5:$A$3004,$A29,Acuses!$B$5:$B$3004,AN$4)&lt;AN$5,"Pendiente",IF(AN$8=0,"OK",IF(EDATE(_xlfn.MAXIFS(Acuses!$D$5:$D$3004,Acuses!$A$5:$A$3004,$A29,Acuses!$B$5:$B$3004,AN$4,Acuses!$C$5:$C$3004,AN$5),AN$8)&lt;Resumen!$C$4,"Caducado",IF(EDATE(_xlfn.MAXIFS(Acuses!$D$5:$D$3004,Acuses!$A$5:$A$3004,$A29,Acuses!$B$5:$B$3004,AN$4,Acuses!$C$5:$C$3004,AN$5),AN$8)&lt;Resumen!$C$4+30,"Caduca pronto","OK"))))))</f>
        <v/>
      </c>
      <c r="AO29" s="26" t="str">
        <f aca="false">IF(OR($A29="",AO$4=""),"",IF(NOT(OR(AO$6="Toda la plantilla",ISNUMBER(SEARCH(";"&amp;SUBSTITUTE($C29," ","")&amp;";",";"&amp;SUBSTITUTE(AO$7," ","")&amp;";")))),"—",IF(_xlfn.MAXIFS(Acuses!$C$5:$C$3004,Acuses!$A$5:$A$3004,$A29,Acuses!$B$5:$B$3004,AO$4)&lt;AO$5,"Pendiente",IF(AO$8=0,"OK",IF(EDATE(_xlfn.MAXIFS(Acuses!$D$5:$D$3004,Acuses!$A$5:$A$3004,$A29,Acuses!$B$5:$B$3004,AO$4,Acuses!$C$5:$C$3004,AO$5),AO$8)&lt;Resumen!$C$4,"Caducado",IF(EDATE(_xlfn.MAXIFS(Acuses!$D$5:$D$3004,Acuses!$A$5:$A$3004,$A29,Acuses!$B$5:$B$3004,AO$4,Acuses!$C$5:$C$3004,AO$5),AO$8)&lt;Resumen!$C$4+30,"Caduca pronto","OK"))))))</f>
        <v/>
      </c>
      <c r="AP29" s="26" t="str">
        <f aca="false">IF(OR($A29="",AP$4=""),"",IF(NOT(OR(AP$6="Toda la plantilla",ISNUMBER(SEARCH(";"&amp;SUBSTITUTE($C29," ","")&amp;";",";"&amp;SUBSTITUTE(AP$7," ","")&amp;";")))),"—",IF(_xlfn.MAXIFS(Acuses!$C$5:$C$3004,Acuses!$A$5:$A$3004,$A29,Acuses!$B$5:$B$3004,AP$4)&lt;AP$5,"Pendiente",IF(AP$8=0,"OK",IF(EDATE(_xlfn.MAXIFS(Acuses!$D$5:$D$3004,Acuses!$A$5:$A$3004,$A29,Acuses!$B$5:$B$3004,AP$4,Acuses!$C$5:$C$3004,AP$5),AP$8)&lt;Resumen!$C$4,"Caducado",IF(EDATE(_xlfn.MAXIFS(Acuses!$D$5:$D$3004,Acuses!$A$5:$A$3004,$A29,Acuses!$B$5:$B$3004,AP$4,Acuses!$C$5:$C$3004,AP$5),AP$8)&lt;Resumen!$C$4+30,"Caduca pronto","OK"))))))</f>
        <v/>
      </c>
      <c r="AQ29" s="26" t="str">
        <f aca="false">IF(OR($A29="",AQ$4=""),"",IF(NOT(OR(AQ$6="Toda la plantilla",ISNUMBER(SEARCH(";"&amp;SUBSTITUTE($C29," ","")&amp;";",";"&amp;SUBSTITUTE(AQ$7," ","")&amp;";")))),"—",IF(_xlfn.MAXIFS(Acuses!$C$5:$C$3004,Acuses!$A$5:$A$3004,$A29,Acuses!$B$5:$B$3004,AQ$4)&lt;AQ$5,"Pendiente",IF(AQ$8=0,"OK",IF(EDATE(_xlfn.MAXIFS(Acuses!$D$5:$D$3004,Acuses!$A$5:$A$3004,$A29,Acuses!$B$5:$B$3004,AQ$4,Acuses!$C$5:$C$3004,AQ$5),AQ$8)&lt;Resumen!$C$4,"Caducado",IF(EDATE(_xlfn.MAXIFS(Acuses!$D$5:$D$3004,Acuses!$A$5:$A$3004,$A29,Acuses!$B$5:$B$3004,AQ$4,Acuses!$C$5:$C$3004,AQ$5),AQ$8)&lt;Resumen!$C$4+30,"Caduca pronto","OK"))))))</f>
        <v/>
      </c>
    </row>
    <row r="30" customFormat="false" ht="15" hidden="false" customHeight="false" outlineLevel="0" collapsed="false">
      <c r="A30" s="25" t="str">
        <f aca="false">IF(AND(Trabajadores!$A$25&lt;&gt;"",Trabajadores!$G$25&lt;&gt;"No"),Trabajadores!$A$25,"")</f>
        <v/>
      </c>
      <c r="B30" s="25" t="str">
        <f aca="false">IF($A30="","",Trabajadores!$B$25)</f>
        <v/>
      </c>
      <c r="C30" s="25" t="str">
        <f aca="false">IF($A30="","",Trabajadores!$C$25)</f>
        <v/>
      </c>
      <c r="D30" s="26" t="str">
        <f aca="false">IF(OR($A30="",D$4=""),"",IF(NOT(OR(D$6="Toda la plantilla",ISNUMBER(SEARCH(";"&amp;SUBSTITUTE($C30," ","")&amp;";",";"&amp;SUBSTITUTE(D$7," ","")&amp;";")))),"—",IF(_xlfn.MAXIFS(Acuses!$C$5:$C$3004,Acuses!$A$5:$A$3004,$A30,Acuses!$B$5:$B$3004,D$4)&lt;D$5,"Pendiente",IF(D$8=0,"OK",IF(EDATE(_xlfn.MAXIFS(Acuses!$D$5:$D$3004,Acuses!$A$5:$A$3004,$A30,Acuses!$B$5:$B$3004,D$4,Acuses!$C$5:$C$3004,D$5),D$8)&lt;Resumen!$C$4,"Caducado",IF(EDATE(_xlfn.MAXIFS(Acuses!$D$5:$D$3004,Acuses!$A$5:$A$3004,$A30,Acuses!$B$5:$B$3004,D$4,Acuses!$C$5:$C$3004,D$5),D$8)&lt;Resumen!$C$4+30,"Caduca pronto","OK"))))))</f>
        <v/>
      </c>
      <c r="E30" s="26" t="str">
        <f aca="false">IF(OR($A30="",E$4=""),"",IF(NOT(OR(E$6="Toda la plantilla",ISNUMBER(SEARCH(";"&amp;SUBSTITUTE($C30," ","")&amp;";",";"&amp;SUBSTITUTE(E$7," ","")&amp;";")))),"—",IF(_xlfn.MAXIFS(Acuses!$C$5:$C$3004,Acuses!$A$5:$A$3004,$A30,Acuses!$B$5:$B$3004,E$4)&lt;E$5,"Pendiente",IF(E$8=0,"OK",IF(EDATE(_xlfn.MAXIFS(Acuses!$D$5:$D$3004,Acuses!$A$5:$A$3004,$A30,Acuses!$B$5:$B$3004,E$4,Acuses!$C$5:$C$3004,E$5),E$8)&lt;Resumen!$C$4,"Caducado",IF(EDATE(_xlfn.MAXIFS(Acuses!$D$5:$D$3004,Acuses!$A$5:$A$3004,$A30,Acuses!$B$5:$B$3004,E$4,Acuses!$C$5:$C$3004,E$5),E$8)&lt;Resumen!$C$4+30,"Caduca pronto","OK"))))))</f>
        <v/>
      </c>
      <c r="F30" s="26" t="str">
        <f aca="false">IF(OR($A30="",F$4=""),"",IF(NOT(OR(F$6="Toda la plantilla",ISNUMBER(SEARCH(";"&amp;SUBSTITUTE($C30," ","")&amp;";",";"&amp;SUBSTITUTE(F$7," ","")&amp;";")))),"—",IF(_xlfn.MAXIFS(Acuses!$C$5:$C$3004,Acuses!$A$5:$A$3004,$A30,Acuses!$B$5:$B$3004,F$4)&lt;F$5,"Pendiente",IF(F$8=0,"OK",IF(EDATE(_xlfn.MAXIFS(Acuses!$D$5:$D$3004,Acuses!$A$5:$A$3004,$A30,Acuses!$B$5:$B$3004,F$4,Acuses!$C$5:$C$3004,F$5),F$8)&lt;Resumen!$C$4,"Caducado",IF(EDATE(_xlfn.MAXIFS(Acuses!$D$5:$D$3004,Acuses!$A$5:$A$3004,$A30,Acuses!$B$5:$B$3004,F$4,Acuses!$C$5:$C$3004,F$5),F$8)&lt;Resumen!$C$4+30,"Caduca pronto","OK"))))))</f>
        <v/>
      </c>
      <c r="G30" s="26" t="str">
        <f aca="false">IF(OR($A30="",G$4=""),"",IF(NOT(OR(G$6="Toda la plantilla",ISNUMBER(SEARCH(";"&amp;SUBSTITUTE($C30," ","")&amp;";",";"&amp;SUBSTITUTE(G$7," ","")&amp;";")))),"—",IF(_xlfn.MAXIFS(Acuses!$C$5:$C$3004,Acuses!$A$5:$A$3004,$A30,Acuses!$B$5:$B$3004,G$4)&lt;G$5,"Pendiente",IF(G$8=0,"OK",IF(EDATE(_xlfn.MAXIFS(Acuses!$D$5:$D$3004,Acuses!$A$5:$A$3004,$A30,Acuses!$B$5:$B$3004,G$4,Acuses!$C$5:$C$3004,G$5),G$8)&lt;Resumen!$C$4,"Caducado",IF(EDATE(_xlfn.MAXIFS(Acuses!$D$5:$D$3004,Acuses!$A$5:$A$3004,$A30,Acuses!$B$5:$B$3004,G$4,Acuses!$C$5:$C$3004,G$5),G$8)&lt;Resumen!$C$4+30,"Caduca pronto","OK"))))))</f>
        <v/>
      </c>
      <c r="H30" s="26" t="str">
        <f aca="false">IF(OR($A30="",H$4=""),"",IF(NOT(OR(H$6="Toda la plantilla",ISNUMBER(SEARCH(";"&amp;SUBSTITUTE($C30," ","")&amp;";",";"&amp;SUBSTITUTE(H$7," ","")&amp;";")))),"—",IF(_xlfn.MAXIFS(Acuses!$C$5:$C$3004,Acuses!$A$5:$A$3004,$A30,Acuses!$B$5:$B$3004,H$4)&lt;H$5,"Pendiente",IF(H$8=0,"OK",IF(EDATE(_xlfn.MAXIFS(Acuses!$D$5:$D$3004,Acuses!$A$5:$A$3004,$A30,Acuses!$B$5:$B$3004,H$4,Acuses!$C$5:$C$3004,H$5),H$8)&lt;Resumen!$C$4,"Caducado",IF(EDATE(_xlfn.MAXIFS(Acuses!$D$5:$D$3004,Acuses!$A$5:$A$3004,$A30,Acuses!$B$5:$B$3004,H$4,Acuses!$C$5:$C$3004,H$5),H$8)&lt;Resumen!$C$4+30,"Caduca pronto","OK"))))))</f>
        <v/>
      </c>
      <c r="I30" s="26" t="str">
        <f aca="false">IF(OR($A30="",I$4=""),"",IF(NOT(OR(I$6="Toda la plantilla",ISNUMBER(SEARCH(";"&amp;SUBSTITUTE($C30," ","")&amp;";",";"&amp;SUBSTITUTE(I$7," ","")&amp;";")))),"—",IF(_xlfn.MAXIFS(Acuses!$C$5:$C$3004,Acuses!$A$5:$A$3004,$A30,Acuses!$B$5:$B$3004,I$4)&lt;I$5,"Pendiente",IF(I$8=0,"OK",IF(EDATE(_xlfn.MAXIFS(Acuses!$D$5:$D$3004,Acuses!$A$5:$A$3004,$A30,Acuses!$B$5:$B$3004,I$4,Acuses!$C$5:$C$3004,I$5),I$8)&lt;Resumen!$C$4,"Caducado",IF(EDATE(_xlfn.MAXIFS(Acuses!$D$5:$D$3004,Acuses!$A$5:$A$3004,$A30,Acuses!$B$5:$B$3004,I$4,Acuses!$C$5:$C$3004,I$5),I$8)&lt;Resumen!$C$4+30,"Caduca pronto","OK"))))))</f>
        <v/>
      </c>
      <c r="J30" s="26" t="str">
        <f aca="false">IF(OR($A30="",J$4=""),"",IF(NOT(OR(J$6="Toda la plantilla",ISNUMBER(SEARCH(";"&amp;SUBSTITUTE($C30," ","")&amp;";",";"&amp;SUBSTITUTE(J$7," ","")&amp;";")))),"—",IF(_xlfn.MAXIFS(Acuses!$C$5:$C$3004,Acuses!$A$5:$A$3004,$A30,Acuses!$B$5:$B$3004,J$4)&lt;J$5,"Pendiente",IF(J$8=0,"OK",IF(EDATE(_xlfn.MAXIFS(Acuses!$D$5:$D$3004,Acuses!$A$5:$A$3004,$A30,Acuses!$B$5:$B$3004,J$4,Acuses!$C$5:$C$3004,J$5),J$8)&lt;Resumen!$C$4,"Caducado",IF(EDATE(_xlfn.MAXIFS(Acuses!$D$5:$D$3004,Acuses!$A$5:$A$3004,$A30,Acuses!$B$5:$B$3004,J$4,Acuses!$C$5:$C$3004,J$5),J$8)&lt;Resumen!$C$4+30,"Caduca pronto","OK"))))))</f>
        <v/>
      </c>
      <c r="K30" s="26" t="str">
        <f aca="false">IF(OR($A30="",K$4=""),"",IF(NOT(OR(K$6="Toda la plantilla",ISNUMBER(SEARCH(";"&amp;SUBSTITUTE($C30," ","")&amp;";",";"&amp;SUBSTITUTE(K$7," ","")&amp;";")))),"—",IF(_xlfn.MAXIFS(Acuses!$C$5:$C$3004,Acuses!$A$5:$A$3004,$A30,Acuses!$B$5:$B$3004,K$4)&lt;K$5,"Pendiente",IF(K$8=0,"OK",IF(EDATE(_xlfn.MAXIFS(Acuses!$D$5:$D$3004,Acuses!$A$5:$A$3004,$A30,Acuses!$B$5:$B$3004,K$4,Acuses!$C$5:$C$3004,K$5),K$8)&lt;Resumen!$C$4,"Caducado",IF(EDATE(_xlfn.MAXIFS(Acuses!$D$5:$D$3004,Acuses!$A$5:$A$3004,$A30,Acuses!$B$5:$B$3004,K$4,Acuses!$C$5:$C$3004,K$5),K$8)&lt;Resumen!$C$4+30,"Caduca pronto","OK"))))))</f>
        <v/>
      </c>
      <c r="L30" s="26" t="str">
        <f aca="false">IF(OR($A30="",L$4=""),"",IF(NOT(OR(L$6="Toda la plantilla",ISNUMBER(SEARCH(";"&amp;SUBSTITUTE($C30," ","")&amp;";",";"&amp;SUBSTITUTE(L$7," ","")&amp;";")))),"—",IF(_xlfn.MAXIFS(Acuses!$C$5:$C$3004,Acuses!$A$5:$A$3004,$A30,Acuses!$B$5:$B$3004,L$4)&lt;L$5,"Pendiente",IF(L$8=0,"OK",IF(EDATE(_xlfn.MAXIFS(Acuses!$D$5:$D$3004,Acuses!$A$5:$A$3004,$A30,Acuses!$B$5:$B$3004,L$4,Acuses!$C$5:$C$3004,L$5),L$8)&lt;Resumen!$C$4,"Caducado",IF(EDATE(_xlfn.MAXIFS(Acuses!$D$5:$D$3004,Acuses!$A$5:$A$3004,$A30,Acuses!$B$5:$B$3004,L$4,Acuses!$C$5:$C$3004,L$5),L$8)&lt;Resumen!$C$4+30,"Caduca pronto","OK"))))))</f>
        <v/>
      </c>
      <c r="M30" s="26" t="str">
        <f aca="false">IF(OR($A30="",M$4=""),"",IF(NOT(OR(M$6="Toda la plantilla",ISNUMBER(SEARCH(";"&amp;SUBSTITUTE($C30," ","")&amp;";",";"&amp;SUBSTITUTE(M$7," ","")&amp;";")))),"—",IF(_xlfn.MAXIFS(Acuses!$C$5:$C$3004,Acuses!$A$5:$A$3004,$A30,Acuses!$B$5:$B$3004,M$4)&lt;M$5,"Pendiente",IF(M$8=0,"OK",IF(EDATE(_xlfn.MAXIFS(Acuses!$D$5:$D$3004,Acuses!$A$5:$A$3004,$A30,Acuses!$B$5:$B$3004,M$4,Acuses!$C$5:$C$3004,M$5),M$8)&lt;Resumen!$C$4,"Caducado",IF(EDATE(_xlfn.MAXIFS(Acuses!$D$5:$D$3004,Acuses!$A$5:$A$3004,$A30,Acuses!$B$5:$B$3004,M$4,Acuses!$C$5:$C$3004,M$5),M$8)&lt;Resumen!$C$4+30,"Caduca pronto","OK"))))))</f>
        <v/>
      </c>
      <c r="N30" s="26" t="str">
        <f aca="false">IF(OR($A30="",N$4=""),"",IF(NOT(OR(N$6="Toda la plantilla",ISNUMBER(SEARCH(";"&amp;SUBSTITUTE($C30," ","")&amp;";",";"&amp;SUBSTITUTE(N$7," ","")&amp;";")))),"—",IF(_xlfn.MAXIFS(Acuses!$C$5:$C$3004,Acuses!$A$5:$A$3004,$A30,Acuses!$B$5:$B$3004,N$4)&lt;N$5,"Pendiente",IF(N$8=0,"OK",IF(EDATE(_xlfn.MAXIFS(Acuses!$D$5:$D$3004,Acuses!$A$5:$A$3004,$A30,Acuses!$B$5:$B$3004,N$4,Acuses!$C$5:$C$3004,N$5),N$8)&lt;Resumen!$C$4,"Caducado",IF(EDATE(_xlfn.MAXIFS(Acuses!$D$5:$D$3004,Acuses!$A$5:$A$3004,$A30,Acuses!$B$5:$B$3004,N$4,Acuses!$C$5:$C$3004,N$5),N$8)&lt;Resumen!$C$4+30,"Caduca pronto","OK"))))))</f>
        <v/>
      </c>
      <c r="O30" s="26" t="str">
        <f aca="false">IF(OR($A30="",O$4=""),"",IF(NOT(OR(O$6="Toda la plantilla",ISNUMBER(SEARCH(";"&amp;SUBSTITUTE($C30," ","")&amp;";",";"&amp;SUBSTITUTE(O$7," ","")&amp;";")))),"—",IF(_xlfn.MAXIFS(Acuses!$C$5:$C$3004,Acuses!$A$5:$A$3004,$A30,Acuses!$B$5:$B$3004,O$4)&lt;O$5,"Pendiente",IF(O$8=0,"OK",IF(EDATE(_xlfn.MAXIFS(Acuses!$D$5:$D$3004,Acuses!$A$5:$A$3004,$A30,Acuses!$B$5:$B$3004,O$4,Acuses!$C$5:$C$3004,O$5),O$8)&lt;Resumen!$C$4,"Caducado",IF(EDATE(_xlfn.MAXIFS(Acuses!$D$5:$D$3004,Acuses!$A$5:$A$3004,$A30,Acuses!$B$5:$B$3004,O$4,Acuses!$C$5:$C$3004,O$5),O$8)&lt;Resumen!$C$4+30,"Caduca pronto","OK"))))))</f>
        <v/>
      </c>
      <c r="P30" s="26" t="str">
        <f aca="false">IF(OR($A30="",P$4=""),"",IF(NOT(OR(P$6="Toda la plantilla",ISNUMBER(SEARCH(";"&amp;SUBSTITUTE($C30," ","")&amp;";",";"&amp;SUBSTITUTE(P$7," ","")&amp;";")))),"—",IF(_xlfn.MAXIFS(Acuses!$C$5:$C$3004,Acuses!$A$5:$A$3004,$A30,Acuses!$B$5:$B$3004,P$4)&lt;P$5,"Pendiente",IF(P$8=0,"OK",IF(EDATE(_xlfn.MAXIFS(Acuses!$D$5:$D$3004,Acuses!$A$5:$A$3004,$A30,Acuses!$B$5:$B$3004,P$4,Acuses!$C$5:$C$3004,P$5),P$8)&lt;Resumen!$C$4,"Caducado",IF(EDATE(_xlfn.MAXIFS(Acuses!$D$5:$D$3004,Acuses!$A$5:$A$3004,$A30,Acuses!$B$5:$B$3004,P$4,Acuses!$C$5:$C$3004,P$5),P$8)&lt;Resumen!$C$4+30,"Caduca pronto","OK"))))))</f>
        <v/>
      </c>
      <c r="Q30" s="26" t="str">
        <f aca="false">IF(OR($A30="",Q$4=""),"",IF(NOT(OR(Q$6="Toda la plantilla",ISNUMBER(SEARCH(";"&amp;SUBSTITUTE($C30," ","")&amp;";",";"&amp;SUBSTITUTE(Q$7," ","")&amp;";")))),"—",IF(_xlfn.MAXIFS(Acuses!$C$5:$C$3004,Acuses!$A$5:$A$3004,$A30,Acuses!$B$5:$B$3004,Q$4)&lt;Q$5,"Pendiente",IF(Q$8=0,"OK",IF(EDATE(_xlfn.MAXIFS(Acuses!$D$5:$D$3004,Acuses!$A$5:$A$3004,$A30,Acuses!$B$5:$B$3004,Q$4,Acuses!$C$5:$C$3004,Q$5),Q$8)&lt;Resumen!$C$4,"Caducado",IF(EDATE(_xlfn.MAXIFS(Acuses!$D$5:$D$3004,Acuses!$A$5:$A$3004,$A30,Acuses!$B$5:$B$3004,Q$4,Acuses!$C$5:$C$3004,Q$5),Q$8)&lt;Resumen!$C$4+30,"Caduca pronto","OK"))))))</f>
        <v/>
      </c>
      <c r="R30" s="26" t="str">
        <f aca="false">IF(OR($A30="",R$4=""),"",IF(NOT(OR(R$6="Toda la plantilla",ISNUMBER(SEARCH(";"&amp;SUBSTITUTE($C30," ","")&amp;";",";"&amp;SUBSTITUTE(R$7," ","")&amp;";")))),"—",IF(_xlfn.MAXIFS(Acuses!$C$5:$C$3004,Acuses!$A$5:$A$3004,$A30,Acuses!$B$5:$B$3004,R$4)&lt;R$5,"Pendiente",IF(R$8=0,"OK",IF(EDATE(_xlfn.MAXIFS(Acuses!$D$5:$D$3004,Acuses!$A$5:$A$3004,$A30,Acuses!$B$5:$B$3004,R$4,Acuses!$C$5:$C$3004,R$5),R$8)&lt;Resumen!$C$4,"Caducado",IF(EDATE(_xlfn.MAXIFS(Acuses!$D$5:$D$3004,Acuses!$A$5:$A$3004,$A30,Acuses!$B$5:$B$3004,R$4,Acuses!$C$5:$C$3004,R$5),R$8)&lt;Resumen!$C$4+30,"Caduca pronto","OK"))))))</f>
        <v/>
      </c>
      <c r="S30" s="26" t="str">
        <f aca="false">IF(OR($A30="",S$4=""),"",IF(NOT(OR(S$6="Toda la plantilla",ISNUMBER(SEARCH(";"&amp;SUBSTITUTE($C30," ","")&amp;";",";"&amp;SUBSTITUTE(S$7," ","")&amp;";")))),"—",IF(_xlfn.MAXIFS(Acuses!$C$5:$C$3004,Acuses!$A$5:$A$3004,$A30,Acuses!$B$5:$B$3004,S$4)&lt;S$5,"Pendiente",IF(S$8=0,"OK",IF(EDATE(_xlfn.MAXIFS(Acuses!$D$5:$D$3004,Acuses!$A$5:$A$3004,$A30,Acuses!$B$5:$B$3004,S$4,Acuses!$C$5:$C$3004,S$5),S$8)&lt;Resumen!$C$4,"Caducado",IF(EDATE(_xlfn.MAXIFS(Acuses!$D$5:$D$3004,Acuses!$A$5:$A$3004,$A30,Acuses!$B$5:$B$3004,S$4,Acuses!$C$5:$C$3004,S$5),S$8)&lt;Resumen!$C$4+30,"Caduca pronto","OK"))))))</f>
        <v/>
      </c>
      <c r="T30" s="26" t="str">
        <f aca="false">IF(OR($A30="",T$4=""),"",IF(NOT(OR(T$6="Toda la plantilla",ISNUMBER(SEARCH(";"&amp;SUBSTITUTE($C30," ","")&amp;";",";"&amp;SUBSTITUTE(T$7," ","")&amp;";")))),"—",IF(_xlfn.MAXIFS(Acuses!$C$5:$C$3004,Acuses!$A$5:$A$3004,$A30,Acuses!$B$5:$B$3004,T$4)&lt;T$5,"Pendiente",IF(T$8=0,"OK",IF(EDATE(_xlfn.MAXIFS(Acuses!$D$5:$D$3004,Acuses!$A$5:$A$3004,$A30,Acuses!$B$5:$B$3004,T$4,Acuses!$C$5:$C$3004,T$5),T$8)&lt;Resumen!$C$4,"Caducado",IF(EDATE(_xlfn.MAXIFS(Acuses!$D$5:$D$3004,Acuses!$A$5:$A$3004,$A30,Acuses!$B$5:$B$3004,T$4,Acuses!$C$5:$C$3004,T$5),T$8)&lt;Resumen!$C$4+30,"Caduca pronto","OK"))))))</f>
        <v/>
      </c>
      <c r="U30" s="26" t="str">
        <f aca="false">IF(OR($A30="",U$4=""),"",IF(NOT(OR(U$6="Toda la plantilla",ISNUMBER(SEARCH(";"&amp;SUBSTITUTE($C30," ","")&amp;";",";"&amp;SUBSTITUTE(U$7," ","")&amp;";")))),"—",IF(_xlfn.MAXIFS(Acuses!$C$5:$C$3004,Acuses!$A$5:$A$3004,$A30,Acuses!$B$5:$B$3004,U$4)&lt;U$5,"Pendiente",IF(U$8=0,"OK",IF(EDATE(_xlfn.MAXIFS(Acuses!$D$5:$D$3004,Acuses!$A$5:$A$3004,$A30,Acuses!$B$5:$B$3004,U$4,Acuses!$C$5:$C$3004,U$5),U$8)&lt;Resumen!$C$4,"Caducado",IF(EDATE(_xlfn.MAXIFS(Acuses!$D$5:$D$3004,Acuses!$A$5:$A$3004,$A30,Acuses!$B$5:$B$3004,U$4,Acuses!$C$5:$C$3004,U$5),U$8)&lt;Resumen!$C$4+30,"Caduca pronto","OK"))))))</f>
        <v/>
      </c>
      <c r="V30" s="26" t="str">
        <f aca="false">IF(OR($A30="",V$4=""),"",IF(NOT(OR(V$6="Toda la plantilla",ISNUMBER(SEARCH(";"&amp;SUBSTITUTE($C30," ","")&amp;";",";"&amp;SUBSTITUTE(V$7," ","")&amp;";")))),"—",IF(_xlfn.MAXIFS(Acuses!$C$5:$C$3004,Acuses!$A$5:$A$3004,$A30,Acuses!$B$5:$B$3004,V$4)&lt;V$5,"Pendiente",IF(V$8=0,"OK",IF(EDATE(_xlfn.MAXIFS(Acuses!$D$5:$D$3004,Acuses!$A$5:$A$3004,$A30,Acuses!$B$5:$B$3004,V$4,Acuses!$C$5:$C$3004,V$5),V$8)&lt;Resumen!$C$4,"Caducado",IF(EDATE(_xlfn.MAXIFS(Acuses!$D$5:$D$3004,Acuses!$A$5:$A$3004,$A30,Acuses!$B$5:$B$3004,V$4,Acuses!$C$5:$C$3004,V$5),V$8)&lt;Resumen!$C$4+30,"Caduca pronto","OK"))))))</f>
        <v/>
      </c>
      <c r="W30" s="26" t="str">
        <f aca="false">IF(OR($A30="",W$4=""),"",IF(NOT(OR(W$6="Toda la plantilla",ISNUMBER(SEARCH(";"&amp;SUBSTITUTE($C30," ","")&amp;";",";"&amp;SUBSTITUTE(W$7," ","")&amp;";")))),"—",IF(_xlfn.MAXIFS(Acuses!$C$5:$C$3004,Acuses!$A$5:$A$3004,$A30,Acuses!$B$5:$B$3004,W$4)&lt;W$5,"Pendiente",IF(W$8=0,"OK",IF(EDATE(_xlfn.MAXIFS(Acuses!$D$5:$D$3004,Acuses!$A$5:$A$3004,$A30,Acuses!$B$5:$B$3004,W$4,Acuses!$C$5:$C$3004,W$5),W$8)&lt;Resumen!$C$4,"Caducado",IF(EDATE(_xlfn.MAXIFS(Acuses!$D$5:$D$3004,Acuses!$A$5:$A$3004,$A30,Acuses!$B$5:$B$3004,W$4,Acuses!$C$5:$C$3004,W$5),W$8)&lt;Resumen!$C$4+30,"Caduca pronto","OK"))))))</f>
        <v/>
      </c>
      <c r="X30" s="26" t="str">
        <f aca="false">IF(OR($A30="",X$4=""),"",IF(NOT(OR(X$6="Toda la plantilla",ISNUMBER(SEARCH(";"&amp;SUBSTITUTE($C30," ","")&amp;";",";"&amp;SUBSTITUTE(X$7," ","")&amp;";")))),"—",IF(_xlfn.MAXIFS(Acuses!$C$5:$C$3004,Acuses!$A$5:$A$3004,$A30,Acuses!$B$5:$B$3004,X$4)&lt;X$5,"Pendiente",IF(X$8=0,"OK",IF(EDATE(_xlfn.MAXIFS(Acuses!$D$5:$D$3004,Acuses!$A$5:$A$3004,$A30,Acuses!$B$5:$B$3004,X$4,Acuses!$C$5:$C$3004,X$5),X$8)&lt;Resumen!$C$4,"Caducado",IF(EDATE(_xlfn.MAXIFS(Acuses!$D$5:$D$3004,Acuses!$A$5:$A$3004,$A30,Acuses!$B$5:$B$3004,X$4,Acuses!$C$5:$C$3004,X$5),X$8)&lt;Resumen!$C$4+30,"Caduca pronto","OK"))))))</f>
        <v/>
      </c>
      <c r="Y30" s="26" t="str">
        <f aca="false">IF(OR($A30="",Y$4=""),"",IF(NOT(OR(Y$6="Toda la plantilla",ISNUMBER(SEARCH(";"&amp;SUBSTITUTE($C30," ","")&amp;";",";"&amp;SUBSTITUTE(Y$7," ","")&amp;";")))),"—",IF(_xlfn.MAXIFS(Acuses!$C$5:$C$3004,Acuses!$A$5:$A$3004,$A30,Acuses!$B$5:$B$3004,Y$4)&lt;Y$5,"Pendiente",IF(Y$8=0,"OK",IF(EDATE(_xlfn.MAXIFS(Acuses!$D$5:$D$3004,Acuses!$A$5:$A$3004,$A30,Acuses!$B$5:$B$3004,Y$4,Acuses!$C$5:$C$3004,Y$5),Y$8)&lt;Resumen!$C$4,"Caducado",IF(EDATE(_xlfn.MAXIFS(Acuses!$D$5:$D$3004,Acuses!$A$5:$A$3004,$A30,Acuses!$B$5:$B$3004,Y$4,Acuses!$C$5:$C$3004,Y$5),Y$8)&lt;Resumen!$C$4+30,"Caduca pronto","OK"))))))</f>
        <v/>
      </c>
      <c r="Z30" s="26" t="str">
        <f aca="false">IF(OR($A30="",Z$4=""),"",IF(NOT(OR(Z$6="Toda la plantilla",ISNUMBER(SEARCH(";"&amp;SUBSTITUTE($C30," ","")&amp;";",";"&amp;SUBSTITUTE(Z$7," ","")&amp;";")))),"—",IF(_xlfn.MAXIFS(Acuses!$C$5:$C$3004,Acuses!$A$5:$A$3004,$A30,Acuses!$B$5:$B$3004,Z$4)&lt;Z$5,"Pendiente",IF(Z$8=0,"OK",IF(EDATE(_xlfn.MAXIFS(Acuses!$D$5:$D$3004,Acuses!$A$5:$A$3004,$A30,Acuses!$B$5:$B$3004,Z$4,Acuses!$C$5:$C$3004,Z$5),Z$8)&lt;Resumen!$C$4,"Caducado",IF(EDATE(_xlfn.MAXIFS(Acuses!$D$5:$D$3004,Acuses!$A$5:$A$3004,$A30,Acuses!$B$5:$B$3004,Z$4,Acuses!$C$5:$C$3004,Z$5),Z$8)&lt;Resumen!$C$4+30,"Caduca pronto","OK"))))))</f>
        <v/>
      </c>
      <c r="AA30" s="26" t="str">
        <f aca="false">IF(OR($A30="",AA$4=""),"",IF(NOT(OR(AA$6="Toda la plantilla",ISNUMBER(SEARCH(";"&amp;SUBSTITUTE($C30," ","")&amp;";",";"&amp;SUBSTITUTE(AA$7," ","")&amp;";")))),"—",IF(_xlfn.MAXIFS(Acuses!$C$5:$C$3004,Acuses!$A$5:$A$3004,$A30,Acuses!$B$5:$B$3004,AA$4)&lt;AA$5,"Pendiente",IF(AA$8=0,"OK",IF(EDATE(_xlfn.MAXIFS(Acuses!$D$5:$D$3004,Acuses!$A$5:$A$3004,$A30,Acuses!$B$5:$B$3004,AA$4,Acuses!$C$5:$C$3004,AA$5),AA$8)&lt;Resumen!$C$4,"Caducado",IF(EDATE(_xlfn.MAXIFS(Acuses!$D$5:$D$3004,Acuses!$A$5:$A$3004,$A30,Acuses!$B$5:$B$3004,AA$4,Acuses!$C$5:$C$3004,AA$5),AA$8)&lt;Resumen!$C$4+30,"Caduca pronto","OK"))))))</f>
        <v/>
      </c>
      <c r="AB30" s="26" t="str">
        <f aca="false">IF(OR($A30="",AB$4=""),"",IF(NOT(OR(AB$6="Toda la plantilla",ISNUMBER(SEARCH(";"&amp;SUBSTITUTE($C30," ","")&amp;";",";"&amp;SUBSTITUTE(AB$7," ","")&amp;";")))),"—",IF(_xlfn.MAXIFS(Acuses!$C$5:$C$3004,Acuses!$A$5:$A$3004,$A30,Acuses!$B$5:$B$3004,AB$4)&lt;AB$5,"Pendiente",IF(AB$8=0,"OK",IF(EDATE(_xlfn.MAXIFS(Acuses!$D$5:$D$3004,Acuses!$A$5:$A$3004,$A30,Acuses!$B$5:$B$3004,AB$4,Acuses!$C$5:$C$3004,AB$5),AB$8)&lt;Resumen!$C$4,"Caducado",IF(EDATE(_xlfn.MAXIFS(Acuses!$D$5:$D$3004,Acuses!$A$5:$A$3004,$A30,Acuses!$B$5:$B$3004,AB$4,Acuses!$C$5:$C$3004,AB$5),AB$8)&lt;Resumen!$C$4+30,"Caduca pronto","OK"))))))</f>
        <v/>
      </c>
      <c r="AC30" s="26" t="str">
        <f aca="false">IF(OR($A30="",AC$4=""),"",IF(NOT(OR(AC$6="Toda la plantilla",ISNUMBER(SEARCH(";"&amp;SUBSTITUTE($C30," ","")&amp;";",";"&amp;SUBSTITUTE(AC$7," ","")&amp;";")))),"—",IF(_xlfn.MAXIFS(Acuses!$C$5:$C$3004,Acuses!$A$5:$A$3004,$A30,Acuses!$B$5:$B$3004,AC$4)&lt;AC$5,"Pendiente",IF(AC$8=0,"OK",IF(EDATE(_xlfn.MAXIFS(Acuses!$D$5:$D$3004,Acuses!$A$5:$A$3004,$A30,Acuses!$B$5:$B$3004,AC$4,Acuses!$C$5:$C$3004,AC$5),AC$8)&lt;Resumen!$C$4,"Caducado",IF(EDATE(_xlfn.MAXIFS(Acuses!$D$5:$D$3004,Acuses!$A$5:$A$3004,$A30,Acuses!$B$5:$B$3004,AC$4,Acuses!$C$5:$C$3004,AC$5),AC$8)&lt;Resumen!$C$4+30,"Caduca pronto","OK"))))))</f>
        <v/>
      </c>
      <c r="AD30" s="26" t="str">
        <f aca="false">IF(OR($A30="",AD$4=""),"",IF(NOT(OR(AD$6="Toda la plantilla",ISNUMBER(SEARCH(";"&amp;SUBSTITUTE($C30," ","")&amp;";",";"&amp;SUBSTITUTE(AD$7," ","")&amp;";")))),"—",IF(_xlfn.MAXIFS(Acuses!$C$5:$C$3004,Acuses!$A$5:$A$3004,$A30,Acuses!$B$5:$B$3004,AD$4)&lt;AD$5,"Pendiente",IF(AD$8=0,"OK",IF(EDATE(_xlfn.MAXIFS(Acuses!$D$5:$D$3004,Acuses!$A$5:$A$3004,$A30,Acuses!$B$5:$B$3004,AD$4,Acuses!$C$5:$C$3004,AD$5),AD$8)&lt;Resumen!$C$4,"Caducado",IF(EDATE(_xlfn.MAXIFS(Acuses!$D$5:$D$3004,Acuses!$A$5:$A$3004,$A30,Acuses!$B$5:$B$3004,AD$4,Acuses!$C$5:$C$3004,AD$5),AD$8)&lt;Resumen!$C$4+30,"Caduca pronto","OK"))))))</f>
        <v/>
      </c>
      <c r="AE30" s="26" t="str">
        <f aca="false">IF(OR($A30="",AE$4=""),"",IF(NOT(OR(AE$6="Toda la plantilla",ISNUMBER(SEARCH(";"&amp;SUBSTITUTE($C30," ","")&amp;";",";"&amp;SUBSTITUTE(AE$7," ","")&amp;";")))),"—",IF(_xlfn.MAXIFS(Acuses!$C$5:$C$3004,Acuses!$A$5:$A$3004,$A30,Acuses!$B$5:$B$3004,AE$4)&lt;AE$5,"Pendiente",IF(AE$8=0,"OK",IF(EDATE(_xlfn.MAXIFS(Acuses!$D$5:$D$3004,Acuses!$A$5:$A$3004,$A30,Acuses!$B$5:$B$3004,AE$4,Acuses!$C$5:$C$3004,AE$5),AE$8)&lt;Resumen!$C$4,"Caducado",IF(EDATE(_xlfn.MAXIFS(Acuses!$D$5:$D$3004,Acuses!$A$5:$A$3004,$A30,Acuses!$B$5:$B$3004,AE$4,Acuses!$C$5:$C$3004,AE$5),AE$8)&lt;Resumen!$C$4+30,"Caduca pronto","OK"))))))</f>
        <v/>
      </c>
      <c r="AF30" s="26" t="str">
        <f aca="false">IF(OR($A30="",AF$4=""),"",IF(NOT(OR(AF$6="Toda la plantilla",ISNUMBER(SEARCH(";"&amp;SUBSTITUTE($C30," ","")&amp;";",";"&amp;SUBSTITUTE(AF$7," ","")&amp;";")))),"—",IF(_xlfn.MAXIFS(Acuses!$C$5:$C$3004,Acuses!$A$5:$A$3004,$A30,Acuses!$B$5:$B$3004,AF$4)&lt;AF$5,"Pendiente",IF(AF$8=0,"OK",IF(EDATE(_xlfn.MAXIFS(Acuses!$D$5:$D$3004,Acuses!$A$5:$A$3004,$A30,Acuses!$B$5:$B$3004,AF$4,Acuses!$C$5:$C$3004,AF$5),AF$8)&lt;Resumen!$C$4,"Caducado",IF(EDATE(_xlfn.MAXIFS(Acuses!$D$5:$D$3004,Acuses!$A$5:$A$3004,$A30,Acuses!$B$5:$B$3004,AF$4,Acuses!$C$5:$C$3004,AF$5),AF$8)&lt;Resumen!$C$4+30,"Caduca pronto","OK"))))))</f>
        <v/>
      </c>
      <c r="AG30" s="26" t="str">
        <f aca="false">IF(OR($A30="",AG$4=""),"",IF(NOT(OR(AG$6="Toda la plantilla",ISNUMBER(SEARCH(";"&amp;SUBSTITUTE($C30," ","")&amp;";",";"&amp;SUBSTITUTE(AG$7," ","")&amp;";")))),"—",IF(_xlfn.MAXIFS(Acuses!$C$5:$C$3004,Acuses!$A$5:$A$3004,$A30,Acuses!$B$5:$B$3004,AG$4)&lt;AG$5,"Pendiente",IF(AG$8=0,"OK",IF(EDATE(_xlfn.MAXIFS(Acuses!$D$5:$D$3004,Acuses!$A$5:$A$3004,$A30,Acuses!$B$5:$B$3004,AG$4,Acuses!$C$5:$C$3004,AG$5),AG$8)&lt;Resumen!$C$4,"Caducado",IF(EDATE(_xlfn.MAXIFS(Acuses!$D$5:$D$3004,Acuses!$A$5:$A$3004,$A30,Acuses!$B$5:$B$3004,AG$4,Acuses!$C$5:$C$3004,AG$5),AG$8)&lt;Resumen!$C$4+30,"Caduca pronto","OK"))))))</f>
        <v/>
      </c>
      <c r="AH30" s="26" t="str">
        <f aca="false">IF(OR($A30="",AH$4=""),"",IF(NOT(OR(AH$6="Toda la plantilla",ISNUMBER(SEARCH(";"&amp;SUBSTITUTE($C30," ","")&amp;";",";"&amp;SUBSTITUTE(AH$7," ","")&amp;";")))),"—",IF(_xlfn.MAXIFS(Acuses!$C$5:$C$3004,Acuses!$A$5:$A$3004,$A30,Acuses!$B$5:$B$3004,AH$4)&lt;AH$5,"Pendiente",IF(AH$8=0,"OK",IF(EDATE(_xlfn.MAXIFS(Acuses!$D$5:$D$3004,Acuses!$A$5:$A$3004,$A30,Acuses!$B$5:$B$3004,AH$4,Acuses!$C$5:$C$3004,AH$5),AH$8)&lt;Resumen!$C$4,"Caducado",IF(EDATE(_xlfn.MAXIFS(Acuses!$D$5:$D$3004,Acuses!$A$5:$A$3004,$A30,Acuses!$B$5:$B$3004,AH$4,Acuses!$C$5:$C$3004,AH$5),AH$8)&lt;Resumen!$C$4+30,"Caduca pronto","OK"))))))</f>
        <v/>
      </c>
      <c r="AI30" s="26" t="str">
        <f aca="false">IF(OR($A30="",AI$4=""),"",IF(NOT(OR(AI$6="Toda la plantilla",ISNUMBER(SEARCH(";"&amp;SUBSTITUTE($C30," ","")&amp;";",";"&amp;SUBSTITUTE(AI$7," ","")&amp;";")))),"—",IF(_xlfn.MAXIFS(Acuses!$C$5:$C$3004,Acuses!$A$5:$A$3004,$A30,Acuses!$B$5:$B$3004,AI$4)&lt;AI$5,"Pendiente",IF(AI$8=0,"OK",IF(EDATE(_xlfn.MAXIFS(Acuses!$D$5:$D$3004,Acuses!$A$5:$A$3004,$A30,Acuses!$B$5:$B$3004,AI$4,Acuses!$C$5:$C$3004,AI$5),AI$8)&lt;Resumen!$C$4,"Caducado",IF(EDATE(_xlfn.MAXIFS(Acuses!$D$5:$D$3004,Acuses!$A$5:$A$3004,$A30,Acuses!$B$5:$B$3004,AI$4,Acuses!$C$5:$C$3004,AI$5),AI$8)&lt;Resumen!$C$4+30,"Caduca pronto","OK"))))))</f>
        <v/>
      </c>
      <c r="AJ30" s="26" t="str">
        <f aca="false">IF(OR($A30="",AJ$4=""),"",IF(NOT(OR(AJ$6="Toda la plantilla",ISNUMBER(SEARCH(";"&amp;SUBSTITUTE($C30," ","")&amp;";",";"&amp;SUBSTITUTE(AJ$7," ","")&amp;";")))),"—",IF(_xlfn.MAXIFS(Acuses!$C$5:$C$3004,Acuses!$A$5:$A$3004,$A30,Acuses!$B$5:$B$3004,AJ$4)&lt;AJ$5,"Pendiente",IF(AJ$8=0,"OK",IF(EDATE(_xlfn.MAXIFS(Acuses!$D$5:$D$3004,Acuses!$A$5:$A$3004,$A30,Acuses!$B$5:$B$3004,AJ$4,Acuses!$C$5:$C$3004,AJ$5),AJ$8)&lt;Resumen!$C$4,"Caducado",IF(EDATE(_xlfn.MAXIFS(Acuses!$D$5:$D$3004,Acuses!$A$5:$A$3004,$A30,Acuses!$B$5:$B$3004,AJ$4,Acuses!$C$5:$C$3004,AJ$5),AJ$8)&lt;Resumen!$C$4+30,"Caduca pronto","OK"))))))</f>
        <v/>
      </c>
      <c r="AK30" s="26" t="str">
        <f aca="false">IF(OR($A30="",AK$4=""),"",IF(NOT(OR(AK$6="Toda la plantilla",ISNUMBER(SEARCH(";"&amp;SUBSTITUTE($C30," ","")&amp;";",";"&amp;SUBSTITUTE(AK$7," ","")&amp;";")))),"—",IF(_xlfn.MAXIFS(Acuses!$C$5:$C$3004,Acuses!$A$5:$A$3004,$A30,Acuses!$B$5:$B$3004,AK$4)&lt;AK$5,"Pendiente",IF(AK$8=0,"OK",IF(EDATE(_xlfn.MAXIFS(Acuses!$D$5:$D$3004,Acuses!$A$5:$A$3004,$A30,Acuses!$B$5:$B$3004,AK$4,Acuses!$C$5:$C$3004,AK$5),AK$8)&lt;Resumen!$C$4,"Caducado",IF(EDATE(_xlfn.MAXIFS(Acuses!$D$5:$D$3004,Acuses!$A$5:$A$3004,$A30,Acuses!$B$5:$B$3004,AK$4,Acuses!$C$5:$C$3004,AK$5),AK$8)&lt;Resumen!$C$4+30,"Caduca pronto","OK"))))))</f>
        <v/>
      </c>
      <c r="AL30" s="26" t="str">
        <f aca="false">IF(OR($A30="",AL$4=""),"",IF(NOT(OR(AL$6="Toda la plantilla",ISNUMBER(SEARCH(";"&amp;SUBSTITUTE($C30," ","")&amp;";",";"&amp;SUBSTITUTE(AL$7," ","")&amp;";")))),"—",IF(_xlfn.MAXIFS(Acuses!$C$5:$C$3004,Acuses!$A$5:$A$3004,$A30,Acuses!$B$5:$B$3004,AL$4)&lt;AL$5,"Pendiente",IF(AL$8=0,"OK",IF(EDATE(_xlfn.MAXIFS(Acuses!$D$5:$D$3004,Acuses!$A$5:$A$3004,$A30,Acuses!$B$5:$B$3004,AL$4,Acuses!$C$5:$C$3004,AL$5),AL$8)&lt;Resumen!$C$4,"Caducado",IF(EDATE(_xlfn.MAXIFS(Acuses!$D$5:$D$3004,Acuses!$A$5:$A$3004,$A30,Acuses!$B$5:$B$3004,AL$4,Acuses!$C$5:$C$3004,AL$5),AL$8)&lt;Resumen!$C$4+30,"Caduca pronto","OK"))))))</f>
        <v/>
      </c>
      <c r="AM30" s="26" t="str">
        <f aca="false">IF(OR($A30="",AM$4=""),"",IF(NOT(OR(AM$6="Toda la plantilla",ISNUMBER(SEARCH(";"&amp;SUBSTITUTE($C30," ","")&amp;";",";"&amp;SUBSTITUTE(AM$7," ","")&amp;";")))),"—",IF(_xlfn.MAXIFS(Acuses!$C$5:$C$3004,Acuses!$A$5:$A$3004,$A30,Acuses!$B$5:$B$3004,AM$4)&lt;AM$5,"Pendiente",IF(AM$8=0,"OK",IF(EDATE(_xlfn.MAXIFS(Acuses!$D$5:$D$3004,Acuses!$A$5:$A$3004,$A30,Acuses!$B$5:$B$3004,AM$4,Acuses!$C$5:$C$3004,AM$5),AM$8)&lt;Resumen!$C$4,"Caducado",IF(EDATE(_xlfn.MAXIFS(Acuses!$D$5:$D$3004,Acuses!$A$5:$A$3004,$A30,Acuses!$B$5:$B$3004,AM$4,Acuses!$C$5:$C$3004,AM$5),AM$8)&lt;Resumen!$C$4+30,"Caduca pronto","OK"))))))</f>
        <v/>
      </c>
      <c r="AN30" s="26" t="str">
        <f aca="false">IF(OR($A30="",AN$4=""),"",IF(NOT(OR(AN$6="Toda la plantilla",ISNUMBER(SEARCH(";"&amp;SUBSTITUTE($C30," ","")&amp;";",";"&amp;SUBSTITUTE(AN$7," ","")&amp;";")))),"—",IF(_xlfn.MAXIFS(Acuses!$C$5:$C$3004,Acuses!$A$5:$A$3004,$A30,Acuses!$B$5:$B$3004,AN$4)&lt;AN$5,"Pendiente",IF(AN$8=0,"OK",IF(EDATE(_xlfn.MAXIFS(Acuses!$D$5:$D$3004,Acuses!$A$5:$A$3004,$A30,Acuses!$B$5:$B$3004,AN$4,Acuses!$C$5:$C$3004,AN$5),AN$8)&lt;Resumen!$C$4,"Caducado",IF(EDATE(_xlfn.MAXIFS(Acuses!$D$5:$D$3004,Acuses!$A$5:$A$3004,$A30,Acuses!$B$5:$B$3004,AN$4,Acuses!$C$5:$C$3004,AN$5),AN$8)&lt;Resumen!$C$4+30,"Caduca pronto","OK"))))))</f>
        <v/>
      </c>
      <c r="AO30" s="26" t="str">
        <f aca="false">IF(OR($A30="",AO$4=""),"",IF(NOT(OR(AO$6="Toda la plantilla",ISNUMBER(SEARCH(";"&amp;SUBSTITUTE($C30," ","")&amp;";",";"&amp;SUBSTITUTE(AO$7," ","")&amp;";")))),"—",IF(_xlfn.MAXIFS(Acuses!$C$5:$C$3004,Acuses!$A$5:$A$3004,$A30,Acuses!$B$5:$B$3004,AO$4)&lt;AO$5,"Pendiente",IF(AO$8=0,"OK",IF(EDATE(_xlfn.MAXIFS(Acuses!$D$5:$D$3004,Acuses!$A$5:$A$3004,$A30,Acuses!$B$5:$B$3004,AO$4,Acuses!$C$5:$C$3004,AO$5),AO$8)&lt;Resumen!$C$4,"Caducado",IF(EDATE(_xlfn.MAXIFS(Acuses!$D$5:$D$3004,Acuses!$A$5:$A$3004,$A30,Acuses!$B$5:$B$3004,AO$4,Acuses!$C$5:$C$3004,AO$5),AO$8)&lt;Resumen!$C$4+30,"Caduca pronto","OK"))))))</f>
        <v/>
      </c>
      <c r="AP30" s="26" t="str">
        <f aca="false">IF(OR($A30="",AP$4=""),"",IF(NOT(OR(AP$6="Toda la plantilla",ISNUMBER(SEARCH(";"&amp;SUBSTITUTE($C30," ","")&amp;";",";"&amp;SUBSTITUTE(AP$7," ","")&amp;";")))),"—",IF(_xlfn.MAXIFS(Acuses!$C$5:$C$3004,Acuses!$A$5:$A$3004,$A30,Acuses!$B$5:$B$3004,AP$4)&lt;AP$5,"Pendiente",IF(AP$8=0,"OK",IF(EDATE(_xlfn.MAXIFS(Acuses!$D$5:$D$3004,Acuses!$A$5:$A$3004,$A30,Acuses!$B$5:$B$3004,AP$4,Acuses!$C$5:$C$3004,AP$5),AP$8)&lt;Resumen!$C$4,"Caducado",IF(EDATE(_xlfn.MAXIFS(Acuses!$D$5:$D$3004,Acuses!$A$5:$A$3004,$A30,Acuses!$B$5:$B$3004,AP$4,Acuses!$C$5:$C$3004,AP$5),AP$8)&lt;Resumen!$C$4+30,"Caduca pronto","OK"))))))</f>
        <v/>
      </c>
      <c r="AQ30" s="26" t="str">
        <f aca="false">IF(OR($A30="",AQ$4=""),"",IF(NOT(OR(AQ$6="Toda la plantilla",ISNUMBER(SEARCH(";"&amp;SUBSTITUTE($C30," ","")&amp;";",";"&amp;SUBSTITUTE(AQ$7," ","")&amp;";")))),"—",IF(_xlfn.MAXIFS(Acuses!$C$5:$C$3004,Acuses!$A$5:$A$3004,$A30,Acuses!$B$5:$B$3004,AQ$4)&lt;AQ$5,"Pendiente",IF(AQ$8=0,"OK",IF(EDATE(_xlfn.MAXIFS(Acuses!$D$5:$D$3004,Acuses!$A$5:$A$3004,$A30,Acuses!$B$5:$B$3004,AQ$4,Acuses!$C$5:$C$3004,AQ$5),AQ$8)&lt;Resumen!$C$4,"Caducado",IF(EDATE(_xlfn.MAXIFS(Acuses!$D$5:$D$3004,Acuses!$A$5:$A$3004,$A30,Acuses!$B$5:$B$3004,AQ$4,Acuses!$C$5:$C$3004,AQ$5),AQ$8)&lt;Resumen!$C$4+30,"Caduca pronto","OK"))))))</f>
        <v/>
      </c>
    </row>
    <row r="31" customFormat="false" ht="15" hidden="false" customHeight="false" outlineLevel="0" collapsed="false">
      <c r="A31" s="25" t="str">
        <f aca="false">IF(AND(Trabajadores!$A$26&lt;&gt;"",Trabajadores!$G$26&lt;&gt;"No"),Trabajadores!$A$26,"")</f>
        <v/>
      </c>
      <c r="B31" s="25" t="str">
        <f aca="false">IF($A31="","",Trabajadores!$B$26)</f>
        <v/>
      </c>
      <c r="C31" s="25" t="str">
        <f aca="false">IF($A31="","",Trabajadores!$C$26)</f>
        <v/>
      </c>
      <c r="D31" s="26" t="str">
        <f aca="false">IF(OR($A31="",D$4=""),"",IF(NOT(OR(D$6="Toda la plantilla",ISNUMBER(SEARCH(";"&amp;SUBSTITUTE($C31," ","")&amp;";",";"&amp;SUBSTITUTE(D$7," ","")&amp;";")))),"—",IF(_xlfn.MAXIFS(Acuses!$C$5:$C$3004,Acuses!$A$5:$A$3004,$A31,Acuses!$B$5:$B$3004,D$4)&lt;D$5,"Pendiente",IF(D$8=0,"OK",IF(EDATE(_xlfn.MAXIFS(Acuses!$D$5:$D$3004,Acuses!$A$5:$A$3004,$A31,Acuses!$B$5:$B$3004,D$4,Acuses!$C$5:$C$3004,D$5),D$8)&lt;Resumen!$C$4,"Caducado",IF(EDATE(_xlfn.MAXIFS(Acuses!$D$5:$D$3004,Acuses!$A$5:$A$3004,$A31,Acuses!$B$5:$B$3004,D$4,Acuses!$C$5:$C$3004,D$5),D$8)&lt;Resumen!$C$4+30,"Caduca pronto","OK"))))))</f>
        <v/>
      </c>
      <c r="E31" s="26" t="str">
        <f aca="false">IF(OR($A31="",E$4=""),"",IF(NOT(OR(E$6="Toda la plantilla",ISNUMBER(SEARCH(";"&amp;SUBSTITUTE($C31," ","")&amp;";",";"&amp;SUBSTITUTE(E$7," ","")&amp;";")))),"—",IF(_xlfn.MAXIFS(Acuses!$C$5:$C$3004,Acuses!$A$5:$A$3004,$A31,Acuses!$B$5:$B$3004,E$4)&lt;E$5,"Pendiente",IF(E$8=0,"OK",IF(EDATE(_xlfn.MAXIFS(Acuses!$D$5:$D$3004,Acuses!$A$5:$A$3004,$A31,Acuses!$B$5:$B$3004,E$4,Acuses!$C$5:$C$3004,E$5),E$8)&lt;Resumen!$C$4,"Caducado",IF(EDATE(_xlfn.MAXIFS(Acuses!$D$5:$D$3004,Acuses!$A$5:$A$3004,$A31,Acuses!$B$5:$B$3004,E$4,Acuses!$C$5:$C$3004,E$5),E$8)&lt;Resumen!$C$4+30,"Caduca pronto","OK"))))))</f>
        <v/>
      </c>
      <c r="F31" s="26" t="str">
        <f aca="false">IF(OR($A31="",F$4=""),"",IF(NOT(OR(F$6="Toda la plantilla",ISNUMBER(SEARCH(";"&amp;SUBSTITUTE($C31," ","")&amp;";",";"&amp;SUBSTITUTE(F$7," ","")&amp;";")))),"—",IF(_xlfn.MAXIFS(Acuses!$C$5:$C$3004,Acuses!$A$5:$A$3004,$A31,Acuses!$B$5:$B$3004,F$4)&lt;F$5,"Pendiente",IF(F$8=0,"OK",IF(EDATE(_xlfn.MAXIFS(Acuses!$D$5:$D$3004,Acuses!$A$5:$A$3004,$A31,Acuses!$B$5:$B$3004,F$4,Acuses!$C$5:$C$3004,F$5),F$8)&lt;Resumen!$C$4,"Caducado",IF(EDATE(_xlfn.MAXIFS(Acuses!$D$5:$D$3004,Acuses!$A$5:$A$3004,$A31,Acuses!$B$5:$B$3004,F$4,Acuses!$C$5:$C$3004,F$5),F$8)&lt;Resumen!$C$4+30,"Caduca pronto","OK"))))))</f>
        <v/>
      </c>
      <c r="G31" s="26" t="str">
        <f aca="false">IF(OR($A31="",G$4=""),"",IF(NOT(OR(G$6="Toda la plantilla",ISNUMBER(SEARCH(";"&amp;SUBSTITUTE($C31," ","")&amp;";",";"&amp;SUBSTITUTE(G$7," ","")&amp;";")))),"—",IF(_xlfn.MAXIFS(Acuses!$C$5:$C$3004,Acuses!$A$5:$A$3004,$A31,Acuses!$B$5:$B$3004,G$4)&lt;G$5,"Pendiente",IF(G$8=0,"OK",IF(EDATE(_xlfn.MAXIFS(Acuses!$D$5:$D$3004,Acuses!$A$5:$A$3004,$A31,Acuses!$B$5:$B$3004,G$4,Acuses!$C$5:$C$3004,G$5),G$8)&lt;Resumen!$C$4,"Caducado",IF(EDATE(_xlfn.MAXIFS(Acuses!$D$5:$D$3004,Acuses!$A$5:$A$3004,$A31,Acuses!$B$5:$B$3004,G$4,Acuses!$C$5:$C$3004,G$5),G$8)&lt;Resumen!$C$4+30,"Caduca pronto","OK"))))))</f>
        <v/>
      </c>
      <c r="H31" s="26" t="str">
        <f aca="false">IF(OR($A31="",H$4=""),"",IF(NOT(OR(H$6="Toda la plantilla",ISNUMBER(SEARCH(";"&amp;SUBSTITUTE($C31," ","")&amp;";",";"&amp;SUBSTITUTE(H$7," ","")&amp;";")))),"—",IF(_xlfn.MAXIFS(Acuses!$C$5:$C$3004,Acuses!$A$5:$A$3004,$A31,Acuses!$B$5:$B$3004,H$4)&lt;H$5,"Pendiente",IF(H$8=0,"OK",IF(EDATE(_xlfn.MAXIFS(Acuses!$D$5:$D$3004,Acuses!$A$5:$A$3004,$A31,Acuses!$B$5:$B$3004,H$4,Acuses!$C$5:$C$3004,H$5),H$8)&lt;Resumen!$C$4,"Caducado",IF(EDATE(_xlfn.MAXIFS(Acuses!$D$5:$D$3004,Acuses!$A$5:$A$3004,$A31,Acuses!$B$5:$B$3004,H$4,Acuses!$C$5:$C$3004,H$5),H$8)&lt;Resumen!$C$4+30,"Caduca pronto","OK"))))))</f>
        <v/>
      </c>
      <c r="I31" s="26" t="str">
        <f aca="false">IF(OR($A31="",I$4=""),"",IF(NOT(OR(I$6="Toda la plantilla",ISNUMBER(SEARCH(";"&amp;SUBSTITUTE($C31," ","")&amp;";",";"&amp;SUBSTITUTE(I$7," ","")&amp;";")))),"—",IF(_xlfn.MAXIFS(Acuses!$C$5:$C$3004,Acuses!$A$5:$A$3004,$A31,Acuses!$B$5:$B$3004,I$4)&lt;I$5,"Pendiente",IF(I$8=0,"OK",IF(EDATE(_xlfn.MAXIFS(Acuses!$D$5:$D$3004,Acuses!$A$5:$A$3004,$A31,Acuses!$B$5:$B$3004,I$4,Acuses!$C$5:$C$3004,I$5),I$8)&lt;Resumen!$C$4,"Caducado",IF(EDATE(_xlfn.MAXIFS(Acuses!$D$5:$D$3004,Acuses!$A$5:$A$3004,$A31,Acuses!$B$5:$B$3004,I$4,Acuses!$C$5:$C$3004,I$5),I$8)&lt;Resumen!$C$4+30,"Caduca pronto","OK"))))))</f>
        <v/>
      </c>
      <c r="J31" s="26" t="str">
        <f aca="false">IF(OR($A31="",J$4=""),"",IF(NOT(OR(J$6="Toda la plantilla",ISNUMBER(SEARCH(";"&amp;SUBSTITUTE($C31," ","")&amp;";",";"&amp;SUBSTITUTE(J$7," ","")&amp;";")))),"—",IF(_xlfn.MAXIFS(Acuses!$C$5:$C$3004,Acuses!$A$5:$A$3004,$A31,Acuses!$B$5:$B$3004,J$4)&lt;J$5,"Pendiente",IF(J$8=0,"OK",IF(EDATE(_xlfn.MAXIFS(Acuses!$D$5:$D$3004,Acuses!$A$5:$A$3004,$A31,Acuses!$B$5:$B$3004,J$4,Acuses!$C$5:$C$3004,J$5),J$8)&lt;Resumen!$C$4,"Caducado",IF(EDATE(_xlfn.MAXIFS(Acuses!$D$5:$D$3004,Acuses!$A$5:$A$3004,$A31,Acuses!$B$5:$B$3004,J$4,Acuses!$C$5:$C$3004,J$5),J$8)&lt;Resumen!$C$4+30,"Caduca pronto","OK"))))))</f>
        <v/>
      </c>
      <c r="K31" s="26" t="str">
        <f aca="false">IF(OR($A31="",K$4=""),"",IF(NOT(OR(K$6="Toda la plantilla",ISNUMBER(SEARCH(";"&amp;SUBSTITUTE($C31," ","")&amp;";",";"&amp;SUBSTITUTE(K$7," ","")&amp;";")))),"—",IF(_xlfn.MAXIFS(Acuses!$C$5:$C$3004,Acuses!$A$5:$A$3004,$A31,Acuses!$B$5:$B$3004,K$4)&lt;K$5,"Pendiente",IF(K$8=0,"OK",IF(EDATE(_xlfn.MAXIFS(Acuses!$D$5:$D$3004,Acuses!$A$5:$A$3004,$A31,Acuses!$B$5:$B$3004,K$4,Acuses!$C$5:$C$3004,K$5),K$8)&lt;Resumen!$C$4,"Caducado",IF(EDATE(_xlfn.MAXIFS(Acuses!$D$5:$D$3004,Acuses!$A$5:$A$3004,$A31,Acuses!$B$5:$B$3004,K$4,Acuses!$C$5:$C$3004,K$5),K$8)&lt;Resumen!$C$4+30,"Caduca pronto","OK"))))))</f>
        <v/>
      </c>
      <c r="L31" s="26" t="str">
        <f aca="false">IF(OR($A31="",L$4=""),"",IF(NOT(OR(L$6="Toda la plantilla",ISNUMBER(SEARCH(";"&amp;SUBSTITUTE($C31," ","")&amp;";",";"&amp;SUBSTITUTE(L$7," ","")&amp;";")))),"—",IF(_xlfn.MAXIFS(Acuses!$C$5:$C$3004,Acuses!$A$5:$A$3004,$A31,Acuses!$B$5:$B$3004,L$4)&lt;L$5,"Pendiente",IF(L$8=0,"OK",IF(EDATE(_xlfn.MAXIFS(Acuses!$D$5:$D$3004,Acuses!$A$5:$A$3004,$A31,Acuses!$B$5:$B$3004,L$4,Acuses!$C$5:$C$3004,L$5),L$8)&lt;Resumen!$C$4,"Caducado",IF(EDATE(_xlfn.MAXIFS(Acuses!$D$5:$D$3004,Acuses!$A$5:$A$3004,$A31,Acuses!$B$5:$B$3004,L$4,Acuses!$C$5:$C$3004,L$5),L$8)&lt;Resumen!$C$4+30,"Caduca pronto","OK"))))))</f>
        <v/>
      </c>
      <c r="M31" s="26" t="str">
        <f aca="false">IF(OR($A31="",M$4=""),"",IF(NOT(OR(M$6="Toda la plantilla",ISNUMBER(SEARCH(";"&amp;SUBSTITUTE($C31," ","")&amp;";",";"&amp;SUBSTITUTE(M$7," ","")&amp;";")))),"—",IF(_xlfn.MAXIFS(Acuses!$C$5:$C$3004,Acuses!$A$5:$A$3004,$A31,Acuses!$B$5:$B$3004,M$4)&lt;M$5,"Pendiente",IF(M$8=0,"OK",IF(EDATE(_xlfn.MAXIFS(Acuses!$D$5:$D$3004,Acuses!$A$5:$A$3004,$A31,Acuses!$B$5:$B$3004,M$4,Acuses!$C$5:$C$3004,M$5),M$8)&lt;Resumen!$C$4,"Caducado",IF(EDATE(_xlfn.MAXIFS(Acuses!$D$5:$D$3004,Acuses!$A$5:$A$3004,$A31,Acuses!$B$5:$B$3004,M$4,Acuses!$C$5:$C$3004,M$5),M$8)&lt;Resumen!$C$4+30,"Caduca pronto","OK"))))))</f>
        <v/>
      </c>
      <c r="N31" s="26" t="str">
        <f aca="false">IF(OR($A31="",N$4=""),"",IF(NOT(OR(N$6="Toda la plantilla",ISNUMBER(SEARCH(";"&amp;SUBSTITUTE($C31," ","")&amp;";",";"&amp;SUBSTITUTE(N$7," ","")&amp;";")))),"—",IF(_xlfn.MAXIFS(Acuses!$C$5:$C$3004,Acuses!$A$5:$A$3004,$A31,Acuses!$B$5:$B$3004,N$4)&lt;N$5,"Pendiente",IF(N$8=0,"OK",IF(EDATE(_xlfn.MAXIFS(Acuses!$D$5:$D$3004,Acuses!$A$5:$A$3004,$A31,Acuses!$B$5:$B$3004,N$4,Acuses!$C$5:$C$3004,N$5),N$8)&lt;Resumen!$C$4,"Caducado",IF(EDATE(_xlfn.MAXIFS(Acuses!$D$5:$D$3004,Acuses!$A$5:$A$3004,$A31,Acuses!$B$5:$B$3004,N$4,Acuses!$C$5:$C$3004,N$5),N$8)&lt;Resumen!$C$4+30,"Caduca pronto","OK"))))))</f>
        <v/>
      </c>
      <c r="O31" s="26" t="str">
        <f aca="false">IF(OR($A31="",O$4=""),"",IF(NOT(OR(O$6="Toda la plantilla",ISNUMBER(SEARCH(";"&amp;SUBSTITUTE($C31," ","")&amp;";",";"&amp;SUBSTITUTE(O$7," ","")&amp;";")))),"—",IF(_xlfn.MAXIFS(Acuses!$C$5:$C$3004,Acuses!$A$5:$A$3004,$A31,Acuses!$B$5:$B$3004,O$4)&lt;O$5,"Pendiente",IF(O$8=0,"OK",IF(EDATE(_xlfn.MAXIFS(Acuses!$D$5:$D$3004,Acuses!$A$5:$A$3004,$A31,Acuses!$B$5:$B$3004,O$4,Acuses!$C$5:$C$3004,O$5),O$8)&lt;Resumen!$C$4,"Caducado",IF(EDATE(_xlfn.MAXIFS(Acuses!$D$5:$D$3004,Acuses!$A$5:$A$3004,$A31,Acuses!$B$5:$B$3004,O$4,Acuses!$C$5:$C$3004,O$5),O$8)&lt;Resumen!$C$4+30,"Caduca pronto","OK"))))))</f>
        <v/>
      </c>
      <c r="P31" s="26" t="str">
        <f aca="false">IF(OR($A31="",P$4=""),"",IF(NOT(OR(P$6="Toda la plantilla",ISNUMBER(SEARCH(";"&amp;SUBSTITUTE($C31," ","")&amp;";",";"&amp;SUBSTITUTE(P$7," ","")&amp;";")))),"—",IF(_xlfn.MAXIFS(Acuses!$C$5:$C$3004,Acuses!$A$5:$A$3004,$A31,Acuses!$B$5:$B$3004,P$4)&lt;P$5,"Pendiente",IF(P$8=0,"OK",IF(EDATE(_xlfn.MAXIFS(Acuses!$D$5:$D$3004,Acuses!$A$5:$A$3004,$A31,Acuses!$B$5:$B$3004,P$4,Acuses!$C$5:$C$3004,P$5),P$8)&lt;Resumen!$C$4,"Caducado",IF(EDATE(_xlfn.MAXIFS(Acuses!$D$5:$D$3004,Acuses!$A$5:$A$3004,$A31,Acuses!$B$5:$B$3004,P$4,Acuses!$C$5:$C$3004,P$5),P$8)&lt;Resumen!$C$4+30,"Caduca pronto","OK"))))))</f>
        <v/>
      </c>
      <c r="Q31" s="26" t="str">
        <f aca="false">IF(OR($A31="",Q$4=""),"",IF(NOT(OR(Q$6="Toda la plantilla",ISNUMBER(SEARCH(";"&amp;SUBSTITUTE($C31," ","")&amp;";",";"&amp;SUBSTITUTE(Q$7," ","")&amp;";")))),"—",IF(_xlfn.MAXIFS(Acuses!$C$5:$C$3004,Acuses!$A$5:$A$3004,$A31,Acuses!$B$5:$B$3004,Q$4)&lt;Q$5,"Pendiente",IF(Q$8=0,"OK",IF(EDATE(_xlfn.MAXIFS(Acuses!$D$5:$D$3004,Acuses!$A$5:$A$3004,$A31,Acuses!$B$5:$B$3004,Q$4,Acuses!$C$5:$C$3004,Q$5),Q$8)&lt;Resumen!$C$4,"Caducado",IF(EDATE(_xlfn.MAXIFS(Acuses!$D$5:$D$3004,Acuses!$A$5:$A$3004,$A31,Acuses!$B$5:$B$3004,Q$4,Acuses!$C$5:$C$3004,Q$5),Q$8)&lt;Resumen!$C$4+30,"Caduca pronto","OK"))))))</f>
        <v/>
      </c>
      <c r="R31" s="26" t="str">
        <f aca="false">IF(OR($A31="",R$4=""),"",IF(NOT(OR(R$6="Toda la plantilla",ISNUMBER(SEARCH(";"&amp;SUBSTITUTE($C31," ","")&amp;";",";"&amp;SUBSTITUTE(R$7," ","")&amp;";")))),"—",IF(_xlfn.MAXIFS(Acuses!$C$5:$C$3004,Acuses!$A$5:$A$3004,$A31,Acuses!$B$5:$B$3004,R$4)&lt;R$5,"Pendiente",IF(R$8=0,"OK",IF(EDATE(_xlfn.MAXIFS(Acuses!$D$5:$D$3004,Acuses!$A$5:$A$3004,$A31,Acuses!$B$5:$B$3004,R$4,Acuses!$C$5:$C$3004,R$5),R$8)&lt;Resumen!$C$4,"Caducado",IF(EDATE(_xlfn.MAXIFS(Acuses!$D$5:$D$3004,Acuses!$A$5:$A$3004,$A31,Acuses!$B$5:$B$3004,R$4,Acuses!$C$5:$C$3004,R$5),R$8)&lt;Resumen!$C$4+30,"Caduca pronto","OK"))))))</f>
        <v/>
      </c>
      <c r="S31" s="26" t="str">
        <f aca="false">IF(OR($A31="",S$4=""),"",IF(NOT(OR(S$6="Toda la plantilla",ISNUMBER(SEARCH(";"&amp;SUBSTITUTE($C31," ","")&amp;";",";"&amp;SUBSTITUTE(S$7," ","")&amp;";")))),"—",IF(_xlfn.MAXIFS(Acuses!$C$5:$C$3004,Acuses!$A$5:$A$3004,$A31,Acuses!$B$5:$B$3004,S$4)&lt;S$5,"Pendiente",IF(S$8=0,"OK",IF(EDATE(_xlfn.MAXIFS(Acuses!$D$5:$D$3004,Acuses!$A$5:$A$3004,$A31,Acuses!$B$5:$B$3004,S$4,Acuses!$C$5:$C$3004,S$5),S$8)&lt;Resumen!$C$4,"Caducado",IF(EDATE(_xlfn.MAXIFS(Acuses!$D$5:$D$3004,Acuses!$A$5:$A$3004,$A31,Acuses!$B$5:$B$3004,S$4,Acuses!$C$5:$C$3004,S$5),S$8)&lt;Resumen!$C$4+30,"Caduca pronto","OK"))))))</f>
        <v/>
      </c>
      <c r="T31" s="26" t="str">
        <f aca="false">IF(OR($A31="",T$4=""),"",IF(NOT(OR(T$6="Toda la plantilla",ISNUMBER(SEARCH(";"&amp;SUBSTITUTE($C31," ","")&amp;";",";"&amp;SUBSTITUTE(T$7," ","")&amp;";")))),"—",IF(_xlfn.MAXIFS(Acuses!$C$5:$C$3004,Acuses!$A$5:$A$3004,$A31,Acuses!$B$5:$B$3004,T$4)&lt;T$5,"Pendiente",IF(T$8=0,"OK",IF(EDATE(_xlfn.MAXIFS(Acuses!$D$5:$D$3004,Acuses!$A$5:$A$3004,$A31,Acuses!$B$5:$B$3004,T$4,Acuses!$C$5:$C$3004,T$5),T$8)&lt;Resumen!$C$4,"Caducado",IF(EDATE(_xlfn.MAXIFS(Acuses!$D$5:$D$3004,Acuses!$A$5:$A$3004,$A31,Acuses!$B$5:$B$3004,T$4,Acuses!$C$5:$C$3004,T$5),T$8)&lt;Resumen!$C$4+30,"Caduca pronto","OK"))))))</f>
        <v/>
      </c>
      <c r="U31" s="26" t="str">
        <f aca="false">IF(OR($A31="",U$4=""),"",IF(NOT(OR(U$6="Toda la plantilla",ISNUMBER(SEARCH(";"&amp;SUBSTITUTE($C31," ","")&amp;";",";"&amp;SUBSTITUTE(U$7," ","")&amp;";")))),"—",IF(_xlfn.MAXIFS(Acuses!$C$5:$C$3004,Acuses!$A$5:$A$3004,$A31,Acuses!$B$5:$B$3004,U$4)&lt;U$5,"Pendiente",IF(U$8=0,"OK",IF(EDATE(_xlfn.MAXIFS(Acuses!$D$5:$D$3004,Acuses!$A$5:$A$3004,$A31,Acuses!$B$5:$B$3004,U$4,Acuses!$C$5:$C$3004,U$5),U$8)&lt;Resumen!$C$4,"Caducado",IF(EDATE(_xlfn.MAXIFS(Acuses!$D$5:$D$3004,Acuses!$A$5:$A$3004,$A31,Acuses!$B$5:$B$3004,U$4,Acuses!$C$5:$C$3004,U$5),U$8)&lt;Resumen!$C$4+30,"Caduca pronto","OK"))))))</f>
        <v/>
      </c>
      <c r="V31" s="26" t="str">
        <f aca="false">IF(OR($A31="",V$4=""),"",IF(NOT(OR(V$6="Toda la plantilla",ISNUMBER(SEARCH(";"&amp;SUBSTITUTE($C31," ","")&amp;";",";"&amp;SUBSTITUTE(V$7," ","")&amp;";")))),"—",IF(_xlfn.MAXIFS(Acuses!$C$5:$C$3004,Acuses!$A$5:$A$3004,$A31,Acuses!$B$5:$B$3004,V$4)&lt;V$5,"Pendiente",IF(V$8=0,"OK",IF(EDATE(_xlfn.MAXIFS(Acuses!$D$5:$D$3004,Acuses!$A$5:$A$3004,$A31,Acuses!$B$5:$B$3004,V$4,Acuses!$C$5:$C$3004,V$5),V$8)&lt;Resumen!$C$4,"Caducado",IF(EDATE(_xlfn.MAXIFS(Acuses!$D$5:$D$3004,Acuses!$A$5:$A$3004,$A31,Acuses!$B$5:$B$3004,V$4,Acuses!$C$5:$C$3004,V$5),V$8)&lt;Resumen!$C$4+30,"Caduca pronto","OK"))))))</f>
        <v/>
      </c>
      <c r="W31" s="26" t="str">
        <f aca="false">IF(OR($A31="",W$4=""),"",IF(NOT(OR(W$6="Toda la plantilla",ISNUMBER(SEARCH(";"&amp;SUBSTITUTE($C31," ","")&amp;";",";"&amp;SUBSTITUTE(W$7," ","")&amp;";")))),"—",IF(_xlfn.MAXIFS(Acuses!$C$5:$C$3004,Acuses!$A$5:$A$3004,$A31,Acuses!$B$5:$B$3004,W$4)&lt;W$5,"Pendiente",IF(W$8=0,"OK",IF(EDATE(_xlfn.MAXIFS(Acuses!$D$5:$D$3004,Acuses!$A$5:$A$3004,$A31,Acuses!$B$5:$B$3004,W$4,Acuses!$C$5:$C$3004,W$5),W$8)&lt;Resumen!$C$4,"Caducado",IF(EDATE(_xlfn.MAXIFS(Acuses!$D$5:$D$3004,Acuses!$A$5:$A$3004,$A31,Acuses!$B$5:$B$3004,W$4,Acuses!$C$5:$C$3004,W$5),W$8)&lt;Resumen!$C$4+30,"Caduca pronto","OK"))))))</f>
        <v/>
      </c>
      <c r="X31" s="26" t="str">
        <f aca="false">IF(OR($A31="",X$4=""),"",IF(NOT(OR(X$6="Toda la plantilla",ISNUMBER(SEARCH(";"&amp;SUBSTITUTE($C31," ","")&amp;";",";"&amp;SUBSTITUTE(X$7," ","")&amp;";")))),"—",IF(_xlfn.MAXIFS(Acuses!$C$5:$C$3004,Acuses!$A$5:$A$3004,$A31,Acuses!$B$5:$B$3004,X$4)&lt;X$5,"Pendiente",IF(X$8=0,"OK",IF(EDATE(_xlfn.MAXIFS(Acuses!$D$5:$D$3004,Acuses!$A$5:$A$3004,$A31,Acuses!$B$5:$B$3004,X$4,Acuses!$C$5:$C$3004,X$5),X$8)&lt;Resumen!$C$4,"Caducado",IF(EDATE(_xlfn.MAXIFS(Acuses!$D$5:$D$3004,Acuses!$A$5:$A$3004,$A31,Acuses!$B$5:$B$3004,X$4,Acuses!$C$5:$C$3004,X$5),X$8)&lt;Resumen!$C$4+30,"Caduca pronto","OK"))))))</f>
        <v/>
      </c>
      <c r="Y31" s="26" t="str">
        <f aca="false">IF(OR($A31="",Y$4=""),"",IF(NOT(OR(Y$6="Toda la plantilla",ISNUMBER(SEARCH(";"&amp;SUBSTITUTE($C31," ","")&amp;";",";"&amp;SUBSTITUTE(Y$7," ","")&amp;";")))),"—",IF(_xlfn.MAXIFS(Acuses!$C$5:$C$3004,Acuses!$A$5:$A$3004,$A31,Acuses!$B$5:$B$3004,Y$4)&lt;Y$5,"Pendiente",IF(Y$8=0,"OK",IF(EDATE(_xlfn.MAXIFS(Acuses!$D$5:$D$3004,Acuses!$A$5:$A$3004,$A31,Acuses!$B$5:$B$3004,Y$4,Acuses!$C$5:$C$3004,Y$5),Y$8)&lt;Resumen!$C$4,"Caducado",IF(EDATE(_xlfn.MAXIFS(Acuses!$D$5:$D$3004,Acuses!$A$5:$A$3004,$A31,Acuses!$B$5:$B$3004,Y$4,Acuses!$C$5:$C$3004,Y$5),Y$8)&lt;Resumen!$C$4+30,"Caduca pronto","OK"))))))</f>
        <v/>
      </c>
      <c r="Z31" s="26" t="str">
        <f aca="false">IF(OR($A31="",Z$4=""),"",IF(NOT(OR(Z$6="Toda la plantilla",ISNUMBER(SEARCH(";"&amp;SUBSTITUTE($C31," ","")&amp;";",";"&amp;SUBSTITUTE(Z$7," ","")&amp;";")))),"—",IF(_xlfn.MAXIFS(Acuses!$C$5:$C$3004,Acuses!$A$5:$A$3004,$A31,Acuses!$B$5:$B$3004,Z$4)&lt;Z$5,"Pendiente",IF(Z$8=0,"OK",IF(EDATE(_xlfn.MAXIFS(Acuses!$D$5:$D$3004,Acuses!$A$5:$A$3004,$A31,Acuses!$B$5:$B$3004,Z$4,Acuses!$C$5:$C$3004,Z$5),Z$8)&lt;Resumen!$C$4,"Caducado",IF(EDATE(_xlfn.MAXIFS(Acuses!$D$5:$D$3004,Acuses!$A$5:$A$3004,$A31,Acuses!$B$5:$B$3004,Z$4,Acuses!$C$5:$C$3004,Z$5),Z$8)&lt;Resumen!$C$4+30,"Caduca pronto","OK"))))))</f>
        <v/>
      </c>
      <c r="AA31" s="26" t="str">
        <f aca="false">IF(OR($A31="",AA$4=""),"",IF(NOT(OR(AA$6="Toda la plantilla",ISNUMBER(SEARCH(";"&amp;SUBSTITUTE($C31," ","")&amp;";",";"&amp;SUBSTITUTE(AA$7," ","")&amp;";")))),"—",IF(_xlfn.MAXIFS(Acuses!$C$5:$C$3004,Acuses!$A$5:$A$3004,$A31,Acuses!$B$5:$B$3004,AA$4)&lt;AA$5,"Pendiente",IF(AA$8=0,"OK",IF(EDATE(_xlfn.MAXIFS(Acuses!$D$5:$D$3004,Acuses!$A$5:$A$3004,$A31,Acuses!$B$5:$B$3004,AA$4,Acuses!$C$5:$C$3004,AA$5),AA$8)&lt;Resumen!$C$4,"Caducado",IF(EDATE(_xlfn.MAXIFS(Acuses!$D$5:$D$3004,Acuses!$A$5:$A$3004,$A31,Acuses!$B$5:$B$3004,AA$4,Acuses!$C$5:$C$3004,AA$5),AA$8)&lt;Resumen!$C$4+30,"Caduca pronto","OK"))))))</f>
        <v/>
      </c>
      <c r="AB31" s="26" t="str">
        <f aca="false">IF(OR($A31="",AB$4=""),"",IF(NOT(OR(AB$6="Toda la plantilla",ISNUMBER(SEARCH(";"&amp;SUBSTITUTE($C31," ","")&amp;";",";"&amp;SUBSTITUTE(AB$7," ","")&amp;";")))),"—",IF(_xlfn.MAXIFS(Acuses!$C$5:$C$3004,Acuses!$A$5:$A$3004,$A31,Acuses!$B$5:$B$3004,AB$4)&lt;AB$5,"Pendiente",IF(AB$8=0,"OK",IF(EDATE(_xlfn.MAXIFS(Acuses!$D$5:$D$3004,Acuses!$A$5:$A$3004,$A31,Acuses!$B$5:$B$3004,AB$4,Acuses!$C$5:$C$3004,AB$5),AB$8)&lt;Resumen!$C$4,"Caducado",IF(EDATE(_xlfn.MAXIFS(Acuses!$D$5:$D$3004,Acuses!$A$5:$A$3004,$A31,Acuses!$B$5:$B$3004,AB$4,Acuses!$C$5:$C$3004,AB$5),AB$8)&lt;Resumen!$C$4+30,"Caduca pronto","OK"))))))</f>
        <v/>
      </c>
      <c r="AC31" s="26" t="str">
        <f aca="false">IF(OR($A31="",AC$4=""),"",IF(NOT(OR(AC$6="Toda la plantilla",ISNUMBER(SEARCH(";"&amp;SUBSTITUTE($C31," ","")&amp;";",";"&amp;SUBSTITUTE(AC$7," ","")&amp;";")))),"—",IF(_xlfn.MAXIFS(Acuses!$C$5:$C$3004,Acuses!$A$5:$A$3004,$A31,Acuses!$B$5:$B$3004,AC$4)&lt;AC$5,"Pendiente",IF(AC$8=0,"OK",IF(EDATE(_xlfn.MAXIFS(Acuses!$D$5:$D$3004,Acuses!$A$5:$A$3004,$A31,Acuses!$B$5:$B$3004,AC$4,Acuses!$C$5:$C$3004,AC$5),AC$8)&lt;Resumen!$C$4,"Caducado",IF(EDATE(_xlfn.MAXIFS(Acuses!$D$5:$D$3004,Acuses!$A$5:$A$3004,$A31,Acuses!$B$5:$B$3004,AC$4,Acuses!$C$5:$C$3004,AC$5),AC$8)&lt;Resumen!$C$4+30,"Caduca pronto","OK"))))))</f>
        <v/>
      </c>
      <c r="AD31" s="26" t="str">
        <f aca="false">IF(OR($A31="",AD$4=""),"",IF(NOT(OR(AD$6="Toda la plantilla",ISNUMBER(SEARCH(";"&amp;SUBSTITUTE($C31," ","")&amp;";",";"&amp;SUBSTITUTE(AD$7," ","")&amp;";")))),"—",IF(_xlfn.MAXIFS(Acuses!$C$5:$C$3004,Acuses!$A$5:$A$3004,$A31,Acuses!$B$5:$B$3004,AD$4)&lt;AD$5,"Pendiente",IF(AD$8=0,"OK",IF(EDATE(_xlfn.MAXIFS(Acuses!$D$5:$D$3004,Acuses!$A$5:$A$3004,$A31,Acuses!$B$5:$B$3004,AD$4,Acuses!$C$5:$C$3004,AD$5),AD$8)&lt;Resumen!$C$4,"Caducado",IF(EDATE(_xlfn.MAXIFS(Acuses!$D$5:$D$3004,Acuses!$A$5:$A$3004,$A31,Acuses!$B$5:$B$3004,AD$4,Acuses!$C$5:$C$3004,AD$5),AD$8)&lt;Resumen!$C$4+30,"Caduca pronto","OK"))))))</f>
        <v/>
      </c>
      <c r="AE31" s="26" t="str">
        <f aca="false">IF(OR($A31="",AE$4=""),"",IF(NOT(OR(AE$6="Toda la plantilla",ISNUMBER(SEARCH(";"&amp;SUBSTITUTE($C31," ","")&amp;";",";"&amp;SUBSTITUTE(AE$7," ","")&amp;";")))),"—",IF(_xlfn.MAXIFS(Acuses!$C$5:$C$3004,Acuses!$A$5:$A$3004,$A31,Acuses!$B$5:$B$3004,AE$4)&lt;AE$5,"Pendiente",IF(AE$8=0,"OK",IF(EDATE(_xlfn.MAXIFS(Acuses!$D$5:$D$3004,Acuses!$A$5:$A$3004,$A31,Acuses!$B$5:$B$3004,AE$4,Acuses!$C$5:$C$3004,AE$5),AE$8)&lt;Resumen!$C$4,"Caducado",IF(EDATE(_xlfn.MAXIFS(Acuses!$D$5:$D$3004,Acuses!$A$5:$A$3004,$A31,Acuses!$B$5:$B$3004,AE$4,Acuses!$C$5:$C$3004,AE$5),AE$8)&lt;Resumen!$C$4+30,"Caduca pronto","OK"))))))</f>
        <v/>
      </c>
      <c r="AF31" s="26" t="str">
        <f aca="false">IF(OR($A31="",AF$4=""),"",IF(NOT(OR(AF$6="Toda la plantilla",ISNUMBER(SEARCH(";"&amp;SUBSTITUTE($C31," ","")&amp;";",";"&amp;SUBSTITUTE(AF$7," ","")&amp;";")))),"—",IF(_xlfn.MAXIFS(Acuses!$C$5:$C$3004,Acuses!$A$5:$A$3004,$A31,Acuses!$B$5:$B$3004,AF$4)&lt;AF$5,"Pendiente",IF(AF$8=0,"OK",IF(EDATE(_xlfn.MAXIFS(Acuses!$D$5:$D$3004,Acuses!$A$5:$A$3004,$A31,Acuses!$B$5:$B$3004,AF$4,Acuses!$C$5:$C$3004,AF$5),AF$8)&lt;Resumen!$C$4,"Caducado",IF(EDATE(_xlfn.MAXIFS(Acuses!$D$5:$D$3004,Acuses!$A$5:$A$3004,$A31,Acuses!$B$5:$B$3004,AF$4,Acuses!$C$5:$C$3004,AF$5),AF$8)&lt;Resumen!$C$4+30,"Caduca pronto","OK"))))))</f>
        <v/>
      </c>
      <c r="AG31" s="26" t="str">
        <f aca="false">IF(OR($A31="",AG$4=""),"",IF(NOT(OR(AG$6="Toda la plantilla",ISNUMBER(SEARCH(";"&amp;SUBSTITUTE($C31," ","")&amp;";",";"&amp;SUBSTITUTE(AG$7," ","")&amp;";")))),"—",IF(_xlfn.MAXIFS(Acuses!$C$5:$C$3004,Acuses!$A$5:$A$3004,$A31,Acuses!$B$5:$B$3004,AG$4)&lt;AG$5,"Pendiente",IF(AG$8=0,"OK",IF(EDATE(_xlfn.MAXIFS(Acuses!$D$5:$D$3004,Acuses!$A$5:$A$3004,$A31,Acuses!$B$5:$B$3004,AG$4,Acuses!$C$5:$C$3004,AG$5),AG$8)&lt;Resumen!$C$4,"Caducado",IF(EDATE(_xlfn.MAXIFS(Acuses!$D$5:$D$3004,Acuses!$A$5:$A$3004,$A31,Acuses!$B$5:$B$3004,AG$4,Acuses!$C$5:$C$3004,AG$5),AG$8)&lt;Resumen!$C$4+30,"Caduca pronto","OK"))))))</f>
        <v/>
      </c>
      <c r="AH31" s="26" t="str">
        <f aca="false">IF(OR($A31="",AH$4=""),"",IF(NOT(OR(AH$6="Toda la plantilla",ISNUMBER(SEARCH(";"&amp;SUBSTITUTE($C31," ","")&amp;";",";"&amp;SUBSTITUTE(AH$7," ","")&amp;";")))),"—",IF(_xlfn.MAXIFS(Acuses!$C$5:$C$3004,Acuses!$A$5:$A$3004,$A31,Acuses!$B$5:$B$3004,AH$4)&lt;AH$5,"Pendiente",IF(AH$8=0,"OK",IF(EDATE(_xlfn.MAXIFS(Acuses!$D$5:$D$3004,Acuses!$A$5:$A$3004,$A31,Acuses!$B$5:$B$3004,AH$4,Acuses!$C$5:$C$3004,AH$5),AH$8)&lt;Resumen!$C$4,"Caducado",IF(EDATE(_xlfn.MAXIFS(Acuses!$D$5:$D$3004,Acuses!$A$5:$A$3004,$A31,Acuses!$B$5:$B$3004,AH$4,Acuses!$C$5:$C$3004,AH$5),AH$8)&lt;Resumen!$C$4+30,"Caduca pronto","OK"))))))</f>
        <v/>
      </c>
      <c r="AI31" s="26" t="str">
        <f aca="false">IF(OR($A31="",AI$4=""),"",IF(NOT(OR(AI$6="Toda la plantilla",ISNUMBER(SEARCH(";"&amp;SUBSTITUTE($C31," ","")&amp;";",";"&amp;SUBSTITUTE(AI$7," ","")&amp;";")))),"—",IF(_xlfn.MAXIFS(Acuses!$C$5:$C$3004,Acuses!$A$5:$A$3004,$A31,Acuses!$B$5:$B$3004,AI$4)&lt;AI$5,"Pendiente",IF(AI$8=0,"OK",IF(EDATE(_xlfn.MAXIFS(Acuses!$D$5:$D$3004,Acuses!$A$5:$A$3004,$A31,Acuses!$B$5:$B$3004,AI$4,Acuses!$C$5:$C$3004,AI$5),AI$8)&lt;Resumen!$C$4,"Caducado",IF(EDATE(_xlfn.MAXIFS(Acuses!$D$5:$D$3004,Acuses!$A$5:$A$3004,$A31,Acuses!$B$5:$B$3004,AI$4,Acuses!$C$5:$C$3004,AI$5),AI$8)&lt;Resumen!$C$4+30,"Caduca pronto","OK"))))))</f>
        <v/>
      </c>
      <c r="AJ31" s="26" t="str">
        <f aca="false">IF(OR($A31="",AJ$4=""),"",IF(NOT(OR(AJ$6="Toda la plantilla",ISNUMBER(SEARCH(";"&amp;SUBSTITUTE($C31," ","")&amp;";",";"&amp;SUBSTITUTE(AJ$7," ","")&amp;";")))),"—",IF(_xlfn.MAXIFS(Acuses!$C$5:$C$3004,Acuses!$A$5:$A$3004,$A31,Acuses!$B$5:$B$3004,AJ$4)&lt;AJ$5,"Pendiente",IF(AJ$8=0,"OK",IF(EDATE(_xlfn.MAXIFS(Acuses!$D$5:$D$3004,Acuses!$A$5:$A$3004,$A31,Acuses!$B$5:$B$3004,AJ$4,Acuses!$C$5:$C$3004,AJ$5),AJ$8)&lt;Resumen!$C$4,"Caducado",IF(EDATE(_xlfn.MAXIFS(Acuses!$D$5:$D$3004,Acuses!$A$5:$A$3004,$A31,Acuses!$B$5:$B$3004,AJ$4,Acuses!$C$5:$C$3004,AJ$5),AJ$8)&lt;Resumen!$C$4+30,"Caduca pronto","OK"))))))</f>
        <v/>
      </c>
      <c r="AK31" s="26" t="str">
        <f aca="false">IF(OR($A31="",AK$4=""),"",IF(NOT(OR(AK$6="Toda la plantilla",ISNUMBER(SEARCH(";"&amp;SUBSTITUTE($C31," ","")&amp;";",";"&amp;SUBSTITUTE(AK$7," ","")&amp;";")))),"—",IF(_xlfn.MAXIFS(Acuses!$C$5:$C$3004,Acuses!$A$5:$A$3004,$A31,Acuses!$B$5:$B$3004,AK$4)&lt;AK$5,"Pendiente",IF(AK$8=0,"OK",IF(EDATE(_xlfn.MAXIFS(Acuses!$D$5:$D$3004,Acuses!$A$5:$A$3004,$A31,Acuses!$B$5:$B$3004,AK$4,Acuses!$C$5:$C$3004,AK$5),AK$8)&lt;Resumen!$C$4,"Caducado",IF(EDATE(_xlfn.MAXIFS(Acuses!$D$5:$D$3004,Acuses!$A$5:$A$3004,$A31,Acuses!$B$5:$B$3004,AK$4,Acuses!$C$5:$C$3004,AK$5),AK$8)&lt;Resumen!$C$4+30,"Caduca pronto","OK"))))))</f>
        <v/>
      </c>
      <c r="AL31" s="26" t="str">
        <f aca="false">IF(OR($A31="",AL$4=""),"",IF(NOT(OR(AL$6="Toda la plantilla",ISNUMBER(SEARCH(";"&amp;SUBSTITUTE($C31," ","")&amp;";",";"&amp;SUBSTITUTE(AL$7," ","")&amp;";")))),"—",IF(_xlfn.MAXIFS(Acuses!$C$5:$C$3004,Acuses!$A$5:$A$3004,$A31,Acuses!$B$5:$B$3004,AL$4)&lt;AL$5,"Pendiente",IF(AL$8=0,"OK",IF(EDATE(_xlfn.MAXIFS(Acuses!$D$5:$D$3004,Acuses!$A$5:$A$3004,$A31,Acuses!$B$5:$B$3004,AL$4,Acuses!$C$5:$C$3004,AL$5),AL$8)&lt;Resumen!$C$4,"Caducado",IF(EDATE(_xlfn.MAXIFS(Acuses!$D$5:$D$3004,Acuses!$A$5:$A$3004,$A31,Acuses!$B$5:$B$3004,AL$4,Acuses!$C$5:$C$3004,AL$5),AL$8)&lt;Resumen!$C$4+30,"Caduca pronto","OK"))))))</f>
        <v/>
      </c>
      <c r="AM31" s="26" t="str">
        <f aca="false">IF(OR($A31="",AM$4=""),"",IF(NOT(OR(AM$6="Toda la plantilla",ISNUMBER(SEARCH(";"&amp;SUBSTITUTE($C31," ","")&amp;";",";"&amp;SUBSTITUTE(AM$7," ","")&amp;";")))),"—",IF(_xlfn.MAXIFS(Acuses!$C$5:$C$3004,Acuses!$A$5:$A$3004,$A31,Acuses!$B$5:$B$3004,AM$4)&lt;AM$5,"Pendiente",IF(AM$8=0,"OK",IF(EDATE(_xlfn.MAXIFS(Acuses!$D$5:$D$3004,Acuses!$A$5:$A$3004,$A31,Acuses!$B$5:$B$3004,AM$4,Acuses!$C$5:$C$3004,AM$5),AM$8)&lt;Resumen!$C$4,"Caducado",IF(EDATE(_xlfn.MAXIFS(Acuses!$D$5:$D$3004,Acuses!$A$5:$A$3004,$A31,Acuses!$B$5:$B$3004,AM$4,Acuses!$C$5:$C$3004,AM$5),AM$8)&lt;Resumen!$C$4+30,"Caduca pronto","OK"))))))</f>
        <v/>
      </c>
      <c r="AN31" s="26" t="str">
        <f aca="false">IF(OR($A31="",AN$4=""),"",IF(NOT(OR(AN$6="Toda la plantilla",ISNUMBER(SEARCH(";"&amp;SUBSTITUTE($C31," ","")&amp;";",";"&amp;SUBSTITUTE(AN$7," ","")&amp;";")))),"—",IF(_xlfn.MAXIFS(Acuses!$C$5:$C$3004,Acuses!$A$5:$A$3004,$A31,Acuses!$B$5:$B$3004,AN$4)&lt;AN$5,"Pendiente",IF(AN$8=0,"OK",IF(EDATE(_xlfn.MAXIFS(Acuses!$D$5:$D$3004,Acuses!$A$5:$A$3004,$A31,Acuses!$B$5:$B$3004,AN$4,Acuses!$C$5:$C$3004,AN$5),AN$8)&lt;Resumen!$C$4,"Caducado",IF(EDATE(_xlfn.MAXIFS(Acuses!$D$5:$D$3004,Acuses!$A$5:$A$3004,$A31,Acuses!$B$5:$B$3004,AN$4,Acuses!$C$5:$C$3004,AN$5),AN$8)&lt;Resumen!$C$4+30,"Caduca pronto","OK"))))))</f>
        <v/>
      </c>
      <c r="AO31" s="26" t="str">
        <f aca="false">IF(OR($A31="",AO$4=""),"",IF(NOT(OR(AO$6="Toda la plantilla",ISNUMBER(SEARCH(";"&amp;SUBSTITUTE($C31," ","")&amp;";",";"&amp;SUBSTITUTE(AO$7," ","")&amp;";")))),"—",IF(_xlfn.MAXIFS(Acuses!$C$5:$C$3004,Acuses!$A$5:$A$3004,$A31,Acuses!$B$5:$B$3004,AO$4)&lt;AO$5,"Pendiente",IF(AO$8=0,"OK",IF(EDATE(_xlfn.MAXIFS(Acuses!$D$5:$D$3004,Acuses!$A$5:$A$3004,$A31,Acuses!$B$5:$B$3004,AO$4,Acuses!$C$5:$C$3004,AO$5),AO$8)&lt;Resumen!$C$4,"Caducado",IF(EDATE(_xlfn.MAXIFS(Acuses!$D$5:$D$3004,Acuses!$A$5:$A$3004,$A31,Acuses!$B$5:$B$3004,AO$4,Acuses!$C$5:$C$3004,AO$5),AO$8)&lt;Resumen!$C$4+30,"Caduca pronto","OK"))))))</f>
        <v/>
      </c>
      <c r="AP31" s="26" t="str">
        <f aca="false">IF(OR($A31="",AP$4=""),"",IF(NOT(OR(AP$6="Toda la plantilla",ISNUMBER(SEARCH(";"&amp;SUBSTITUTE($C31," ","")&amp;";",";"&amp;SUBSTITUTE(AP$7," ","")&amp;";")))),"—",IF(_xlfn.MAXIFS(Acuses!$C$5:$C$3004,Acuses!$A$5:$A$3004,$A31,Acuses!$B$5:$B$3004,AP$4)&lt;AP$5,"Pendiente",IF(AP$8=0,"OK",IF(EDATE(_xlfn.MAXIFS(Acuses!$D$5:$D$3004,Acuses!$A$5:$A$3004,$A31,Acuses!$B$5:$B$3004,AP$4,Acuses!$C$5:$C$3004,AP$5),AP$8)&lt;Resumen!$C$4,"Caducado",IF(EDATE(_xlfn.MAXIFS(Acuses!$D$5:$D$3004,Acuses!$A$5:$A$3004,$A31,Acuses!$B$5:$B$3004,AP$4,Acuses!$C$5:$C$3004,AP$5),AP$8)&lt;Resumen!$C$4+30,"Caduca pronto","OK"))))))</f>
        <v/>
      </c>
      <c r="AQ31" s="26" t="str">
        <f aca="false">IF(OR($A31="",AQ$4=""),"",IF(NOT(OR(AQ$6="Toda la plantilla",ISNUMBER(SEARCH(";"&amp;SUBSTITUTE($C31," ","")&amp;";",";"&amp;SUBSTITUTE(AQ$7," ","")&amp;";")))),"—",IF(_xlfn.MAXIFS(Acuses!$C$5:$C$3004,Acuses!$A$5:$A$3004,$A31,Acuses!$B$5:$B$3004,AQ$4)&lt;AQ$5,"Pendiente",IF(AQ$8=0,"OK",IF(EDATE(_xlfn.MAXIFS(Acuses!$D$5:$D$3004,Acuses!$A$5:$A$3004,$A31,Acuses!$B$5:$B$3004,AQ$4,Acuses!$C$5:$C$3004,AQ$5),AQ$8)&lt;Resumen!$C$4,"Caducado",IF(EDATE(_xlfn.MAXIFS(Acuses!$D$5:$D$3004,Acuses!$A$5:$A$3004,$A31,Acuses!$B$5:$B$3004,AQ$4,Acuses!$C$5:$C$3004,AQ$5),AQ$8)&lt;Resumen!$C$4+30,"Caduca pronto","OK"))))))</f>
        <v/>
      </c>
    </row>
    <row r="32" customFormat="false" ht="15" hidden="false" customHeight="false" outlineLevel="0" collapsed="false">
      <c r="A32" s="25" t="str">
        <f aca="false">IF(AND(Trabajadores!$A$27&lt;&gt;"",Trabajadores!$G$27&lt;&gt;"No"),Trabajadores!$A$27,"")</f>
        <v/>
      </c>
      <c r="B32" s="25" t="str">
        <f aca="false">IF($A32="","",Trabajadores!$B$27)</f>
        <v/>
      </c>
      <c r="C32" s="25" t="str">
        <f aca="false">IF($A32="","",Trabajadores!$C$27)</f>
        <v/>
      </c>
      <c r="D32" s="26" t="str">
        <f aca="false">IF(OR($A32="",D$4=""),"",IF(NOT(OR(D$6="Toda la plantilla",ISNUMBER(SEARCH(";"&amp;SUBSTITUTE($C32," ","")&amp;";",";"&amp;SUBSTITUTE(D$7," ","")&amp;";")))),"—",IF(_xlfn.MAXIFS(Acuses!$C$5:$C$3004,Acuses!$A$5:$A$3004,$A32,Acuses!$B$5:$B$3004,D$4)&lt;D$5,"Pendiente",IF(D$8=0,"OK",IF(EDATE(_xlfn.MAXIFS(Acuses!$D$5:$D$3004,Acuses!$A$5:$A$3004,$A32,Acuses!$B$5:$B$3004,D$4,Acuses!$C$5:$C$3004,D$5),D$8)&lt;Resumen!$C$4,"Caducado",IF(EDATE(_xlfn.MAXIFS(Acuses!$D$5:$D$3004,Acuses!$A$5:$A$3004,$A32,Acuses!$B$5:$B$3004,D$4,Acuses!$C$5:$C$3004,D$5),D$8)&lt;Resumen!$C$4+30,"Caduca pronto","OK"))))))</f>
        <v/>
      </c>
      <c r="E32" s="26" t="str">
        <f aca="false">IF(OR($A32="",E$4=""),"",IF(NOT(OR(E$6="Toda la plantilla",ISNUMBER(SEARCH(";"&amp;SUBSTITUTE($C32," ","")&amp;";",";"&amp;SUBSTITUTE(E$7," ","")&amp;";")))),"—",IF(_xlfn.MAXIFS(Acuses!$C$5:$C$3004,Acuses!$A$5:$A$3004,$A32,Acuses!$B$5:$B$3004,E$4)&lt;E$5,"Pendiente",IF(E$8=0,"OK",IF(EDATE(_xlfn.MAXIFS(Acuses!$D$5:$D$3004,Acuses!$A$5:$A$3004,$A32,Acuses!$B$5:$B$3004,E$4,Acuses!$C$5:$C$3004,E$5),E$8)&lt;Resumen!$C$4,"Caducado",IF(EDATE(_xlfn.MAXIFS(Acuses!$D$5:$D$3004,Acuses!$A$5:$A$3004,$A32,Acuses!$B$5:$B$3004,E$4,Acuses!$C$5:$C$3004,E$5),E$8)&lt;Resumen!$C$4+30,"Caduca pronto","OK"))))))</f>
        <v/>
      </c>
      <c r="F32" s="26" t="str">
        <f aca="false">IF(OR($A32="",F$4=""),"",IF(NOT(OR(F$6="Toda la plantilla",ISNUMBER(SEARCH(";"&amp;SUBSTITUTE($C32," ","")&amp;";",";"&amp;SUBSTITUTE(F$7," ","")&amp;";")))),"—",IF(_xlfn.MAXIFS(Acuses!$C$5:$C$3004,Acuses!$A$5:$A$3004,$A32,Acuses!$B$5:$B$3004,F$4)&lt;F$5,"Pendiente",IF(F$8=0,"OK",IF(EDATE(_xlfn.MAXIFS(Acuses!$D$5:$D$3004,Acuses!$A$5:$A$3004,$A32,Acuses!$B$5:$B$3004,F$4,Acuses!$C$5:$C$3004,F$5),F$8)&lt;Resumen!$C$4,"Caducado",IF(EDATE(_xlfn.MAXIFS(Acuses!$D$5:$D$3004,Acuses!$A$5:$A$3004,$A32,Acuses!$B$5:$B$3004,F$4,Acuses!$C$5:$C$3004,F$5),F$8)&lt;Resumen!$C$4+30,"Caduca pronto","OK"))))))</f>
        <v/>
      </c>
      <c r="G32" s="26" t="str">
        <f aca="false">IF(OR($A32="",G$4=""),"",IF(NOT(OR(G$6="Toda la plantilla",ISNUMBER(SEARCH(";"&amp;SUBSTITUTE($C32," ","")&amp;";",";"&amp;SUBSTITUTE(G$7," ","")&amp;";")))),"—",IF(_xlfn.MAXIFS(Acuses!$C$5:$C$3004,Acuses!$A$5:$A$3004,$A32,Acuses!$B$5:$B$3004,G$4)&lt;G$5,"Pendiente",IF(G$8=0,"OK",IF(EDATE(_xlfn.MAXIFS(Acuses!$D$5:$D$3004,Acuses!$A$5:$A$3004,$A32,Acuses!$B$5:$B$3004,G$4,Acuses!$C$5:$C$3004,G$5),G$8)&lt;Resumen!$C$4,"Caducado",IF(EDATE(_xlfn.MAXIFS(Acuses!$D$5:$D$3004,Acuses!$A$5:$A$3004,$A32,Acuses!$B$5:$B$3004,G$4,Acuses!$C$5:$C$3004,G$5),G$8)&lt;Resumen!$C$4+30,"Caduca pronto","OK"))))))</f>
        <v/>
      </c>
      <c r="H32" s="26" t="str">
        <f aca="false">IF(OR($A32="",H$4=""),"",IF(NOT(OR(H$6="Toda la plantilla",ISNUMBER(SEARCH(";"&amp;SUBSTITUTE($C32," ","")&amp;";",";"&amp;SUBSTITUTE(H$7," ","")&amp;";")))),"—",IF(_xlfn.MAXIFS(Acuses!$C$5:$C$3004,Acuses!$A$5:$A$3004,$A32,Acuses!$B$5:$B$3004,H$4)&lt;H$5,"Pendiente",IF(H$8=0,"OK",IF(EDATE(_xlfn.MAXIFS(Acuses!$D$5:$D$3004,Acuses!$A$5:$A$3004,$A32,Acuses!$B$5:$B$3004,H$4,Acuses!$C$5:$C$3004,H$5),H$8)&lt;Resumen!$C$4,"Caducado",IF(EDATE(_xlfn.MAXIFS(Acuses!$D$5:$D$3004,Acuses!$A$5:$A$3004,$A32,Acuses!$B$5:$B$3004,H$4,Acuses!$C$5:$C$3004,H$5),H$8)&lt;Resumen!$C$4+30,"Caduca pronto","OK"))))))</f>
        <v/>
      </c>
      <c r="I32" s="26" t="str">
        <f aca="false">IF(OR($A32="",I$4=""),"",IF(NOT(OR(I$6="Toda la plantilla",ISNUMBER(SEARCH(";"&amp;SUBSTITUTE($C32," ","")&amp;";",";"&amp;SUBSTITUTE(I$7," ","")&amp;";")))),"—",IF(_xlfn.MAXIFS(Acuses!$C$5:$C$3004,Acuses!$A$5:$A$3004,$A32,Acuses!$B$5:$B$3004,I$4)&lt;I$5,"Pendiente",IF(I$8=0,"OK",IF(EDATE(_xlfn.MAXIFS(Acuses!$D$5:$D$3004,Acuses!$A$5:$A$3004,$A32,Acuses!$B$5:$B$3004,I$4,Acuses!$C$5:$C$3004,I$5),I$8)&lt;Resumen!$C$4,"Caducado",IF(EDATE(_xlfn.MAXIFS(Acuses!$D$5:$D$3004,Acuses!$A$5:$A$3004,$A32,Acuses!$B$5:$B$3004,I$4,Acuses!$C$5:$C$3004,I$5),I$8)&lt;Resumen!$C$4+30,"Caduca pronto","OK"))))))</f>
        <v/>
      </c>
      <c r="J32" s="26" t="str">
        <f aca="false">IF(OR($A32="",J$4=""),"",IF(NOT(OR(J$6="Toda la plantilla",ISNUMBER(SEARCH(";"&amp;SUBSTITUTE($C32," ","")&amp;";",";"&amp;SUBSTITUTE(J$7," ","")&amp;";")))),"—",IF(_xlfn.MAXIFS(Acuses!$C$5:$C$3004,Acuses!$A$5:$A$3004,$A32,Acuses!$B$5:$B$3004,J$4)&lt;J$5,"Pendiente",IF(J$8=0,"OK",IF(EDATE(_xlfn.MAXIFS(Acuses!$D$5:$D$3004,Acuses!$A$5:$A$3004,$A32,Acuses!$B$5:$B$3004,J$4,Acuses!$C$5:$C$3004,J$5),J$8)&lt;Resumen!$C$4,"Caducado",IF(EDATE(_xlfn.MAXIFS(Acuses!$D$5:$D$3004,Acuses!$A$5:$A$3004,$A32,Acuses!$B$5:$B$3004,J$4,Acuses!$C$5:$C$3004,J$5),J$8)&lt;Resumen!$C$4+30,"Caduca pronto","OK"))))))</f>
        <v/>
      </c>
      <c r="K32" s="26" t="str">
        <f aca="false">IF(OR($A32="",K$4=""),"",IF(NOT(OR(K$6="Toda la plantilla",ISNUMBER(SEARCH(";"&amp;SUBSTITUTE($C32," ","")&amp;";",";"&amp;SUBSTITUTE(K$7," ","")&amp;";")))),"—",IF(_xlfn.MAXIFS(Acuses!$C$5:$C$3004,Acuses!$A$5:$A$3004,$A32,Acuses!$B$5:$B$3004,K$4)&lt;K$5,"Pendiente",IF(K$8=0,"OK",IF(EDATE(_xlfn.MAXIFS(Acuses!$D$5:$D$3004,Acuses!$A$5:$A$3004,$A32,Acuses!$B$5:$B$3004,K$4,Acuses!$C$5:$C$3004,K$5),K$8)&lt;Resumen!$C$4,"Caducado",IF(EDATE(_xlfn.MAXIFS(Acuses!$D$5:$D$3004,Acuses!$A$5:$A$3004,$A32,Acuses!$B$5:$B$3004,K$4,Acuses!$C$5:$C$3004,K$5),K$8)&lt;Resumen!$C$4+30,"Caduca pronto","OK"))))))</f>
        <v/>
      </c>
      <c r="L32" s="26" t="str">
        <f aca="false">IF(OR($A32="",L$4=""),"",IF(NOT(OR(L$6="Toda la plantilla",ISNUMBER(SEARCH(";"&amp;SUBSTITUTE($C32," ","")&amp;";",";"&amp;SUBSTITUTE(L$7," ","")&amp;";")))),"—",IF(_xlfn.MAXIFS(Acuses!$C$5:$C$3004,Acuses!$A$5:$A$3004,$A32,Acuses!$B$5:$B$3004,L$4)&lt;L$5,"Pendiente",IF(L$8=0,"OK",IF(EDATE(_xlfn.MAXIFS(Acuses!$D$5:$D$3004,Acuses!$A$5:$A$3004,$A32,Acuses!$B$5:$B$3004,L$4,Acuses!$C$5:$C$3004,L$5),L$8)&lt;Resumen!$C$4,"Caducado",IF(EDATE(_xlfn.MAXIFS(Acuses!$D$5:$D$3004,Acuses!$A$5:$A$3004,$A32,Acuses!$B$5:$B$3004,L$4,Acuses!$C$5:$C$3004,L$5),L$8)&lt;Resumen!$C$4+30,"Caduca pronto","OK"))))))</f>
        <v/>
      </c>
      <c r="M32" s="26" t="str">
        <f aca="false">IF(OR($A32="",M$4=""),"",IF(NOT(OR(M$6="Toda la plantilla",ISNUMBER(SEARCH(";"&amp;SUBSTITUTE($C32," ","")&amp;";",";"&amp;SUBSTITUTE(M$7," ","")&amp;";")))),"—",IF(_xlfn.MAXIFS(Acuses!$C$5:$C$3004,Acuses!$A$5:$A$3004,$A32,Acuses!$B$5:$B$3004,M$4)&lt;M$5,"Pendiente",IF(M$8=0,"OK",IF(EDATE(_xlfn.MAXIFS(Acuses!$D$5:$D$3004,Acuses!$A$5:$A$3004,$A32,Acuses!$B$5:$B$3004,M$4,Acuses!$C$5:$C$3004,M$5),M$8)&lt;Resumen!$C$4,"Caducado",IF(EDATE(_xlfn.MAXIFS(Acuses!$D$5:$D$3004,Acuses!$A$5:$A$3004,$A32,Acuses!$B$5:$B$3004,M$4,Acuses!$C$5:$C$3004,M$5),M$8)&lt;Resumen!$C$4+30,"Caduca pronto","OK"))))))</f>
        <v/>
      </c>
      <c r="N32" s="26" t="str">
        <f aca="false">IF(OR($A32="",N$4=""),"",IF(NOT(OR(N$6="Toda la plantilla",ISNUMBER(SEARCH(";"&amp;SUBSTITUTE($C32," ","")&amp;";",";"&amp;SUBSTITUTE(N$7," ","")&amp;";")))),"—",IF(_xlfn.MAXIFS(Acuses!$C$5:$C$3004,Acuses!$A$5:$A$3004,$A32,Acuses!$B$5:$B$3004,N$4)&lt;N$5,"Pendiente",IF(N$8=0,"OK",IF(EDATE(_xlfn.MAXIFS(Acuses!$D$5:$D$3004,Acuses!$A$5:$A$3004,$A32,Acuses!$B$5:$B$3004,N$4,Acuses!$C$5:$C$3004,N$5),N$8)&lt;Resumen!$C$4,"Caducado",IF(EDATE(_xlfn.MAXIFS(Acuses!$D$5:$D$3004,Acuses!$A$5:$A$3004,$A32,Acuses!$B$5:$B$3004,N$4,Acuses!$C$5:$C$3004,N$5),N$8)&lt;Resumen!$C$4+30,"Caduca pronto","OK"))))))</f>
        <v/>
      </c>
      <c r="O32" s="26" t="str">
        <f aca="false">IF(OR($A32="",O$4=""),"",IF(NOT(OR(O$6="Toda la plantilla",ISNUMBER(SEARCH(";"&amp;SUBSTITUTE($C32," ","")&amp;";",";"&amp;SUBSTITUTE(O$7," ","")&amp;";")))),"—",IF(_xlfn.MAXIFS(Acuses!$C$5:$C$3004,Acuses!$A$5:$A$3004,$A32,Acuses!$B$5:$B$3004,O$4)&lt;O$5,"Pendiente",IF(O$8=0,"OK",IF(EDATE(_xlfn.MAXIFS(Acuses!$D$5:$D$3004,Acuses!$A$5:$A$3004,$A32,Acuses!$B$5:$B$3004,O$4,Acuses!$C$5:$C$3004,O$5),O$8)&lt;Resumen!$C$4,"Caducado",IF(EDATE(_xlfn.MAXIFS(Acuses!$D$5:$D$3004,Acuses!$A$5:$A$3004,$A32,Acuses!$B$5:$B$3004,O$4,Acuses!$C$5:$C$3004,O$5),O$8)&lt;Resumen!$C$4+30,"Caduca pronto","OK"))))))</f>
        <v/>
      </c>
      <c r="P32" s="26" t="str">
        <f aca="false">IF(OR($A32="",P$4=""),"",IF(NOT(OR(P$6="Toda la plantilla",ISNUMBER(SEARCH(";"&amp;SUBSTITUTE($C32," ","")&amp;";",";"&amp;SUBSTITUTE(P$7," ","")&amp;";")))),"—",IF(_xlfn.MAXIFS(Acuses!$C$5:$C$3004,Acuses!$A$5:$A$3004,$A32,Acuses!$B$5:$B$3004,P$4)&lt;P$5,"Pendiente",IF(P$8=0,"OK",IF(EDATE(_xlfn.MAXIFS(Acuses!$D$5:$D$3004,Acuses!$A$5:$A$3004,$A32,Acuses!$B$5:$B$3004,P$4,Acuses!$C$5:$C$3004,P$5),P$8)&lt;Resumen!$C$4,"Caducado",IF(EDATE(_xlfn.MAXIFS(Acuses!$D$5:$D$3004,Acuses!$A$5:$A$3004,$A32,Acuses!$B$5:$B$3004,P$4,Acuses!$C$5:$C$3004,P$5),P$8)&lt;Resumen!$C$4+30,"Caduca pronto","OK"))))))</f>
        <v/>
      </c>
      <c r="Q32" s="26" t="str">
        <f aca="false">IF(OR($A32="",Q$4=""),"",IF(NOT(OR(Q$6="Toda la plantilla",ISNUMBER(SEARCH(";"&amp;SUBSTITUTE($C32," ","")&amp;";",";"&amp;SUBSTITUTE(Q$7," ","")&amp;";")))),"—",IF(_xlfn.MAXIFS(Acuses!$C$5:$C$3004,Acuses!$A$5:$A$3004,$A32,Acuses!$B$5:$B$3004,Q$4)&lt;Q$5,"Pendiente",IF(Q$8=0,"OK",IF(EDATE(_xlfn.MAXIFS(Acuses!$D$5:$D$3004,Acuses!$A$5:$A$3004,$A32,Acuses!$B$5:$B$3004,Q$4,Acuses!$C$5:$C$3004,Q$5),Q$8)&lt;Resumen!$C$4,"Caducado",IF(EDATE(_xlfn.MAXIFS(Acuses!$D$5:$D$3004,Acuses!$A$5:$A$3004,$A32,Acuses!$B$5:$B$3004,Q$4,Acuses!$C$5:$C$3004,Q$5),Q$8)&lt;Resumen!$C$4+30,"Caduca pronto","OK"))))))</f>
        <v/>
      </c>
      <c r="R32" s="26" t="str">
        <f aca="false">IF(OR($A32="",R$4=""),"",IF(NOT(OR(R$6="Toda la plantilla",ISNUMBER(SEARCH(";"&amp;SUBSTITUTE($C32," ","")&amp;";",";"&amp;SUBSTITUTE(R$7," ","")&amp;";")))),"—",IF(_xlfn.MAXIFS(Acuses!$C$5:$C$3004,Acuses!$A$5:$A$3004,$A32,Acuses!$B$5:$B$3004,R$4)&lt;R$5,"Pendiente",IF(R$8=0,"OK",IF(EDATE(_xlfn.MAXIFS(Acuses!$D$5:$D$3004,Acuses!$A$5:$A$3004,$A32,Acuses!$B$5:$B$3004,R$4,Acuses!$C$5:$C$3004,R$5),R$8)&lt;Resumen!$C$4,"Caducado",IF(EDATE(_xlfn.MAXIFS(Acuses!$D$5:$D$3004,Acuses!$A$5:$A$3004,$A32,Acuses!$B$5:$B$3004,R$4,Acuses!$C$5:$C$3004,R$5),R$8)&lt;Resumen!$C$4+30,"Caduca pronto","OK"))))))</f>
        <v/>
      </c>
      <c r="S32" s="26" t="str">
        <f aca="false">IF(OR($A32="",S$4=""),"",IF(NOT(OR(S$6="Toda la plantilla",ISNUMBER(SEARCH(";"&amp;SUBSTITUTE($C32," ","")&amp;";",";"&amp;SUBSTITUTE(S$7," ","")&amp;";")))),"—",IF(_xlfn.MAXIFS(Acuses!$C$5:$C$3004,Acuses!$A$5:$A$3004,$A32,Acuses!$B$5:$B$3004,S$4)&lt;S$5,"Pendiente",IF(S$8=0,"OK",IF(EDATE(_xlfn.MAXIFS(Acuses!$D$5:$D$3004,Acuses!$A$5:$A$3004,$A32,Acuses!$B$5:$B$3004,S$4,Acuses!$C$5:$C$3004,S$5),S$8)&lt;Resumen!$C$4,"Caducado",IF(EDATE(_xlfn.MAXIFS(Acuses!$D$5:$D$3004,Acuses!$A$5:$A$3004,$A32,Acuses!$B$5:$B$3004,S$4,Acuses!$C$5:$C$3004,S$5),S$8)&lt;Resumen!$C$4+30,"Caduca pronto","OK"))))))</f>
        <v/>
      </c>
      <c r="T32" s="26" t="str">
        <f aca="false">IF(OR($A32="",T$4=""),"",IF(NOT(OR(T$6="Toda la plantilla",ISNUMBER(SEARCH(";"&amp;SUBSTITUTE($C32," ","")&amp;";",";"&amp;SUBSTITUTE(T$7," ","")&amp;";")))),"—",IF(_xlfn.MAXIFS(Acuses!$C$5:$C$3004,Acuses!$A$5:$A$3004,$A32,Acuses!$B$5:$B$3004,T$4)&lt;T$5,"Pendiente",IF(T$8=0,"OK",IF(EDATE(_xlfn.MAXIFS(Acuses!$D$5:$D$3004,Acuses!$A$5:$A$3004,$A32,Acuses!$B$5:$B$3004,T$4,Acuses!$C$5:$C$3004,T$5),T$8)&lt;Resumen!$C$4,"Caducado",IF(EDATE(_xlfn.MAXIFS(Acuses!$D$5:$D$3004,Acuses!$A$5:$A$3004,$A32,Acuses!$B$5:$B$3004,T$4,Acuses!$C$5:$C$3004,T$5),T$8)&lt;Resumen!$C$4+30,"Caduca pronto","OK"))))))</f>
        <v/>
      </c>
      <c r="U32" s="26" t="str">
        <f aca="false">IF(OR($A32="",U$4=""),"",IF(NOT(OR(U$6="Toda la plantilla",ISNUMBER(SEARCH(";"&amp;SUBSTITUTE($C32," ","")&amp;";",";"&amp;SUBSTITUTE(U$7," ","")&amp;";")))),"—",IF(_xlfn.MAXIFS(Acuses!$C$5:$C$3004,Acuses!$A$5:$A$3004,$A32,Acuses!$B$5:$B$3004,U$4)&lt;U$5,"Pendiente",IF(U$8=0,"OK",IF(EDATE(_xlfn.MAXIFS(Acuses!$D$5:$D$3004,Acuses!$A$5:$A$3004,$A32,Acuses!$B$5:$B$3004,U$4,Acuses!$C$5:$C$3004,U$5),U$8)&lt;Resumen!$C$4,"Caducado",IF(EDATE(_xlfn.MAXIFS(Acuses!$D$5:$D$3004,Acuses!$A$5:$A$3004,$A32,Acuses!$B$5:$B$3004,U$4,Acuses!$C$5:$C$3004,U$5),U$8)&lt;Resumen!$C$4+30,"Caduca pronto","OK"))))))</f>
        <v/>
      </c>
      <c r="V32" s="26" t="str">
        <f aca="false">IF(OR($A32="",V$4=""),"",IF(NOT(OR(V$6="Toda la plantilla",ISNUMBER(SEARCH(";"&amp;SUBSTITUTE($C32," ","")&amp;";",";"&amp;SUBSTITUTE(V$7," ","")&amp;";")))),"—",IF(_xlfn.MAXIFS(Acuses!$C$5:$C$3004,Acuses!$A$5:$A$3004,$A32,Acuses!$B$5:$B$3004,V$4)&lt;V$5,"Pendiente",IF(V$8=0,"OK",IF(EDATE(_xlfn.MAXIFS(Acuses!$D$5:$D$3004,Acuses!$A$5:$A$3004,$A32,Acuses!$B$5:$B$3004,V$4,Acuses!$C$5:$C$3004,V$5),V$8)&lt;Resumen!$C$4,"Caducado",IF(EDATE(_xlfn.MAXIFS(Acuses!$D$5:$D$3004,Acuses!$A$5:$A$3004,$A32,Acuses!$B$5:$B$3004,V$4,Acuses!$C$5:$C$3004,V$5),V$8)&lt;Resumen!$C$4+30,"Caduca pronto","OK"))))))</f>
        <v/>
      </c>
      <c r="W32" s="26" t="str">
        <f aca="false">IF(OR($A32="",W$4=""),"",IF(NOT(OR(W$6="Toda la plantilla",ISNUMBER(SEARCH(";"&amp;SUBSTITUTE($C32," ","")&amp;";",";"&amp;SUBSTITUTE(W$7," ","")&amp;";")))),"—",IF(_xlfn.MAXIFS(Acuses!$C$5:$C$3004,Acuses!$A$5:$A$3004,$A32,Acuses!$B$5:$B$3004,W$4)&lt;W$5,"Pendiente",IF(W$8=0,"OK",IF(EDATE(_xlfn.MAXIFS(Acuses!$D$5:$D$3004,Acuses!$A$5:$A$3004,$A32,Acuses!$B$5:$B$3004,W$4,Acuses!$C$5:$C$3004,W$5),W$8)&lt;Resumen!$C$4,"Caducado",IF(EDATE(_xlfn.MAXIFS(Acuses!$D$5:$D$3004,Acuses!$A$5:$A$3004,$A32,Acuses!$B$5:$B$3004,W$4,Acuses!$C$5:$C$3004,W$5),W$8)&lt;Resumen!$C$4+30,"Caduca pronto","OK"))))))</f>
        <v/>
      </c>
      <c r="X32" s="26" t="str">
        <f aca="false">IF(OR($A32="",X$4=""),"",IF(NOT(OR(X$6="Toda la plantilla",ISNUMBER(SEARCH(";"&amp;SUBSTITUTE($C32," ","")&amp;";",";"&amp;SUBSTITUTE(X$7," ","")&amp;";")))),"—",IF(_xlfn.MAXIFS(Acuses!$C$5:$C$3004,Acuses!$A$5:$A$3004,$A32,Acuses!$B$5:$B$3004,X$4)&lt;X$5,"Pendiente",IF(X$8=0,"OK",IF(EDATE(_xlfn.MAXIFS(Acuses!$D$5:$D$3004,Acuses!$A$5:$A$3004,$A32,Acuses!$B$5:$B$3004,X$4,Acuses!$C$5:$C$3004,X$5),X$8)&lt;Resumen!$C$4,"Caducado",IF(EDATE(_xlfn.MAXIFS(Acuses!$D$5:$D$3004,Acuses!$A$5:$A$3004,$A32,Acuses!$B$5:$B$3004,X$4,Acuses!$C$5:$C$3004,X$5),X$8)&lt;Resumen!$C$4+30,"Caduca pronto","OK"))))))</f>
        <v/>
      </c>
      <c r="Y32" s="26" t="str">
        <f aca="false">IF(OR($A32="",Y$4=""),"",IF(NOT(OR(Y$6="Toda la plantilla",ISNUMBER(SEARCH(";"&amp;SUBSTITUTE($C32," ","")&amp;";",";"&amp;SUBSTITUTE(Y$7," ","")&amp;";")))),"—",IF(_xlfn.MAXIFS(Acuses!$C$5:$C$3004,Acuses!$A$5:$A$3004,$A32,Acuses!$B$5:$B$3004,Y$4)&lt;Y$5,"Pendiente",IF(Y$8=0,"OK",IF(EDATE(_xlfn.MAXIFS(Acuses!$D$5:$D$3004,Acuses!$A$5:$A$3004,$A32,Acuses!$B$5:$B$3004,Y$4,Acuses!$C$5:$C$3004,Y$5),Y$8)&lt;Resumen!$C$4,"Caducado",IF(EDATE(_xlfn.MAXIFS(Acuses!$D$5:$D$3004,Acuses!$A$5:$A$3004,$A32,Acuses!$B$5:$B$3004,Y$4,Acuses!$C$5:$C$3004,Y$5),Y$8)&lt;Resumen!$C$4+30,"Caduca pronto","OK"))))))</f>
        <v/>
      </c>
      <c r="Z32" s="26" t="str">
        <f aca="false">IF(OR($A32="",Z$4=""),"",IF(NOT(OR(Z$6="Toda la plantilla",ISNUMBER(SEARCH(";"&amp;SUBSTITUTE($C32," ","")&amp;";",";"&amp;SUBSTITUTE(Z$7," ","")&amp;";")))),"—",IF(_xlfn.MAXIFS(Acuses!$C$5:$C$3004,Acuses!$A$5:$A$3004,$A32,Acuses!$B$5:$B$3004,Z$4)&lt;Z$5,"Pendiente",IF(Z$8=0,"OK",IF(EDATE(_xlfn.MAXIFS(Acuses!$D$5:$D$3004,Acuses!$A$5:$A$3004,$A32,Acuses!$B$5:$B$3004,Z$4,Acuses!$C$5:$C$3004,Z$5),Z$8)&lt;Resumen!$C$4,"Caducado",IF(EDATE(_xlfn.MAXIFS(Acuses!$D$5:$D$3004,Acuses!$A$5:$A$3004,$A32,Acuses!$B$5:$B$3004,Z$4,Acuses!$C$5:$C$3004,Z$5),Z$8)&lt;Resumen!$C$4+30,"Caduca pronto","OK"))))))</f>
        <v/>
      </c>
      <c r="AA32" s="26" t="str">
        <f aca="false">IF(OR($A32="",AA$4=""),"",IF(NOT(OR(AA$6="Toda la plantilla",ISNUMBER(SEARCH(";"&amp;SUBSTITUTE($C32," ","")&amp;";",";"&amp;SUBSTITUTE(AA$7," ","")&amp;";")))),"—",IF(_xlfn.MAXIFS(Acuses!$C$5:$C$3004,Acuses!$A$5:$A$3004,$A32,Acuses!$B$5:$B$3004,AA$4)&lt;AA$5,"Pendiente",IF(AA$8=0,"OK",IF(EDATE(_xlfn.MAXIFS(Acuses!$D$5:$D$3004,Acuses!$A$5:$A$3004,$A32,Acuses!$B$5:$B$3004,AA$4,Acuses!$C$5:$C$3004,AA$5),AA$8)&lt;Resumen!$C$4,"Caducado",IF(EDATE(_xlfn.MAXIFS(Acuses!$D$5:$D$3004,Acuses!$A$5:$A$3004,$A32,Acuses!$B$5:$B$3004,AA$4,Acuses!$C$5:$C$3004,AA$5),AA$8)&lt;Resumen!$C$4+30,"Caduca pronto","OK"))))))</f>
        <v/>
      </c>
      <c r="AB32" s="26" t="str">
        <f aca="false">IF(OR($A32="",AB$4=""),"",IF(NOT(OR(AB$6="Toda la plantilla",ISNUMBER(SEARCH(";"&amp;SUBSTITUTE($C32," ","")&amp;";",";"&amp;SUBSTITUTE(AB$7," ","")&amp;";")))),"—",IF(_xlfn.MAXIFS(Acuses!$C$5:$C$3004,Acuses!$A$5:$A$3004,$A32,Acuses!$B$5:$B$3004,AB$4)&lt;AB$5,"Pendiente",IF(AB$8=0,"OK",IF(EDATE(_xlfn.MAXIFS(Acuses!$D$5:$D$3004,Acuses!$A$5:$A$3004,$A32,Acuses!$B$5:$B$3004,AB$4,Acuses!$C$5:$C$3004,AB$5),AB$8)&lt;Resumen!$C$4,"Caducado",IF(EDATE(_xlfn.MAXIFS(Acuses!$D$5:$D$3004,Acuses!$A$5:$A$3004,$A32,Acuses!$B$5:$B$3004,AB$4,Acuses!$C$5:$C$3004,AB$5),AB$8)&lt;Resumen!$C$4+30,"Caduca pronto","OK"))))))</f>
        <v/>
      </c>
      <c r="AC32" s="26" t="str">
        <f aca="false">IF(OR($A32="",AC$4=""),"",IF(NOT(OR(AC$6="Toda la plantilla",ISNUMBER(SEARCH(";"&amp;SUBSTITUTE($C32," ","")&amp;";",";"&amp;SUBSTITUTE(AC$7," ","")&amp;";")))),"—",IF(_xlfn.MAXIFS(Acuses!$C$5:$C$3004,Acuses!$A$5:$A$3004,$A32,Acuses!$B$5:$B$3004,AC$4)&lt;AC$5,"Pendiente",IF(AC$8=0,"OK",IF(EDATE(_xlfn.MAXIFS(Acuses!$D$5:$D$3004,Acuses!$A$5:$A$3004,$A32,Acuses!$B$5:$B$3004,AC$4,Acuses!$C$5:$C$3004,AC$5),AC$8)&lt;Resumen!$C$4,"Caducado",IF(EDATE(_xlfn.MAXIFS(Acuses!$D$5:$D$3004,Acuses!$A$5:$A$3004,$A32,Acuses!$B$5:$B$3004,AC$4,Acuses!$C$5:$C$3004,AC$5),AC$8)&lt;Resumen!$C$4+30,"Caduca pronto","OK"))))))</f>
        <v/>
      </c>
      <c r="AD32" s="26" t="str">
        <f aca="false">IF(OR($A32="",AD$4=""),"",IF(NOT(OR(AD$6="Toda la plantilla",ISNUMBER(SEARCH(";"&amp;SUBSTITUTE($C32," ","")&amp;";",";"&amp;SUBSTITUTE(AD$7," ","")&amp;";")))),"—",IF(_xlfn.MAXIFS(Acuses!$C$5:$C$3004,Acuses!$A$5:$A$3004,$A32,Acuses!$B$5:$B$3004,AD$4)&lt;AD$5,"Pendiente",IF(AD$8=0,"OK",IF(EDATE(_xlfn.MAXIFS(Acuses!$D$5:$D$3004,Acuses!$A$5:$A$3004,$A32,Acuses!$B$5:$B$3004,AD$4,Acuses!$C$5:$C$3004,AD$5),AD$8)&lt;Resumen!$C$4,"Caducado",IF(EDATE(_xlfn.MAXIFS(Acuses!$D$5:$D$3004,Acuses!$A$5:$A$3004,$A32,Acuses!$B$5:$B$3004,AD$4,Acuses!$C$5:$C$3004,AD$5),AD$8)&lt;Resumen!$C$4+30,"Caduca pronto","OK"))))))</f>
        <v/>
      </c>
      <c r="AE32" s="26" t="str">
        <f aca="false">IF(OR($A32="",AE$4=""),"",IF(NOT(OR(AE$6="Toda la plantilla",ISNUMBER(SEARCH(";"&amp;SUBSTITUTE($C32," ","")&amp;";",";"&amp;SUBSTITUTE(AE$7," ","")&amp;";")))),"—",IF(_xlfn.MAXIFS(Acuses!$C$5:$C$3004,Acuses!$A$5:$A$3004,$A32,Acuses!$B$5:$B$3004,AE$4)&lt;AE$5,"Pendiente",IF(AE$8=0,"OK",IF(EDATE(_xlfn.MAXIFS(Acuses!$D$5:$D$3004,Acuses!$A$5:$A$3004,$A32,Acuses!$B$5:$B$3004,AE$4,Acuses!$C$5:$C$3004,AE$5),AE$8)&lt;Resumen!$C$4,"Caducado",IF(EDATE(_xlfn.MAXIFS(Acuses!$D$5:$D$3004,Acuses!$A$5:$A$3004,$A32,Acuses!$B$5:$B$3004,AE$4,Acuses!$C$5:$C$3004,AE$5),AE$8)&lt;Resumen!$C$4+30,"Caduca pronto","OK"))))))</f>
        <v/>
      </c>
      <c r="AF32" s="26" t="str">
        <f aca="false">IF(OR($A32="",AF$4=""),"",IF(NOT(OR(AF$6="Toda la plantilla",ISNUMBER(SEARCH(";"&amp;SUBSTITUTE($C32," ","")&amp;";",";"&amp;SUBSTITUTE(AF$7," ","")&amp;";")))),"—",IF(_xlfn.MAXIFS(Acuses!$C$5:$C$3004,Acuses!$A$5:$A$3004,$A32,Acuses!$B$5:$B$3004,AF$4)&lt;AF$5,"Pendiente",IF(AF$8=0,"OK",IF(EDATE(_xlfn.MAXIFS(Acuses!$D$5:$D$3004,Acuses!$A$5:$A$3004,$A32,Acuses!$B$5:$B$3004,AF$4,Acuses!$C$5:$C$3004,AF$5),AF$8)&lt;Resumen!$C$4,"Caducado",IF(EDATE(_xlfn.MAXIFS(Acuses!$D$5:$D$3004,Acuses!$A$5:$A$3004,$A32,Acuses!$B$5:$B$3004,AF$4,Acuses!$C$5:$C$3004,AF$5),AF$8)&lt;Resumen!$C$4+30,"Caduca pronto","OK"))))))</f>
        <v/>
      </c>
      <c r="AG32" s="26" t="str">
        <f aca="false">IF(OR($A32="",AG$4=""),"",IF(NOT(OR(AG$6="Toda la plantilla",ISNUMBER(SEARCH(";"&amp;SUBSTITUTE($C32," ","")&amp;";",";"&amp;SUBSTITUTE(AG$7," ","")&amp;";")))),"—",IF(_xlfn.MAXIFS(Acuses!$C$5:$C$3004,Acuses!$A$5:$A$3004,$A32,Acuses!$B$5:$B$3004,AG$4)&lt;AG$5,"Pendiente",IF(AG$8=0,"OK",IF(EDATE(_xlfn.MAXIFS(Acuses!$D$5:$D$3004,Acuses!$A$5:$A$3004,$A32,Acuses!$B$5:$B$3004,AG$4,Acuses!$C$5:$C$3004,AG$5),AG$8)&lt;Resumen!$C$4,"Caducado",IF(EDATE(_xlfn.MAXIFS(Acuses!$D$5:$D$3004,Acuses!$A$5:$A$3004,$A32,Acuses!$B$5:$B$3004,AG$4,Acuses!$C$5:$C$3004,AG$5),AG$8)&lt;Resumen!$C$4+30,"Caduca pronto","OK"))))))</f>
        <v/>
      </c>
      <c r="AH32" s="26" t="str">
        <f aca="false">IF(OR($A32="",AH$4=""),"",IF(NOT(OR(AH$6="Toda la plantilla",ISNUMBER(SEARCH(";"&amp;SUBSTITUTE($C32," ","")&amp;";",";"&amp;SUBSTITUTE(AH$7," ","")&amp;";")))),"—",IF(_xlfn.MAXIFS(Acuses!$C$5:$C$3004,Acuses!$A$5:$A$3004,$A32,Acuses!$B$5:$B$3004,AH$4)&lt;AH$5,"Pendiente",IF(AH$8=0,"OK",IF(EDATE(_xlfn.MAXIFS(Acuses!$D$5:$D$3004,Acuses!$A$5:$A$3004,$A32,Acuses!$B$5:$B$3004,AH$4,Acuses!$C$5:$C$3004,AH$5),AH$8)&lt;Resumen!$C$4,"Caducado",IF(EDATE(_xlfn.MAXIFS(Acuses!$D$5:$D$3004,Acuses!$A$5:$A$3004,$A32,Acuses!$B$5:$B$3004,AH$4,Acuses!$C$5:$C$3004,AH$5),AH$8)&lt;Resumen!$C$4+30,"Caduca pronto","OK"))))))</f>
        <v/>
      </c>
      <c r="AI32" s="26" t="str">
        <f aca="false">IF(OR($A32="",AI$4=""),"",IF(NOT(OR(AI$6="Toda la plantilla",ISNUMBER(SEARCH(";"&amp;SUBSTITUTE($C32," ","")&amp;";",";"&amp;SUBSTITUTE(AI$7," ","")&amp;";")))),"—",IF(_xlfn.MAXIFS(Acuses!$C$5:$C$3004,Acuses!$A$5:$A$3004,$A32,Acuses!$B$5:$B$3004,AI$4)&lt;AI$5,"Pendiente",IF(AI$8=0,"OK",IF(EDATE(_xlfn.MAXIFS(Acuses!$D$5:$D$3004,Acuses!$A$5:$A$3004,$A32,Acuses!$B$5:$B$3004,AI$4,Acuses!$C$5:$C$3004,AI$5),AI$8)&lt;Resumen!$C$4,"Caducado",IF(EDATE(_xlfn.MAXIFS(Acuses!$D$5:$D$3004,Acuses!$A$5:$A$3004,$A32,Acuses!$B$5:$B$3004,AI$4,Acuses!$C$5:$C$3004,AI$5),AI$8)&lt;Resumen!$C$4+30,"Caduca pronto","OK"))))))</f>
        <v/>
      </c>
      <c r="AJ32" s="26" t="str">
        <f aca="false">IF(OR($A32="",AJ$4=""),"",IF(NOT(OR(AJ$6="Toda la plantilla",ISNUMBER(SEARCH(";"&amp;SUBSTITUTE($C32," ","")&amp;";",";"&amp;SUBSTITUTE(AJ$7," ","")&amp;";")))),"—",IF(_xlfn.MAXIFS(Acuses!$C$5:$C$3004,Acuses!$A$5:$A$3004,$A32,Acuses!$B$5:$B$3004,AJ$4)&lt;AJ$5,"Pendiente",IF(AJ$8=0,"OK",IF(EDATE(_xlfn.MAXIFS(Acuses!$D$5:$D$3004,Acuses!$A$5:$A$3004,$A32,Acuses!$B$5:$B$3004,AJ$4,Acuses!$C$5:$C$3004,AJ$5),AJ$8)&lt;Resumen!$C$4,"Caducado",IF(EDATE(_xlfn.MAXIFS(Acuses!$D$5:$D$3004,Acuses!$A$5:$A$3004,$A32,Acuses!$B$5:$B$3004,AJ$4,Acuses!$C$5:$C$3004,AJ$5),AJ$8)&lt;Resumen!$C$4+30,"Caduca pronto","OK"))))))</f>
        <v/>
      </c>
      <c r="AK32" s="26" t="str">
        <f aca="false">IF(OR($A32="",AK$4=""),"",IF(NOT(OR(AK$6="Toda la plantilla",ISNUMBER(SEARCH(";"&amp;SUBSTITUTE($C32," ","")&amp;";",";"&amp;SUBSTITUTE(AK$7," ","")&amp;";")))),"—",IF(_xlfn.MAXIFS(Acuses!$C$5:$C$3004,Acuses!$A$5:$A$3004,$A32,Acuses!$B$5:$B$3004,AK$4)&lt;AK$5,"Pendiente",IF(AK$8=0,"OK",IF(EDATE(_xlfn.MAXIFS(Acuses!$D$5:$D$3004,Acuses!$A$5:$A$3004,$A32,Acuses!$B$5:$B$3004,AK$4,Acuses!$C$5:$C$3004,AK$5),AK$8)&lt;Resumen!$C$4,"Caducado",IF(EDATE(_xlfn.MAXIFS(Acuses!$D$5:$D$3004,Acuses!$A$5:$A$3004,$A32,Acuses!$B$5:$B$3004,AK$4,Acuses!$C$5:$C$3004,AK$5),AK$8)&lt;Resumen!$C$4+30,"Caduca pronto","OK"))))))</f>
        <v/>
      </c>
      <c r="AL32" s="26" t="str">
        <f aca="false">IF(OR($A32="",AL$4=""),"",IF(NOT(OR(AL$6="Toda la plantilla",ISNUMBER(SEARCH(";"&amp;SUBSTITUTE($C32," ","")&amp;";",";"&amp;SUBSTITUTE(AL$7," ","")&amp;";")))),"—",IF(_xlfn.MAXIFS(Acuses!$C$5:$C$3004,Acuses!$A$5:$A$3004,$A32,Acuses!$B$5:$B$3004,AL$4)&lt;AL$5,"Pendiente",IF(AL$8=0,"OK",IF(EDATE(_xlfn.MAXIFS(Acuses!$D$5:$D$3004,Acuses!$A$5:$A$3004,$A32,Acuses!$B$5:$B$3004,AL$4,Acuses!$C$5:$C$3004,AL$5),AL$8)&lt;Resumen!$C$4,"Caducado",IF(EDATE(_xlfn.MAXIFS(Acuses!$D$5:$D$3004,Acuses!$A$5:$A$3004,$A32,Acuses!$B$5:$B$3004,AL$4,Acuses!$C$5:$C$3004,AL$5),AL$8)&lt;Resumen!$C$4+30,"Caduca pronto","OK"))))))</f>
        <v/>
      </c>
      <c r="AM32" s="26" t="str">
        <f aca="false">IF(OR($A32="",AM$4=""),"",IF(NOT(OR(AM$6="Toda la plantilla",ISNUMBER(SEARCH(";"&amp;SUBSTITUTE($C32," ","")&amp;";",";"&amp;SUBSTITUTE(AM$7," ","")&amp;";")))),"—",IF(_xlfn.MAXIFS(Acuses!$C$5:$C$3004,Acuses!$A$5:$A$3004,$A32,Acuses!$B$5:$B$3004,AM$4)&lt;AM$5,"Pendiente",IF(AM$8=0,"OK",IF(EDATE(_xlfn.MAXIFS(Acuses!$D$5:$D$3004,Acuses!$A$5:$A$3004,$A32,Acuses!$B$5:$B$3004,AM$4,Acuses!$C$5:$C$3004,AM$5),AM$8)&lt;Resumen!$C$4,"Caducado",IF(EDATE(_xlfn.MAXIFS(Acuses!$D$5:$D$3004,Acuses!$A$5:$A$3004,$A32,Acuses!$B$5:$B$3004,AM$4,Acuses!$C$5:$C$3004,AM$5),AM$8)&lt;Resumen!$C$4+30,"Caduca pronto","OK"))))))</f>
        <v/>
      </c>
      <c r="AN32" s="26" t="str">
        <f aca="false">IF(OR($A32="",AN$4=""),"",IF(NOT(OR(AN$6="Toda la plantilla",ISNUMBER(SEARCH(";"&amp;SUBSTITUTE($C32," ","")&amp;";",";"&amp;SUBSTITUTE(AN$7," ","")&amp;";")))),"—",IF(_xlfn.MAXIFS(Acuses!$C$5:$C$3004,Acuses!$A$5:$A$3004,$A32,Acuses!$B$5:$B$3004,AN$4)&lt;AN$5,"Pendiente",IF(AN$8=0,"OK",IF(EDATE(_xlfn.MAXIFS(Acuses!$D$5:$D$3004,Acuses!$A$5:$A$3004,$A32,Acuses!$B$5:$B$3004,AN$4,Acuses!$C$5:$C$3004,AN$5),AN$8)&lt;Resumen!$C$4,"Caducado",IF(EDATE(_xlfn.MAXIFS(Acuses!$D$5:$D$3004,Acuses!$A$5:$A$3004,$A32,Acuses!$B$5:$B$3004,AN$4,Acuses!$C$5:$C$3004,AN$5),AN$8)&lt;Resumen!$C$4+30,"Caduca pronto","OK"))))))</f>
        <v/>
      </c>
      <c r="AO32" s="26" t="str">
        <f aca="false">IF(OR($A32="",AO$4=""),"",IF(NOT(OR(AO$6="Toda la plantilla",ISNUMBER(SEARCH(";"&amp;SUBSTITUTE($C32," ","")&amp;";",";"&amp;SUBSTITUTE(AO$7," ","")&amp;";")))),"—",IF(_xlfn.MAXIFS(Acuses!$C$5:$C$3004,Acuses!$A$5:$A$3004,$A32,Acuses!$B$5:$B$3004,AO$4)&lt;AO$5,"Pendiente",IF(AO$8=0,"OK",IF(EDATE(_xlfn.MAXIFS(Acuses!$D$5:$D$3004,Acuses!$A$5:$A$3004,$A32,Acuses!$B$5:$B$3004,AO$4,Acuses!$C$5:$C$3004,AO$5),AO$8)&lt;Resumen!$C$4,"Caducado",IF(EDATE(_xlfn.MAXIFS(Acuses!$D$5:$D$3004,Acuses!$A$5:$A$3004,$A32,Acuses!$B$5:$B$3004,AO$4,Acuses!$C$5:$C$3004,AO$5),AO$8)&lt;Resumen!$C$4+30,"Caduca pronto","OK"))))))</f>
        <v/>
      </c>
      <c r="AP32" s="26" t="str">
        <f aca="false">IF(OR($A32="",AP$4=""),"",IF(NOT(OR(AP$6="Toda la plantilla",ISNUMBER(SEARCH(";"&amp;SUBSTITUTE($C32," ","")&amp;";",";"&amp;SUBSTITUTE(AP$7," ","")&amp;";")))),"—",IF(_xlfn.MAXIFS(Acuses!$C$5:$C$3004,Acuses!$A$5:$A$3004,$A32,Acuses!$B$5:$B$3004,AP$4)&lt;AP$5,"Pendiente",IF(AP$8=0,"OK",IF(EDATE(_xlfn.MAXIFS(Acuses!$D$5:$D$3004,Acuses!$A$5:$A$3004,$A32,Acuses!$B$5:$B$3004,AP$4,Acuses!$C$5:$C$3004,AP$5),AP$8)&lt;Resumen!$C$4,"Caducado",IF(EDATE(_xlfn.MAXIFS(Acuses!$D$5:$D$3004,Acuses!$A$5:$A$3004,$A32,Acuses!$B$5:$B$3004,AP$4,Acuses!$C$5:$C$3004,AP$5),AP$8)&lt;Resumen!$C$4+30,"Caduca pronto","OK"))))))</f>
        <v/>
      </c>
      <c r="AQ32" s="26" t="str">
        <f aca="false">IF(OR($A32="",AQ$4=""),"",IF(NOT(OR(AQ$6="Toda la plantilla",ISNUMBER(SEARCH(";"&amp;SUBSTITUTE($C32," ","")&amp;";",";"&amp;SUBSTITUTE(AQ$7," ","")&amp;";")))),"—",IF(_xlfn.MAXIFS(Acuses!$C$5:$C$3004,Acuses!$A$5:$A$3004,$A32,Acuses!$B$5:$B$3004,AQ$4)&lt;AQ$5,"Pendiente",IF(AQ$8=0,"OK",IF(EDATE(_xlfn.MAXIFS(Acuses!$D$5:$D$3004,Acuses!$A$5:$A$3004,$A32,Acuses!$B$5:$B$3004,AQ$4,Acuses!$C$5:$C$3004,AQ$5),AQ$8)&lt;Resumen!$C$4,"Caducado",IF(EDATE(_xlfn.MAXIFS(Acuses!$D$5:$D$3004,Acuses!$A$5:$A$3004,$A32,Acuses!$B$5:$B$3004,AQ$4,Acuses!$C$5:$C$3004,AQ$5),AQ$8)&lt;Resumen!$C$4+30,"Caduca pronto","OK"))))))</f>
        <v/>
      </c>
    </row>
    <row r="33" customFormat="false" ht="15" hidden="false" customHeight="false" outlineLevel="0" collapsed="false">
      <c r="A33" s="25" t="str">
        <f aca="false">IF(AND(Trabajadores!$A$28&lt;&gt;"",Trabajadores!$G$28&lt;&gt;"No"),Trabajadores!$A$28,"")</f>
        <v/>
      </c>
      <c r="B33" s="25" t="str">
        <f aca="false">IF($A33="","",Trabajadores!$B$28)</f>
        <v/>
      </c>
      <c r="C33" s="25" t="str">
        <f aca="false">IF($A33="","",Trabajadores!$C$28)</f>
        <v/>
      </c>
      <c r="D33" s="26" t="str">
        <f aca="false">IF(OR($A33="",D$4=""),"",IF(NOT(OR(D$6="Toda la plantilla",ISNUMBER(SEARCH(";"&amp;SUBSTITUTE($C33," ","")&amp;";",";"&amp;SUBSTITUTE(D$7," ","")&amp;";")))),"—",IF(_xlfn.MAXIFS(Acuses!$C$5:$C$3004,Acuses!$A$5:$A$3004,$A33,Acuses!$B$5:$B$3004,D$4)&lt;D$5,"Pendiente",IF(D$8=0,"OK",IF(EDATE(_xlfn.MAXIFS(Acuses!$D$5:$D$3004,Acuses!$A$5:$A$3004,$A33,Acuses!$B$5:$B$3004,D$4,Acuses!$C$5:$C$3004,D$5),D$8)&lt;Resumen!$C$4,"Caducado",IF(EDATE(_xlfn.MAXIFS(Acuses!$D$5:$D$3004,Acuses!$A$5:$A$3004,$A33,Acuses!$B$5:$B$3004,D$4,Acuses!$C$5:$C$3004,D$5),D$8)&lt;Resumen!$C$4+30,"Caduca pronto","OK"))))))</f>
        <v/>
      </c>
      <c r="E33" s="26" t="str">
        <f aca="false">IF(OR($A33="",E$4=""),"",IF(NOT(OR(E$6="Toda la plantilla",ISNUMBER(SEARCH(";"&amp;SUBSTITUTE($C33," ","")&amp;";",";"&amp;SUBSTITUTE(E$7," ","")&amp;";")))),"—",IF(_xlfn.MAXIFS(Acuses!$C$5:$C$3004,Acuses!$A$5:$A$3004,$A33,Acuses!$B$5:$B$3004,E$4)&lt;E$5,"Pendiente",IF(E$8=0,"OK",IF(EDATE(_xlfn.MAXIFS(Acuses!$D$5:$D$3004,Acuses!$A$5:$A$3004,$A33,Acuses!$B$5:$B$3004,E$4,Acuses!$C$5:$C$3004,E$5),E$8)&lt;Resumen!$C$4,"Caducado",IF(EDATE(_xlfn.MAXIFS(Acuses!$D$5:$D$3004,Acuses!$A$5:$A$3004,$A33,Acuses!$B$5:$B$3004,E$4,Acuses!$C$5:$C$3004,E$5),E$8)&lt;Resumen!$C$4+30,"Caduca pronto","OK"))))))</f>
        <v/>
      </c>
      <c r="F33" s="26" t="str">
        <f aca="false">IF(OR($A33="",F$4=""),"",IF(NOT(OR(F$6="Toda la plantilla",ISNUMBER(SEARCH(";"&amp;SUBSTITUTE($C33," ","")&amp;";",";"&amp;SUBSTITUTE(F$7," ","")&amp;";")))),"—",IF(_xlfn.MAXIFS(Acuses!$C$5:$C$3004,Acuses!$A$5:$A$3004,$A33,Acuses!$B$5:$B$3004,F$4)&lt;F$5,"Pendiente",IF(F$8=0,"OK",IF(EDATE(_xlfn.MAXIFS(Acuses!$D$5:$D$3004,Acuses!$A$5:$A$3004,$A33,Acuses!$B$5:$B$3004,F$4,Acuses!$C$5:$C$3004,F$5),F$8)&lt;Resumen!$C$4,"Caducado",IF(EDATE(_xlfn.MAXIFS(Acuses!$D$5:$D$3004,Acuses!$A$5:$A$3004,$A33,Acuses!$B$5:$B$3004,F$4,Acuses!$C$5:$C$3004,F$5),F$8)&lt;Resumen!$C$4+30,"Caduca pronto","OK"))))))</f>
        <v/>
      </c>
      <c r="G33" s="26" t="str">
        <f aca="false">IF(OR($A33="",G$4=""),"",IF(NOT(OR(G$6="Toda la plantilla",ISNUMBER(SEARCH(";"&amp;SUBSTITUTE($C33," ","")&amp;";",";"&amp;SUBSTITUTE(G$7," ","")&amp;";")))),"—",IF(_xlfn.MAXIFS(Acuses!$C$5:$C$3004,Acuses!$A$5:$A$3004,$A33,Acuses!$B$5:$B$3004,G$4)&lt;G$5,"Pendiente",IF(G$8=0,"OK",IF(EDATE(_xlfn.MAXIFS(Acuses!$D$5:$D$3004,Acuses!$A$5:$A$3004,$A33,Acuses!$B$5:$B$3004,G$4,Acuses!$C$5:$C$3004,G$5),G$8)&lt;Resumen!$C$4,"Caducado",IF(EDATE(_xlfn.MAXIFS(Acuses!$D$5:$D$3004,Acuses!$A$5:$A$3004,$A33,Acuses!$B$5:$B$3004,G$4,Acuses!$C$5:$C$3004,G$5),G$8)&lt;Resumen!$C$4+30,"Caduca pronto","OK"))))))</f>
        <v/>
      </c>
      <c r="H33" s="26" t="str">
        <f aca="false">IF(OR($A33="",H$4=""),"",IF(NOT(OR(H$6="Toda la plantilla",ISNUMBER(SEARCH(";"&amp;SUBSTITUTE($C33," ","")&amp;";",";"&amp;SUBSTITUTE(H$7," ","")&amp;";")))),"—",IF(_xlfn.MAXIFS(Acuses!$C$5:$C$3004,Acuses!$A$5:$A$3004,$A33,Acuses!$B$5:$B$3004,H$4)&lt;H$5,"Pendiente",IF(H$8=0,"OK",IF(EDATE(_xlfn.MAXIFS(Acuses!$D$5:$D$3004,Acuses!$A$5:$A$3004,$A33,Acuses!$B$5:$B$3004,H$4,Acuses!$C$5:$C$3004,H$5),H$8)&lt;Resumen!$C$4,"Caducado",IF(EDATE(_xlfn.MAXIFS(Acuses!$D$5:$D$3004,Acuses!$A$5:$A$3004,$A33,Acuses!$B$5:$B$3004,H$4,Acuses!$C$5:$C$3004,H$5),H$8)&lt;Resumen!$C$4+30,"Caduca pronto","OK"))))))</f>
        <v/>
      </c>
      <c r="I33" s="26" t="str">
        <f aca="false">IF(OR($A33="",I$4=""),"",IF(NOT(OR(I$6="Toda la plantilla",ISNUMBER(SEARCH(";"&amp;SUBSTITUTE($C33," ","")&amp;";",";"&amp;SUBSTITUTE(I$7," ","")&amp;";")))),"—",IF(_xlfn.MAXIFS(Acuses!$C$5:$C$3004,Acuses!$A$5:$A$3004,$A33,Acuses!$B$5:$B$3004,I$4)&lt;I$5,"Pendiente",IF(I$8=0,"OK",IF(EDATE(_xlfn.MAXIFS(Acuses!$D$5:$D$3004,Acuses!$A$5:$A$3004,$A33,Acuses!$B$5:$B$3004,I$4,Acuses!$C$5:$C$3004,I$5),I$8)&lt;Resumen!$C$4,"Caducado",IF(EDATE(_xlfn.MAXIFS(Acuses!$D$5:$D$3004,Acuses!$A$5:$A$3004,$A33,Acuses!$B$5:$B$3004,I$4,Acuses!$C$5:$C$3004,I$5),I$8)&lt;Resumen!$C$4+30,"Caduca pronto","OK"))))))</f>
        <v/>
      </c>
      <c r="J33" s="26" t="str">
        <f aca="false">IF(OR($A33="",J$4=""),"",IF(NOT(OR(J$6="Toda la plantilla",ISNUMBER(SEARCH(";"&amp;SUBSTITUTE($C33," ","")&amp;";",";"&amp;SUBSTITUTE(J$7," ","")&amp;";")))),"—",IF(_xlfn.MAXIFS(Acuses!$C$5:$C$3004,Acuses!$A$5:$A$3004,$A33,Acuses!$B$5:$B$3004,J$4)&lt;J$5,"Pendiente",IF(J$8=0,"OK",IF(EDATE(_xlfn.MAXIFS(Acuses!$D$5:$D$3004,Acuses!$A$5:$A$3004,$A33,Acuses!$B$5:$B$3004,J$4,Acuses!$C$5:$C$3004,J$5),J$8)&lt;Resumen!$C$4,"Caducado",IF(EDATE(_xlfn.MAXIFS(Acuses!$D$5:$D$3004,Acuses!$A$5:$A$3004,$A33,Acuses!$B$5:$B$3004,J$4,Acuses!$C$5:$C$3004,J$5),J$8)&lt;Resumen!$C$4+30,"Caduca pronto","OK"))))))</f>
        <v/>
      </c>
      <c r="K33" s="26" t="str">
        <f aca="false">IF(OR($A33="",K$4=""),"",IF(NOT(OR(K$6="Toda la plantilla",ISNUMBER(SEARCH(";"&amp;SUBSTITUTE($C33," ","")&amp;";",";"&amp;SUBSTITUTE(K$7," ","")&amp;";")))),"—",IF(_xlfn.MAXIFS(Acuses!$C$5:$C$3004,Acuses!$A$5:$A$3004,$A33,Acuses!$B$5:$B$3004,K$4)&lt;K$5,"Pendiente",IF(K$8=0,"OK",IF(EDATE(_xlfn.MAXIFS(Acuses!$D$5:$D$3004,Acuses!$A$5:$A$3004,$A33,Acuses!$B$5:$B$3004,K$4,Acuses!$C$5:$C$3004,K$5),K$8)&lt;Resumen!$C$4,"Caducado",IF(EDATE(_xlfn.MAXIFS(Acuses!$D$5:$D$3004,Acuses!$A$5:$A$3004,$A33,Acuses!$B$5:$B$3004,K$4,Acuses!$C$5:$C$3004,K$5),K$8)&lt;Resumen!$C$4+30,"Caduca pronto","OK"))))))</f>
        <v/>
      </c>
      <c r="L33" s="26" t="str">
        <f aca="false">IF(OR($A33="",L$4=""),"",IF(NOT(OR(L$6="Toda la plantilla",ISNUMBER(SEARCH(";"&amp;SUBSTITUTE($C33," ","")&amp;";",";"&amp;SUBSTITUTE(L$7," ","")&amp;";")))),"—",IF(_xlfn.MAXIFS(Acuses!$C$5:$C$3004,Acuses!$A$5:$A$3004,$A33,Acuses!$B$5:$B$3004,L$4)&lt;L$5,"Pendiente",IF(L$8=0,"OK",IF(EDATE(_xlfn.MAXIFS(Acuses!$D$5:$D$3004,Acuses!$A$5:$A$3004,$A33,Acuses!$B$5:$B$3004,L$4,Acuses!$C$5:$C$3004,L$5),L$8)&lt;Resumen!$C$4,"Caducado",IF(EDATE(_xlfn.MAXIFS(Acuses!$D$5:$D$3004,Acuses!$A$5:$A$3004,$A33,Acuses!$B$5:$B$3004,L$4,Acuses!$C$5:$C$3004,L$5),L$8)&lt;Resumen!$C$4+30,"Caduca pronto","OK"))))))</f>
        <v/>
      </c>
      <c r="M33" s="26" t="str">
        <f aca="false">IF(OR($A33="",M$4=""),"",IF(NOT(OR(M$6="Toda la plantilla",ISNUMBER(SEARCH(";"&amp;SUBSTITUTE($C33," ","")&amp;";",";"&amp;SUBSTITUTE(M$7," ","")&amp;";")))),"—",IF(_xlfn.MAXIFS(Acuses!$C$5:$C$3004,Acuses!$A$5:$A$3004,$A33,Acuses!$B$5:$B$3004,M$4)&lt;M$5,"Pendiente",IF(M$8=0,"OK",IF(EDATE(_xlfn.MAXIFS(Acuses!$D$5:$D$3004,Acuses!$A$5:$A$3004,$A33,Acuses!$B$5:$B$3004,M$4,Acuses!$C$5:$C$3004,M$5),M$8)&lt;Resumen!$C$4,"Caducado",IF(EDATE(_xlfn.MAXIFS(Acuses!$D$5:$D$3004,Acuses!$A$5:$A$3004,$A33,Acuses!$B$5:$B$3004,M$4,Acuses!$C$5:$C$3004,M$5),M$8)&lt;Resumen!$C$4+30,"Caduca pronto","OK"))))))</f>
        <v/>
      </c>
      <c r="N33" s="26" t="str">
        <f aca="false">IF(OR($A33="",N$4=""),"",IF(NOT(OR(N$6="Toda la plantilla",ISNUMBER(SEARCH(";"&amp;SUBSTITUTE($C33," ","")&amp;";",";"&amp;SUBSTITUTE(N$7," ","")&amp;";")))),"—",IF(_xlfn.MAXIFS(Acuses!$C$5:$C$3004,Acuses!$A$5:$A$3004,$A33,Acuses!$B$5:$B$3004,N$4)&lt;N$5,"Pendiente",IF(N$8=0,"OK",IF(EDATE(_xlfn.MAXIFS(Acuses!$D$5:$D$3004,Acuses!$A$5:$A$3004,$A33,Acuses!$B$5:$B$3004,N$4,Acuses!$C$5:$C$3004,N$5),N$8)&lt;Resumen!$C$4,"Caducado",IF(EDATE(_xlfn.MAXIFS(Acuses!$D$5:$D$3004,Acuses!$A$5:$A$3004,$A33,Acuses!$B$5:$B$3004,N$4,Acuses!$C$5:$C$3004,N$5),N$8)&lt;Resumen!$C$4+30,"Caduca pronto","OK"))))))</f>
        <v/>
      </c>
      <c r="O33" s="26" t="str">
        <f aca="false">IF(OR($A33="",O$4=""),"",IF(NOT(OR(O$6="Toda la plantilla",ISNUMBER(SEARCH(";"&amp;SUBSTITUTE($C33," ","")&amp;";",";"&amp;SUBSTITUTE(O$7," ","")&amp;";")))),"—",IF(_xlfn.MAXIFS(Acuses!$C$5:$C$3004,Acuses!$A$5:$A$3004,$A33,Acuses!$B$5:$B$3004,O$4)&lt;O$5,"Pendiente",IF(O$8=0,"OK",IF(EDATE(_xlfn.MAXIFS(Acuses!$D$5:$D$3004,Acuses!$A$5:$A$3004,$A33,Acuses!$B$5:$B$3004,O$4,Acuses!$C$5:$C$3004,O$5),O$8)&lt;Resumen!$C$4,"Caducado",IF(EDATE(_xlfn.MAXIFS(Acuses!$D$5:$D$3004,Acuses!$A$5:$A$3004,$A33,Acuses!$B$5:$B$3004,O$4,Acuses!$C$5:$C$3004,O$5),O$8)&lt;Resumen!$C$4+30,"Caduca pronto","OK"))))))</f>
        <v/>
      </c>
      <c r="P33" s="26" t="str">
        <f aca="false">IF(OR($A33="",P$4=""),"",IF(NOT(OR(P$6="Toda la plantilla",ISNUMBER(SEARCH(";"&amp;SUBSTITUTE($C33," ","")&amp;";",";"&amp;SUBSTITUTE(P$7," ","")&amp;";")))),"—",IF(_xlfn.MAXIFS(Acuses!$C$5:$C$3004,Acuses!$A$5:$A$3004,$A33,Acuses!$B$5:$B$3004,P$4)&lt;P$5,"Pendiente",IF(P$8=0,"OK",IF(EDATE(_xlfn.MAXIFS(Acuses!$D$5:$D$3004,Acuses!$A$5:$A$3004,$A33,Acuses!$B$5:$B$3004,P$4,Acuses!$C$5:$C$3004,P$5),P$8)&lt;Resumen!$C$4,"Caducado",IF(EDATE(_xlfn.MAXIFS(Acuses!$D$5:$D$3004,Acuses!$A$5:$A$3004,$A33,Acuses!$B$5:$B$3004,P$4,Acuses!$C$5:$C$3004,P$5),P$8)&lt;Resumen!$C$4+30,"Caduca pronto","OK"))))))</f>
        <v/>
      </c>
      <c r="Q33" s="26" t="str">
        <f aca="false">IF(OR($A33="",Q$4=""),"",IF(NOT(OR(Q$6="Toda la plantilla",ISNUMBER(SEARCH(";"&amp;SUBSTITUTE($C33," ","")&amp;";",";"&amp;SUBSTITUTE(Q$7," ","")&amp;";")))),"—",IF(_xlfn.MAXIFS(Acuses!$C$5:$C$3004,Acuses!$A$5:$A$3004,$A33,Acuses!$B$5:$B$3004,Q$4)&lt;Q$5,"Pendiente",IF(Q$8=0,"OK",IF(EDATE(_xlfn.MAXIFS(Acuses!$D$5:$D$3004,Acuses!$A$5:$A$3004,$A33,Acuses!$B$5:$B$3004,Q$4,Acuses!$C$5:$C$3004,Q$5),Q$8)&lt;Resumen!$C$4,"Caducado",IF(EDATE(_xlfn.MAXIFS(Acuses!$D$5:$D$3004,Acuses!$A$5:$A$3004,$A33,Acuses!$B$5:$B$3004,Q$4,Acuses!$C$5:$C$3004,Q$5),Q$8)&lt;Resumen!$C$4+30,"Caduca pronto","OK"))))))</f>
        <v/>
      </c>
      <c r="R33" s="26" t="str">
        <f aca="false">IF(OR($A33="",R$4=""),"",IF(NOT(OR(R$6="Toda la plantilla",ISNUMBER(SEARCH(";"&amp;SUBSTITUTE($C33," ","")&amp;";",";"&amp;SUBSTITUTE(R$7," ","")&amp;";")))),"—",IF(_xlfn.MAXIFS(Acuses!$C$5:$C$3004,Acuses!$A$5:$A$3004,$A33,Acuses!$B$5:$B$3004,R$4)&lt;R$5,"Pendiente",IF(R$8=0,"OK",IF(EDATE(_xlfn.MAXIFS(Acuses!$D$5:$D$3004,Acuses!$A$5:$A$3004,$A33,Acuses!$B$5:$B$3004,R$4,Acuses!$C$5:$C$3004,R$5),R$8)&lt;Resumen!$C$4,"Caducado",IF(EDATE(_xlfn.MAXIFS(Acuses!$D$5:$D$3004,Acuses!$A$5:$A$3004,$A33,Acuses!$B$5:$B$3004,R$4,Acuses!$C$5:$C$3004,R$5),R$8)&lt;Resumen!$C$4+30,"Caduca pronto","OK"))))))</f>
        <v/>
      </c>
      <c r="S33" s="26" t="str">
        <f aca="false">IF(OR($A33="",S$4=""),"",IF(NOT(OR(S$6="Toda la plantilla",ISNUMBER(SEARCH(";"&amp;SUBSTITUTE($C33," ","")&amp;";",";"&amp;SUBSTITUTE(S$7," ","")&amp;";")))),"—",IF(_xlfn.MAXIFS(Acuses!$C$5:$C$3004,Acuses!$A$5:$A$3004,$A33,Acuses!$B$5:$B$3004,S$4)&lt;S$5,"Pendiente",IF(S$8=0,"OK",IF(EDATE(_xlfn.MAXIFS(Acuses!$D$5:$D$3004,Acuses!$A$5:$A$3004,$A33,Acuses!$B$5:$B$3004,S$4,Acuses!$C$5:$C$3004,S$5),S$8)&lt;Resumen!$C$4,"Caducado",IF(EDATE(_xlfn.MAXIFS(Acuses!$D$5:$D$3004,Acuses!$A$5:$A$3004,$A33,Acuses!$B$5:$B$3004,S$4,Acuses!$C$5:$C$3004,S$5),S$8)&lt;Resumen!$C$4+30,"Caduca pronto","OK"))))))</f>
        <v/>
      </c>
      <c r="T33" s="26" t="str">
        <f aca="false">IF(OR($A33="",T$4=""),"",IF(NOT(OR(T$6="Toda la plantilla",ISNUMBER(SEARCH(";"&amp;SUBSTITUTE($C33," ","")&amp;";",";"&amp;SUBSTITUTE(T$7," ","")&amp;";")))),"—",IF(_xlfn.MAXIFS(Acuses!$C$5:$C$3004,Acuses!$A$5:$A$3004,$A33,Acuses!$B$5:$B$3004,T$4)&lt;T$5,"Pendiente",IF(T$8=0,"OK",IF(EDATE(_xlfn.MAXIFS(Acuses!$D$5:$D$3004,Acuses!$A$5:$A$3004,$A33,Acuses!$B$5:$B$3004,T$4,Acuses!$C$5:$C$3004,T$5),T$8)&lt;Resumen!$C$4,"Caducado",IF(EDATE(_xlfn.MAXIFS(Acuses!$D$5:$D$3004,Acuses!$A$5:$A$3004,$A33,Acuses!$B$5:$B$3004,T$4,Acuses!$C$5:$C$3004,T$5),T$8)&lt;Resumen!$C$4+30,"Caduca pronto","OK"))))))</f>
        <v/>
      </c>
      <c r="U33" s="26" t="str">
        <f aca="false">IF(OR($A33="",U$4=""),"",IF(NOT(OR(U$6="Toda la plantilla",ISNUMBER(SEARCH(";"&amp;SUBSTITUTE($C33," ","")&amp;";",";"&amp;SUBSTITUTE(U$7," ","")&amp;";")))),"—",IF(_xlfn.MAXIFS(Acuses!$C$5:$C$3004,Acuses!$A$5:$A$3004,$A33,Acuses!$B$5:$B$3004,U$4)&lt;U$5,"Pendiente",IF(U$8=0,"OK",IF(EDATE(_xlfn.MAXIFS(Acuses!$D$5:$D$3004,Acuses!$A$5:$A$3004,$A33,Acuses!$B$5:$B$3004,U$4,Acuses!$C$5:$C$3004,U$5),U$8)&lt;Resumen!$C$4,"Caducado",IF(EDATE(_xlfn.MAXIFS(Acuses!$D$5:$D$3004,Acuses!$A$5:$A$3004,$A33,Acuses!$B$5:$B$3004,U$4,Acuses!$C$5:$C$3004,U$5),U$8)&lt;Resumen!$C$4+30,"Caduca pronto","OK"))))))</f>
        <v/>
      </c>
      <c r="V33" s="26" t="str">
        <f aca="false">IF(OR($A33="",V$4=""),"",IF(NOT(OR(V$6="Toda la plantilla",ISNUMBER(SEARCH(";"&amp;SUBSTITUTE($C33," ","")&amp;";",";"&amp;SUBSTITUTE(V$7," ","")&amp;";")))),"—",IF(_xlfn.MAXIFS(Acuses!$C$5:$C$3004,Acuses!$A$5:$A$3004,$A33,Acuses!$B$5:$B$3004,V$4)&lt;V$5,"Pendiente",IF(V$8=0,"OK",IF(EDATE(_xlfn.MAXIFS(Acuses!$D$5:$D$3004,Acuses!$A$5:$A$3004,$A33,Acuses!$B$5:$B$3004,V$4,Acuses!$C$5:$C$3004,V$5),V$8)&lt;Resumen!$C$4,"Caducado",IF(EDATE(_xlfn.MAXIFS(Acuses!$D$5:$D$3004,Acuses!$A$5:$A$3004,$A33,Acuses!$B$5:$B$3004,V$4,Acuses!$C$5:$C$3004,V$5),V$8)&lt;Resumen!$C$4+30,"Caduca pronto","OK"))))))</f>
        <v/>
      </c>
      <c r="W33" s="26" t="str">
        <f aca="false">IF(OR($A33="",W$4=""),"",IF(NOT(OR(W$6="Toda la plantilla",ISNUMBER(SEARCH(";"&amp;SUBSTITUTE($C33," ","")&amp;";",";"&amp;SUBSTITUTE(W$7," ","")&amp;";")))),"—",IF(_xlfn.MAXIFS(Acuses!$C$5:$C$3004,Acuses!$A$5:$A$3004,$A33,Acuses!$B$5:$B$3004,W$4)&lt;W$5,"Pendiente",IF(W$8=0,"OK",IF(EDATE(_xlfn.MAXIFS(Acuses!$D$5:$D$3004,Acuses!$A$5:$A$3004,$A33,Acuses!$B$5:$B$3004,W$4,Acuses!$C$5:$C$3004,W$5),W$8)&lt;Resumen!$C$4,"Caducado",IF(EDATE(_xlfn.MAXIFS(Acuses!$D$5:$D$3004,Acuses!$A$5:$A$3004,$A33,Acuses!$B$5:$B$3004,W$4,Acuses!$C$5:$C$3004,W$5),W$8)&lt;Resumen!$C$4+30,"Caduca pronto","OK"))))))</f>
        <v/>
      </c>
      <c r="X33" s="26" t="str">
        <f aca="false">IF(OR($A33="",X$4=""),"",IF(NOT(OR(X$6="Toda la plantilla",ISNUMBER(SEARCH(";"&amp;SUBSTITUTE($C33," ","")&amp;";",";"&amp;SUBSTITUTE(X$7," ","")&amp;";")))),"—",IF(_xlfn.MAXIFS(Acuses!$C$5:$C$3004,Acuses!$A$5:$A$3004,$A33,Acuses!$B$5:$B$3004,X$4)&lt;X$5,"Pendiente",IF(X$8=0,"OK",IF(EDATE(_xlfn.MAXIFS(Acuses!$D$5:$D$3004,Acuses!$A$5:$A$3004,$A33,Acuses!$B$5:$B$3004,X$4,Acuses!$C$5:$C$3004,X$5),X$8)&lt;Resumen!$C$4,"Caducado",IF(EDATE(_xlfn.MAXIFS(Acuses!$D$5:$D$3004,Acuses!$A$5:$A$3004,$A33,Acuses!$B$5:$B$3004,X$4,Acuses!$C$5:$C$3004,X$5),X$8)&lt;Resumen!$C$4+30,"Caduca pronto","OK"))))))</f>
        <v/>
      </c>
      <c r="Y33" s="26" t="str">
        <f aca="false">IF(OR($A33="",Y$4=""),"",IF(NOT(OR(Y$6="Toda la plantilla",ISNUMBER(SEARCH(";"&amp;SUBSTITUTE($C33," ","")&amp;";",";"&amp;SUBSTITUTE(Y$7," ","")&amp;";")))),"—",IF(_xlfn.MAXIFS(Acuses!$C$5:$C$3004,Acuses!$A$5:$A$3004,$A33,Acuses!$B$5:$B$3004,Y$4)&lt;Y$5,"Pendiente",IF(Y$8=0,"OK",IF(EDATE(_xlfn.MAXIFS(Acuses!$D$5:$D$3004,Acuses!$A$5:$A$3004,$A33,Acuses!$B$5:$B$3004,Y$4,Acuses!$C$5:$C$3004,Y$5),Y$8)&lt;Resumen!$C$4,"Caducado",IF(EDATE(_xlfn.MAXIFS(Acuses!$D$5:$D$3004,Acuses!$A$5:$A$3004,$A33,Acuses!$B$5:$B$3004,Y$4,Acuses!$C$5:$C$3004,Y$5),Y$8)&lt;Resumen!$C$4+30,"Caduca pronto","OK"))))))</f>
        <v/>
      </c>
      <c r="Z33" s="26" t="str">
        <f aca="false">IF(OR($A33="",Z$4=""),"",IF(NOT(OR(Z$6="Toda la plantilla",ISNUMBER(SEARCH(";"&amp;SUBSTITUTE($C33," ","")&amp;";",";"&amp;SUBSTITUTE(Z$7," ","")&amp;";")))),"—",IF(_xlfn.MAXIFS(Acuses!$C$5:$C$3004,Acuses!$A$5:$A$3004,$A33,Acuses!$B$5:$B$3004,Z$4)&lt;Z$5,"Pendiente",IF(Z$8=0,"OK",IF(EDATE(_xlfn.MAXIFS(Acuses!$D$5:$D$3004,Acuses!$A$5:$A$3004,$A33,Acuses!$B$5:$B$3004,Z$4,Acuses!$C$5:$C$3004,Z$5),Z$8)&lt;Resumen!$C$4,"Caducado",IF(EDATE(_xlfn.MAXIFS(Acuses!$D$5:$D$3004,Acuses!$A$5:$A$3004,$A33,Acuses!$B$5:$B$3004,Z$4,Acuses!$C$5:$C$3004,Z$5),Z$8)&lt;Resumen!$C$4+30,"Caduca pronto","OK"))))))</f>
        <v/>
      </c>
      <c r="AA33" s="26" t="str">
        <f aca="false">IF(OR($A33="",AA$4=""),"",IF(NOT(OR(AA$6="Toda la plantilla",ISNUMBER(SEARCH(";"&amp;SUBSTITUTE($C33," ","")&amp;";",";"&amp;SUBSTITUTE(AA$7," ","")&amp;";")))),"—",IF(_xlfn.MAXIFS(Acuses!$C$5:$C$3004,Acuses!$A$5:$A$3004,$A33,Acuses!$B$5:$B$3004,AA$4)&lt;AA$5,"Pendiente",IF(AA$8=0,"OK",IF(EDATE(_xlfn.MAXIFS(Acuses!$D$5:$D$3004,Acuses!$A$5:$A$3004,$A33,Acuses!$B$5:$B$3004,AA$4,Acuses!$C$5:$C$3004,AA$5),AA$8)&lt;Resumen!$C$4,"Caducado",IF(EDATE(_xlfn.MAXIFS(Acuses!$D$5:$D$3004,Acuses!$A$5:$A$3004,$A33,Acuses!$B$5:$B$3004,AA$4,Acuses!$C$5:$C$3004,AA$5),AA$8)&lt;Resumen!$C$4+30,"Caduca pronto","OK"))))))</f>
        <v/>
      </c>
      <c r="AB33" s="26" t="str">
        <f aca="false">IF(OR($A33="",AB$4=""),"",IF(NOT(OR(AB$6="Toda la plantilla",ISNUMBER(SEARCH(";"&amp;SUBSTITUTE($C33," ","")&amp;";",";"&amp;SUBSTITUTE(AB$7," ","")&amp;";")))),"—",IF(_xlfn.MAXIFS(Acuses!$C$5:$C$3004,Acuses!$A$5:$A$3004,$A33,Acuses!$B$5:$B$3004,AB$4)&lt;AB$5,"Pendiente",IF(AB$8=0,"OK",IF(EDATE(_xlfn.MAXIFS(Acuses!$D$5:$D$3004,Acuses!$A$5:$A$3004,$A33,Acuses!$B$5:$B$3004,AB$4,Acuses!$C$5:$C$3004,AB$5),AB$8)&lt;Resumen!$C$4,"Caducado",IF(EDATE(_xlfn.MAXIFS(Acuses!$D$5:$D$3004,Acuses!$A$5:$A$3004,$A33,Acuses!$B$5:$B$3004,AB$4,Acuses!$C$5:$C$3004,AB$5),AB$8)&lt;Resumen!$C$4+30,"Caduca pronto","OK"))))))</f>
        <v/>
      </c>
      <c r="AC33" s="26" t="str">
        <f aca="false">IF(OR($A33="",AC$4=""),"",IF(NOT(OR(AC$6="Toda la plantilla",ISNUMBER(SEARCH(";"&amp;SUBSTITUTE($C33," ","")&amp;";",";"&amp;SUBSTITUTE(AC$7," ","")&amp;";")))),"—",IF(_xlfn.MAXIFS(Acuses!$C$5:$C$3004,Acuses!$A$5:$A$3004,$A33,Acuses!$B$5:$B$3004,AC$4)&lt;AC$5,"Pendiente",IF(AC$8=0,"OK",IF(EDATE(_xlfn.MAXIFS(Acuses!$D$5:$D$3004,Acuses!$A$5:$A$3004,$A33,Acuses!$B$5:$B$3004,AC$4,Acuses!$C$5:$C$3004,AC$5),AC$8)&lt;Resumen!$C$4,"Caducado",IF(EDATE(_xlfn.MAXIFS(Acuses!$D$5:$D$3004,Acuses!$A$5:$A$3004,$A33,Acuses!$B$5:$B$3004,AC$4,Acuses!$C$5:$C$3004,AC$5),AC$8)&lt;Resumen!$C$4+30,"Caduca pronto","OK"))))))</f>
        <v/>
      </c>
      <c r="AD33" s="26" t="str">
        <f aca="false">IF(OR($A33="",AD$4=""),"",IF(NOT(OR(AD$6="Toda la plantilla",ISNUMBER(SEARCH(";"&amp;SUBSTITUTE($C33," ","")&amp;";",";"&amp;SUBSTITUTE(AD$7," ","")&amp;";")))),"—",IF(_xlfn.MAXIFS(Acuses!$C$5:$C$3004,Acuses!$A$5:$A$3004,$A33,Acuses!$B$5:$B$3004,AD$4)&lt;AD$5,"Pendiente",IF(AD$8=0,"OK",IF(EDATE(_xlfn.MAXIFS(Acuses!$D$5:$D$3004,Acuses!$A$5:$A$3004,$A33,Acuses!$B$5:$B$3004,AD$4,Acuses!$C$5:$C$3004,AD$5),AD$8)&lt;Resumen!$C$4,"Caducado",IF(EDATE(_xlfn.MAXIFS(Acuses!$D$5:$D$3004,Acuses!$A$5:$A$3004,$A33,Acuses!$B$5:$B$3004,AD$4,Acuses!$C$5:$C$3004,AD$5),AD$8)&lt;Resumen!$C$4+30,"Caduca pronto","OK"))))))</f>
        <v/>
      </c>
      <c r="AE33" s="26" t="str">
        <f aca="false">IF(OR($A33="",AE$4=""),"",IF(NOT(OR(AE$6="Toda la plantilla",ISNUMBER(SEARCH(";"&amp;SUBSTITUTE($C33," ","")&amp;";",";"&amp;SUBSTITUTE(AE$7," ","")&amp;";")))),"—",IF(_xlfn.MAXIFS(Acuses!$C$5:$C$3004,Acuses!$A$5:$A$3004,$A33,Acuses!$B$5:$B$3004,AE$4)&lt;AE$5,"Pendiente",IF(AE$8=0,"OK",IF(EDATE(_xlfn.MAXIFS(Acuses!$D$5:$D$3004,Acuses!$A$5:$A$3004,$A33,Acuses!$B$5:$B$3004,AE$4,Acuses!$C$5:$C$3004,AE$5),AE$8)&lt;Resumen!$C$4,"Caducado",IF(EDATE(_xlfn.MAXIFS(Acuses!$D$5:$D$3004,Acuses!$A$5:$A$3004,$A33,Acuses!$B$5:$B$3004,AE$4,Acuses!$C$5:$C$3004,AE$5),AE$8)&lt;Resumen!$C$4+30,"Caduca pronto","OK"))))))</f>
        <v/>
      </c>
      <c r="AF33" s="26" t="str">
        <f aca="false">IF(OR($A33="",AF$4=""),"",IF(NOT(OR(AF$6="Toda la plantilla",ISNUMBER(SEARCH(";"&amp;SUBSTITUTE($C33," ","")&amp;";",";"&amp;SUBSTITUTE(AF$7," ","")&amp;";")))),"—",IF(_xlfn.MAXIFS(Acuses!$C$5:$C$3004,Acuses!$A$5:$A$3004,$A33,Acuses!$B$5:$B$3004,AF$4)&lt;AF$5,"Pendiente",IF(AF$8=0,"OK",IF(EDATE(_xlfn.MAXIFS(Acuses!$D$5:$D$3004,Acuses!$A$5:$A$3004,$A33,Acuses!$B$5:$B$3004,AF$4,Acuses!$C$5:$C$3004,AF$5),AF$8)&lt;Resumen!$C$4,"Caducado",IF(EDATE(_xlfn.MAXIFS(Acuses!$D$5:$D$3004,Acuses!$A$5:$A$3004,$A33,Acuses!$B$5:$B$3004,AF$4,Acuses!$C$5:$C$3004,AF$5),AF$8)&lt;Resumen!$C$4+30,"Caduca pronto","OK"))))))</f>
        <v/>
      </c>
      <c r="AG33" s="26" t="str">
        <f aca="false">IF(OR($A33="",AG$4=""),"",IF(NOT(OR(AG$6="Toda la plantilla",ISNUMBER(SEARCH(";"&amp;SUBSTITUTE($C33," ","")&amp;";",";"&amp;SUBSTITUTE(AG$7," ","")&amp;";")))),"—",IF(_xlfn.MAXIFS(Acuses!$C$5:$C$3004,Acuses!$A$5:$A$3004,$A33,Acuses!$B$5:$B$3004,AG$4)&lt;AG$5,"Pendiente",IF(AG$8=0,"OK",IF(EDATE(_xlfn.MAXIFS(Acuses!$D$5:$D$3004,Acuses!$A$5:$A$3004,$A33,Acuses!$B$5:$B$3004,AG$4,Acuses!$C$5:$C$3004,AG$5),AG$8)&lt;Resumen!$C$4,"Caducado",IF(EDATE(_xlfn.MAXIFS(Acuses!$D$5:$D$3004,Acuses!$A$5:$A$3004,$A33,Acuses!$B$5:$B$3004,AG$4,Acuses!$C$5:$C$3004,AG$5),AG$8)&lt;Resumen!$C$4+30,"Caduca pronto","OK"))))))</f>
        <v/>
      </c>
      <c r="AH33" s="26" t="str">
        <f aca="false">IF(OR($A33="",AH$4=""),"",IF(NOT(OR(AH$6="Toda la plantilla",ISNUMBER(SEARCH(";"&amp;SUBSTITUTE($C33," ","")&amp;";",";"&amp;SUBSTITUTE(AH$7," ","")&amp;";")))),"—",IF(_xlfn.MAXIFS(Acuses!$C$5:$C$3004,Acuses!$A$5:$A$3004,$A33,Acuses!$B$5:$B$3004,AH$4)&lt;AH$5,"Pendiente",IF(AH$8=0,"OK",IF(EDATE(_xlfn.MAXIFS(Acuses!$D$5:$D$3004,Acuses!$A$5:$A$3004,$A33,Acuses!$B$5:$B$3004,AH$4,Acuses!$C$5:$C$3004,AH$5),AH$8)&lt;Resumen!$C$4,"Caducado",IF(EDATE(_xlfn.MAXIFS(Acuses!$D$5:$D$3004,Acuses!$A$5:$A$3004,$A33,Acuses!$B$5:$B$3004,AH$4,Acuses!$C$5:$C$3004,AH$5),AH$8)&lt;Resumen!$C$4+30,"Caduca pronto","OK"))))))</f>
        <v/>
      </c>
      <c r="AI33" s="26" t="str">
        <f aca="false">IF(OR($A33="",AI$4=""),"",IF(NOT(OR(AI$6="Toda la plantilla",ISNUMBER(SEARCH(";"&amp;SUBSTITUTE($C33," ","")&amp;";",";"&amp;SUBSTITUTE(AI$7," ","")&amp;";")))),"—",IF(_xlfn.MAXIFS(Acuses!$C$5:$C$3004,Acuses!$A$5:$A$3004,$A33,Acuses!$B$5:$B$3004,AI$4)&lt;AI$5,"Pendiente",IF(AI$8=0,"OK",IF(EDATE(_xlfn.MAXIFS(Acuses!$D$5:$D$3004,Acuses!$A$5:$A$3004,$A33,Acuses!$B$5:$B$3004,AI$4,Acuses!$C$5:$C$3004,AI$5),AI$8)&lt;Resumen!$C$4,"Caducado",IF(EDATE(_xlfn.MAXIFS(Acuses!$D$5:$D$3004,Acuses!$A$5:$A$3004,$A33,Acuses!$B$5:$B$3004,AI$4,Acuses!$C$5:$C$3004,AI$5),AI$8)&lt;Resumen!$C$4+30,"Caduca pronto","OK"))))))</f>
        <v/>
      </c>
      <c r="AJ33" s="26" t="str">
        <f aca="false">IF(OR($A33="",AJ$4=""),"",IF(NOT(OR(AJ$6="Toda la plantilla",ISNUMBER(SEARCH(";"&amp;SUBSTITUTE($C33," ","")&amp;";",";"&amp;SUBSTITUTE(AJ$7," ","")&amp;";")))),"—",IF(_xlfn.MAXIFS(Acuses!$C$5:$C$3004,Acuses!$A$5:$A$3004,$A33,Acuses!$B$5:$B$3004,AJ$4)&lt;AJ$5,"Pendiente",IF(AJ$8=0,"OK",IF(EDATE(_xlfn.MAXIFS(Acuses!$D$5:$D$3004,Acuses!$A$5:$A$3004,$A33,Acuses!$B$5:$B$3004,AJ$4,Acuses!$C$5:$C$3004,AJ$5),AJ$8)&lt;Resumen!$C$4,"Caducado",IF(EDATE(_xlfn.MAXIFS(Acuses!$D$5:$D$3004,Acuses!$A$5:$A$3004,$A33,Acuses!$B$5:$B$3004,AJ$4,Acuses!$C$5:$C$3004,AJ$5),AJ$8)&lt;Resumen!$C$4+30,"Caduca pronto","OK"))))))</f>
        <v/>
      </c>
      <c r="AK33" s="26" t="str">
        <f aca="false">IF(OR($A33="",AK$4=""),"",IF(NOT(OR(AK$6="Toda la plantilla",ISNUMBER(SEARCH(";"&amp;SUBSTITUTE($C33," ","")&amp;";",";"&amp;SUBSTITUTE(AK$7," ","")&amp;";")))),"—",IF(_xlfn.MAXIFS(Acuses!$C$5:$C$3004,Acuses!$A$5:$A$3004,$A33,Acuses!$B$5:$B$3004,AK$4)&lt;AK$5,"Pendiente",IF(AK$8=0,"OK",IF(EDATE(_xlfn.MAXIFS(Acuses!$D$5:$D$3004,Acuses!$A$5:$A$3004,$A33,Acuses!$B$5:$B$3004,AK$4,Acuses!$C$5:$C$3004,AK$5),AK$8)&lt;Resumen!$C$4,"Caducado",IF(EDATE(_xlfn.MAXIFS(Acuses!$D$5:$D$3004,Acuses!$A$5:$A$3004,$A33,Acuses!$B$5:$B$3004,AK$4,Acuses!$C$5:$C$3004,AK$5),AK$8)&lt;Resumen!$C$4+30,"Caduca pronto","OK"))))))</f>
        <v/>
      </c>
      <c r="AL33" s="26" t="str">
        <f aca="false">IF(OR($A33="",AL$4=""),"",IF(NOT(OR(AL$6="Toda la plantilla",ISNUMBER(SEARCH(";"&amp;SUBSTITUTE($C33," ","")&amp;";",";"&amp;SUBSTITUTE(AL$7," ","")&amp;";")))),"—",IF(_xlfn.MAXIFS(Acuses!$C$5:$C$3004,Acuses!$A$5:$A$3004,$A33,Acuses!$B$5:$B$3004,AL$4)&lt;AL$5,"Pendiente",IF(AL$8=0,"OK",IF(EDATE(_xlfn.MAXIFS(Acuses!$D$5:$D$3004,Acuses!$A$5:$A$3004,$A33,Acuses!$B$5:$B$3004,AL$4,Acuses!$C$5:$C$3004,AL$5),AL$8)&lt;Resumen!$C$4,"Caducado",IF(EDATE(_xlfn.MAXIFS(Acuses!$D$5:$D$3004,Acuses!$A$5:$A$3004,$A33,Acuses!$B$5:$B$3004,AL$4,Acuses!$C$5:$C$3004,AL$5),AL$8)&lt;Resumen!$C$4+30,"Caduca pronto","OK"))))))</f>
        <v/>
      </c>
      <c r="AM33" s="26" t="str">
        <f aca="false">IF(OR($A33="",AM$4=""),"",IF(NOT(OR(AM$6="Toda la plantilla",ISNUMBER(SEARCH(";"&amp;SUBSTITUTE($C33," ","")&amp;";",";"&amp;SUBSTITUTE(AM$7," ","")&amp;";")))),"—",IF(_xlfn.MAXIFS(Acuses!$C$5:$C$3004,Acuses!$A$5:$A$3004,$A33,Acuses!$B$5:$B$3004,AM$4)&lt;AM$5,"Pendiente",IF(AM$8=0,"OK",IF(EDATE(_xlfn.MAXIFS(Acuses!$D$5:$D$3004,Acuses!$A$5:$A$3004,$A33,Acuses!$B$5:$B$3004,AM$4,Acuses!$C$5:$C$3004,AM$5),AM$8)&lt;Resumen!$C$4,"Caducado",IF(EDATE(_xlfn.MAXIFS(Acuses!$D$5:$D$3004,Acuses!$A$5:$A$3004,$A33,Acuses!$B$5:$B$3004,AM$4,Acuses!$C$5:$C$3004,AM$5),AM$8)&lt;Resumen!$C$4+30,"Caduca pronto","OK"))))))</f>
        <v/>
      </c>
      <c r="AN33" s="26" t="str">
        <f aca="false">IF(OR($A33="",AN$4=""),"",IF(NOT(OR(AN$6="Toda la plantilla",ISNUMBER(SEARCH(";"&amp;SUBSTITUTE($C33," ","")&amp;";",";"&amp;SUBSTITUTE(AN$7," ","")&amp;";")))),"—",IF(_xlfn.MAXIFS(Acuses!$C$5:$C$3004,Acuses!$A$5:$A$3004,$A33,Acuses!$B$5:$B$3004,AN$4)&lt;AN$5,"Pendiente",IF(AN$8=0,"OK",IF(EDATE(_xlfn.MAXIFS(Acuses!$D$5:$D$3004,Acuses!$A$5:$A$3004,$A33,Acuses!$B$5:$B$3004,AN$4,Acuses!$C$5:$C$3004,AN$5),AN$8)&lt;Resumen!$C$4,"Caducado",IF(EDATE(_xlfn.MAXIFS(Acuses!$D$5:$D$3004,Acuses!$A$5:$A$3004,$A33,Acuses!$B$5:$B$3004,AN$4,Acuses!$C$5:$C$3004,AN$5),AN$8)&lt;Resumen!$C$4+30,"Caduca pronto","OK"))))))</f>
        <v/>
      </c>
      <c r="AO33" s="26" t="str">
        <f aca="false">IF(OR($A33="",AO$4=""),"",IF(NOT(OR(AO$6="Toda la plantilla",ISNUMBER(SEARCH(";"&amp;SUBSTITUTE($C33," ","")&amp;";",";"&amp;SUBSTITUTE(AO$7," ","")&amp;";")))),"—",IF(_xlfn.MAXIFS(Acuses!$C$5:$C$3004,Acuses!$A$5:$A$3004,$A33,Acuses!$B$5:$B$3004,AO$4)&lt;AO$5,"Pendiente",IF(AO$8=0,"OK",IF(EDATE(_xlfn.MAXIFS(Acuses!$D$5:$D$3004,Acuses!$A$5:$A$3004,$A33,Acuses!$B$5:$B$3004,AO$4,Acuses!$C$5:$C$3004,AO$5),AO$8)&lt;Resumen!$C$4,"Caducado",IF(EDATE(_xlfn.MAXIFS(Acuses!$D$5:$D$3004,Acuses!$A$5:$A$3004,$A33,Acuses!$B$5:$B$3004,AO$4,Acuses!$C$5:$C$3004,AO$5),AO$8)&lt;Resumen!$C$4+30,"Caduca pronto","OK"))))))</f>
        <v/>
      </c>
      <c r="AP33" s="26" t="str">
        <f aca="false">IF(OR($A33="",AP$4=""),"",IF(NOT(OR(AP$6="Toda la plantilla",ISNUMBER(SEARCH(";"&amp;SUBSTITUTE($C33," ","")&amp;";",";"&amp;SUBSTITUTE(AP$7," ","")&amp;";")))),"—",IF(_xlfn.MAXIFS(Acuses!$C$5:$C$3004,Acuses!$A$5:$A$3004,$A33,Acuses!$B$5:$B$3004,AP$4)&lt;AP$5,"Pendiente",IF(AP$8=0,"OK",IF(EDATE(_xlfn.MAXIFS(Acuses!$D$5:$D$3004,Acuses!$A$5:$A$3004,$A33,Acuses!$B$5:$B$3004,AP$4,Acuses!$C$5:$C$3004,AP$5),AP$8)&lt;Resumen!$C$4,"Caducado",IF(EDATE(_xlfn.MAXIFS(Acuses!$D$5:$D$3004,Acuses!$A$5:$A$3004,$A33,Acuses!$B$5:$B$3004,AP$4,Acuses!$C$5:$C$3004,AP$5),AP$8)&lt;Resumen!$C$4+30,"Caduca pronto","OK"))))))</f>
        <v/>
      </c>
      <c r="AQ33" s="26" t="str">
        <f aca="false">IF(OR($A33="",AQ$4=""),"",IF(NOT(OR(AQ$6="Toda la plantilla",ISNUMBER(SEARCH(";"&amp;SUBSTITUTE($C33," ","")&amp;";",";"&amp;SUBSTITUTE(AQ$7," ","")&amp;";")))),"—",IF(_xlfn.MAXIFS(Acuses!$C$5:$C$3004,Acuses!$A$5:$A$3004,$A33,Acuses!$B$5:$B$3004,AQ$4)&lt;AQ$5,"Pendiente",IF(AQ$8=0,"OK",IF(EDATE(_xlfn.MAXIFS(Acuses!$D$5:$D$3004,Acuses!$A$5:$A$3004,$A33,Acuses!$B$5:$B$3004,AQ$4,Acuses!$C$5:$C$3004,AQ$5),AQ$8)&lt;Resumen!$C$4,"Caducado",IF(EDATE(_xlfn.MAXIFS(Acuses!$D$5:$D$3004,Acuses!$A$5:$A$3004,$A33,Acuses!$B$5:$B$3004,AQ$4,Acuses!$C$5:$C$3004,AQ$5),AQ$8)&lt;Resumen!$C$4+30,"Caduca pronto","OK"))))))</f>
        <v/>
      </c>
    </row>
    <row r="34" customFormat="false" ht="15" hidden="false" customHeight="false" outlineLevel="0" collapsed="false">
      <c r="A34" s="25" t="str">
        <f aca="false">IF(AND(Trabajadores!$A$29&lt;&gt;"",Trabajadores!$G$29&lt;&gt;"No"),Trabajadores!$A$29,"")</f>
        <v/>
      </c>
      <c r="B34" s="25" t="str">
        <f aca="false">IF($A34="","",Trabajadores!$B$29)</f>
        <v/>
      </c>
      <c r="C34" s="25" t="str">
        <f aca="false">IF($A34="","",Trabajadores!$C$29)</f>
        <v/>
      </c>
      <c r="D34" s="26" t="str">
        <f aca="false">IF(OR($A34="",D$4=""),"",IF(NOT(OR(D$6="Toda la plantilla",ISNUMBER(SEARCH(";"&amp;SUBSTITUTE($C34," ","")&amp;";",";"&amp;SUBSTITUTE(D$7," ","")&amp;";")))),"—",IF(_xlfn.MAXIFS(Acuses!$C$5:$C$3004,Acuses!$A$5:$A$3004,$A34,Acuses!$B$5:$B$3004,D$4)&lt;D$5,"Pendiente",IF(D$8=0,"OK",IF(EDATE(_xlfn.MAXIFS(Acuses!$D$5:$D$3004,Acuses!$A$5:$A$3004,$A34,Acuses!$B$5:$B$3004,D$4,Acuses!$C$5:$C$3004,D$5),D$8)&lt;Resumen!$C$4,"Caducado",IF(EDATE(_xlfn.MAXIFS(Acuses!$D$5:$D$3004,Acuses!$A$5:$A$3004,$A34,Acuses!$B$5:$B$3004,D$4,Acuses!$C$5:$C$3004,D$5),D$8)&lt;Resumen!$C$4+30,"Caduca pronto","OK"))))))</f>
        <v/>
      </c>
      <c r="E34" s="26" t="str">
        <f aca="false">IF(OR($A34="",E$4=""),"",IF(NOT(OR(E$6="Toda la plantilla",ISNUMBER(SEARCH(";"&amp;SUBSTITUTE($C34," ","")&amp;";",";"&amp;SUBSTITUTE(E$7," ","")&amp;";")))),"—",IF(_xlfn.MAXIFS(Acuses!$C$5:$C$3004,Acuses!$A$5:$A$3004,$A34,Acuses!$B$5:$B$3004,E$4)&lt;E$5,"Pendiente",IF(E$8=0,"OK",IF(EDATE(_xlfn.MAXIFS(Acuses!$D$5:$D$3004,Acuses!$A$5:$A$3004,$A34,Acuses!$B$5:$B$3004,E$4,Acuses!$C$5:$C$3004,E$5),E$8)&lt;Resumen!$C$4,"Caducado",IF(EDATE(_xlfn.MAXIFS(Acuses!$D$5:$D$3004,Acuses!$A$5:$A$3004,$A34,Acuses!$B$5:$B$3004,E$4,Acuses!$C$5:$C$3004,E$5),E$8)&lt;Resumen!$C$4+30,"Caduca pronto","OK"))))))</f>
        <v/>
      </c>
      <c r="F34" s="26" t="str">
        <f aca="false">IF(OR($A34="",F$4=""),"",IF(NOT(OR(F$6="Toda la plantilla",ISNUMBER(SEARCH(";"&amp;SUBSTITUTE($C34," ","")&amp;";",";"&amp;SUBSTITUTE(F$7," ","")&amp;";")))),"—",IF(_xlfn.MAXIFS(Acuses!$C$5:$C$3004,Acuses!$A$5:$A$3004,$A34,Acuses!$B$5:$B$3004,F$4)&lt;F$5,"Pendiente",IF(F$8=0,"OK",IF(EDATE(_xlfn.MAXIFS(Acuses!$D$5:$D$3004,Acuses!$A$5:$A$3004,$A34,Acuses!$B$5:$B$3004,F$4,Acuses!$C$5:$C$3004,F$5),F$8)&lt;Resumen!$C$4,"Caducado",IF(EDATE(_xlfn.MAXIFS(Acuses!$D$5:$D$3004,Acuses!$A$5:$A$3004,$A34,Acuses!$B$5:$B$3004,F$4,Acuses!$C$5:$C$3004,F$5),F$8)&lt;Resumen!$C$4+30,"Caduca pronto","OK"))))))</f>
        <v/>
      </c>
      <c r="G34" s="26" t="str">
        <f aca="false">IF(OR($A34="",G$4=""),"",IF(NOT(OR(G$6="Toda la plantilla",ISNUMBER(SEARCH(";"&amp;SUBSTITUTE($C34," ","")&amp;";",";"&amp;SUBSTITUTE(G$7," ","")&amp;";")))),"—",IF(_xlfn.MAXIFS(Acuses!$C$5:$C$3004,Acuses!$A$5:$A$3004,$A34,Acuses!$B$5:$B$3004,G$4)&lt;G$5,"Pendiente",IF(G$8=0,"OK",IF(EDATE(_xlfn.MAXIFS(Acuses!$D$5:$D$3004,Acuses!$A$5:$A$3004,$A34,Acuses!$B$5:$B$3004,G$4,Acuses!$C$5:$C$3004,G$5),G$8)&lt;Resumen!$C$4,"Caducado",IF(EDATE(_xlfn.MAXIFS(Acuses!$D$5:$D$3004,Acuses!$A$5:$A$3004,$A34,Acuses!$B$5:$B$3004,G$4,Acuses!$C$5:$C$3004,G$5),G$8)&lt;Resumen!$C$4+30,"Caduca pronto","OK"))))))</f>
        <v/>
      </c>
      <c r="H34" s="26" t="str">
        <f aca="false">IF(OR($A34="",H$4=""),"",IF(NOT(OR(H$6="Toda la plantilla",ISNUMBER(SEARCH(";"&amp;SUBSTITUTE($C34," ","")&amp;";",";"&amp;SUBSTITUTE(H$7," ","")&amp;";")))),"—",IF(_xlfn.MAXIFS(Acuses!$C$5:$C$3004,Acuses!$A$5:$A$3004,$A34,Acuses!$B$5:$B$3004,H$4)&lt;H$5,"Pendiente",IF(H$8=0,"OK",IF(EDATE(_xlfn.MAXIFS(Acuses!$D$5:$D$3004,Acuses!$A$5:$A$3004,$A34,Acuses!$B$5:$B$3004,H$4,Acuses!$C$5:$C$3004,H$5),H$8)&lt;Resumen!$C$4,"Caducado",IF(EDATE(_xlfn.MAXIFS(Acuses!$D$5:$D$3004,Acuses!$A$5:$A$3004,$A34,Acuses!$B$5:$B$3004,H$4,Acuses!$C$5:$C$3004,H$5),H$8)&lt;Resumen!$C$4+30,"Caduca pronto","OK"))))))</f>
        <v/>
      </c>
      <c r="I34" s="26" t="str">
        <f aca="false">IF(OR($A34="",I$4=""),"",IF(NOT(OR(I$6="Toda la plantilla",ISNUMBER(SEARCH(";"&amp;SUBSTITUTE($C34," ","")&amp;";",";"&amp;SUBSTITUTE(I$7," ","")&amp;";")))),"—",IF(_xlfn.MAXIFS(Acuses!$C$5:$C$3004,Acuses!$A$5:$A$3004,$A34,Acuses!$B$5:$B$3004,I$4)&lt;I$5,"Pendiente",IF(I$8=0,"OK",IF(EDATE(_xlfn.MAXIFS(Acuses!$D$5:$D$3004,Acuses!$A$5:$A$3004,$A34,Acuses!$B$5:$B$3004,I$4,Acuses!$C$5:$C$3004,I$5),I$8)&lt;Resumen!$C$4,"Caducado",IF(EDATE(_xlfn.MAXIFS(Acuses!$D$5:$D$3004,Acuses!$A$5:$A$3004,$A34,Acuses!$B$5:$B$3004,I$4,Acuses!$C$5:$C$3004,I$5),I$8)&lt;Resumen!$C$4+30,"Caduca pronto","OK"))))))</f>
        <v/>
      </c>
      <c r="J34" s="26" t="str">
        <f aca="false">IF(OR($A34="",J$4=""),"",IF(NOT(OR(J$6="Toda la plantilla",ISNUMBER(SEARCH(";"&amp;SUBSTITUTE($C34," ","")&amp;";",";"&amp;SUBSTITUTE(J$7," ","")&amp;";")))),"—",IF(_xlfn.MAXIFS(Acuses!$C$5:$C$3004,Acuses!$A$5:$A$3004,$A34,Acuses!$B$5:$B$3004,J$4)&lt;J$5,"Pendiente",IF(J$8=0,"OK",IF(EDATE(_xlfn.MAXIFS(Acuses!$D$5:$D$3004,Acuses!$A$5:$A$3004,$A34,Acuses!$B$5:$B$3004,J$4,Acuses!$C$5:$C$3004,J$5),J$8)&lt;Resumen!$C$4,"Caducado",IF(EDATE(_xlfn.MAXIFS(Acuses!$D$5:$D$3004,Acuses!$A$5:$A$3004,$A34,Acuses!$B$5:$B$3004,J$4,Acuses!$C$5:$C$3004,J$5),J$8)&lt;Resumen!$C$4+30,"Caduca pronto","OK"))))))</f>
        <v/>
      </c>
      <c r="K34" s="26" t="str">
        <f aca="false">IF(OR($A34="",K$4=""),"",IF(NOT(OR(K$6="Toda la plantilla",ISNUMBER(SEARCH(";"&amp;SUBSTITUTE($C34," ","")&amp;";",";"&amp;SUBSTITUTE(K$7," ","")&amp;";")))),"—",IF(_xlfn.MAXIFS(Acuses!$C$5:$C$3004,Acuses!$A$5:$A$3004,$A34,Acuses!$B$5:$B$3004,K$4)&lt;K$5,"Pendiente",IF(K$8=0,"OK",IF(EDATE(_xlfn.MAXIFS(Acuses!$D$5:$D$3004,Acuses!$A$5:$A$3004,$A34,Acuses!$B$5:$B$3004,K$4,Acuses!$C$5:$C$3004,K$5),K$8)&lt;Resumen!$C$4,"Caducado",IF(EDATE(_xlfn.MAXIFS(Acuses!$D$5:$D$3004,Acuses!$A$5:$A$3004,$A34,Acuses!$B$5:$B$3004,K$4,Acuses!$C$5:$C$3004,K$5),K$8)&lt;Resumen!$C$4+30,"Caduca pronto","OK"))))))</f>
        <v/>
      </c>
      <c r="L34" s="26" t="str">
        <f aca="false">IF(OR($A34="",L$4=""),"",IF(NOT(OR(L$6="Toda la plantilla",ISNUMBER(SEARCH(";"&amp;SUBSTITUTE($C34," ","")&amp;";",";"&amp;SUBSTITUTE(L$7," ","")&amp;";")))),"—",IF(_xlfn.MAXIFS(Acuses!$C$5:$C$3004,Acuses!$A$5:$A$3004,$A34,Acuses!$B$5:$B$3004,L$4)&lt;L$5,"Pendiente",IF(L$8=0,"OK",IF(EDATE(_xlfn.MAXIFS(Acuses!$D$5:$D$3004,Acuses!$A$5:$A$3004,$A34,Acuses!$B$5:$B$3004,L$4,Acuses!$C$5:$C$3004,L$5),L$8)&lt;Resumen!$C$4,"Caducado",IF(EDATE(_xlfn.MAXIFS(Acuses!$D$5:$D$3004,Acuses!$A$5:$A$3004,$A34,Acuses!$B$5:$B$3004,L$4,Acuses!$C$5:$C$3004,L$5),L$8)&lt;Resumen!$C$4+30,"Caduca pronto","OK"))))))</f>
        <v/>
      </c>
      <c r="M34" s="26" t="str">
        <f aca="false">IF(OR($A34="",M$4=""),"",IF(NOT(OR(M$6="Toda la plantilla",ISNUMBER(SEARCH(";"&amp;SUBSTITUTE($C34," ","")&amp;";",";"&amp;SUBSTITUTE(M$7," ","")&amp;";")))),"—",IF(_xlfn.MAXIFS(Acuses!$C$5:$C$3004,Acuses!$A$5:$A$3004,$A34,Acuses!$B$5:$B$3004,M$4)&lt;M$5,"Pendiente",IF(M$8=0,"OK",IF(EDATE(_xlfn.MAXIFS(Acuses!$D$5:$D$3004,Acuses!$A$5:$A$3004,$A34,Acuses!$B$5:$B$3004,M$4,Acuses!$C$5:$C$3004,M$5),M$8)&lt;Resumen!$C$4,"Caducado",IF(EDATE(_xlfn.MAXIFS(Acuses!$D$5:$D$3004,Acuses!$A$5:$A$3004,$A34,Acuses!$B$5:$B$3004,M$4,Acuses!$C$5:$C$3004,M$5),M$8)&lt;Resumen!$C$4+30,"Caduca pronto","OK"))))))</f>
        <v/>
      </c>
      <c r="N34" s="26" t="str">
        <f aca="false">IF(OR($A34="",N$4=""),"",IF(NOT(OR(N$6="Toda la plantilla",ISNUMBER(SEARCH(";"&amp;SUBSTITUTE($C34," ","")&amp;";",";"&amp;SUBSTITUTE(N$7," ","")&amp;";")))),"—",IF(_xlfn.MAXIFS(Acuses!$C$5:$C$3004,Acuses!$A$5:$A$3004,$A34,Acuses!$B$5:$B$3004,N$4)&lt;N$5,"Pendiente",IF(N$8=0,"OK",IF(EDATE(_xlfn.MAXIFS(Acuses!$D$5:$D$3004,Acuses!$A$5:$A$3004,$A34,Acuses!$B$5:$B$3004,N$4,Acuses!$C$5:$C$3004,N$5),N$8)&lt;Resumen!$C$4,"Caducado",IF(EDATE(_xlfn.MAXIFS(Acuses!$D$5:$D$3004,Acuses!$A$5:$A$3004,$A34,Acuses!$B$5:$B$3004,N$4,Acuses!$C$5:$C$3004,N$5),N$8)&lt;Resumen!$C$4+30,"Caduca pronto","OK"))))))</f>
        <v/>
      </c>
      <c r="O34" s="26" t="str">
        <f aca="false">IF(OR($A34="",O$4=""),"",IF(NOT(OR(O$6="Toda la plantilla",ISNUMBER(SEARCH(";"&amp;SUBSTITUTE($C34," ","")&amp;";",";"&amp;SUBSTITUTE(O$7," ","")&amp;";")))),"—",IF(_xlfn.MAXIFS(Acuses!$C$5:$C$3004,Acuses!$A$5:$A$3004,$A34,Acuses!$B$5:$B$3004,O$4)&lt;O$5,"Pendiente",IF(O$8=0,"OK",IF(EDATE(_xlfn.MAXIFS(Acuses!$D$5:$D$3004,Acuses!$A$5:$A$3004,$A34,Acuses!$B$5:$B$3004,O$4,Acuses!$C$5:$C$3004,O$5),O$8)&lt;Resumen!$C$4,"Caducado",IF(EDATE(_xlfn.MAXIFS(Acuses!$D$5:$D$3004,Acuses!$A$5:$A$3004,$A34,Acuses!$B$5:$B$3004,O$4,Acuses!$C$5:$C$3004,O$5),O$8)&lt;Resumen!$C$4+30,"Caduca pronto","OK"))))))</f>
        <v/>
      </c>
      <c r="P34" s="26" t="str">
        <f aca="false">IF(OR($A34="",P$4=""),"",IF(NOT(OR(P$6="Toda la plantilla",ISNUMBER(SEARCH(";"&amp;SUBSTITUTE($C34," ","")&amp;";",";"&amp;SUBSTITUTE(P$7," ","")&amp;";")))),"—",IF(_xlfn.MAXIFS(Acuses!$C$5:$C$3004,Acuses!$A$5:$A$3004,$A34,Acuses!$B$5:$B$3004,P$4)&lt;P$5,"Pendiente",IF(P$8=0,"OK",IF(EDATE(_xlfn.MAXIFS(Acuses!$D$5:$D$3004,Acuses!$A$5:$A$3004,$A34,Acuses!$B$5:$B$3004,P$4,Acuses!$C$5:$C$3004,P$5),P$8)&lt;Resumen!$C$4,"Caducado",IF(EDATE(_xlfn.MAXIFS(Acuses!$D$5:$D$3004,Acuses!$A$5:$A$3004,$A34,Acuses!$B$5:$B$3004,P$4,Acuses!$C$5:$C$3004,P$5),P$8)&lt;Resumen!$C$4+30,"Caduca pronto","OK"))))))</f>
        <v/>
      </c>
      <c r="Q34" s="26" t="str">
        <f aca="false">IF(OR($A34="",Q$4=""),"",IF(NOT(OR(Q$6="Toda la plantilla",ISNUMBER(SEARCH(";"&amp;SUBSTITUTE($C34," ","")&amp;";",";"&amp;SUBSTITUTE(Q$7," ","")&amp;";")))),"—",IF(_xlfn.MAXIFS(Acuses!$C$5:$C$3004,Acuses!$A$5:$A$3004,$A34,Acuses!$B$5:$B$3004,Q$4)&lt;Q$5,"Pendiente",IF(Q$8=0,"OK",IF(EDATE(_xlfn.MAXIFS(Acuses!$D$5:$D$3004,Acuses!$A$5:$A$3004,$A34,Acuses!$B$5:$B$3004,Q$4,Acuses!$C$5:$C$3004,Q$5),Q$8)&lt;Resumen!$C$4,"Caducado",IF(EDATE(_xlfn.MAXIFS(Acuses!$D$5:$D$3004,Acuses!$A$5:$A$3004,$A34,Acuses!$B$5:$B$3004,Q$4,Acuses!$C$5:$C$3004,Q$5),Q$8)&lt;Resumen!$C$4+30,"Caduca pronto","OK"))))))</f>
        <v/>
      </c>
      <c r="R34" s="26" t="str">
        <f aca="false">IF(OR($A34="",R$4=""),"",IF(NOT(OR(R$6="Toda la plantilla",ISNUMBER(SEARCH(";"&amp;SUBSTITUTE($C34," ","")&amp;";",";"&amp;SUBSTITUTE(R$7," ","")&amp;";")))),"—",IF(_xlfn.MAXIFS(Acuses!$C$5:$C$3004,Acuses!$A$5:$A$3004,$A34,Acuses!$B$5:$B$3004,R$4)&lt;R$5,"Pendiente",IF(R$8=0,"OK",IF(EDATE(_xlfn.MAXIFS(Acuses!$D$5:$D$3004,Acuses!$A$5:$A$3004,$A34,Acuses!$B$5:$B$3004,R$4,Acuses!$C$5:$C$3004,R$5),R$8)&lt;Resumen!$C$4,"Caducado",IF(EDATE(_xlfn.MAXIFS(Acuses!$D$5:$D$3004,Acuses!$A$5:$A$3004,$A34,Acuses!$B$5:$B$3004,R$4,Acuses!$C$5:$C$3004,R$5),R$8)&lt;Resumen!$C$4+30,"Caduca pronto","OK"))))))</f>
        <v/>
      </c>
      <c r="S34" s="26" t="str">
        <f aca="false">IF(OR($A34="",S$4=""),"",IF(NOT(OR(S$6="Toda la plantilla",ISNUMBER(SEARCH(";"&amp;SUBSTITUTE($C34," ","")&amp;";",";"&amp;SUBSTITUTE(S$7," ","")&amp;";")))),"—",IF(_xlfn.MAXIFS(Acuses!$C$5:$C$3004,Acuses!$A$5:$A$3004,$A34,Acuses!$B$5:$B$3004,S$4)&lt;S$5,"Pendiente",IF(S$8=0,"OK",IF(EDATE(_xlfn.MAXIFS(Acuses!$D$5:$D$3004,Acuses!$A$5:$A$3004,$A34,Acuses!$B$5:$B$3004,S$4,Acuses!$C$5:$C$3004,S$5),S$8)&lt;Resumen!$C$4,"Caducado",IF(EDATE(_xlfn.MAXIFS(Acuses!$D$5:$D$3004,Acuses!$A$5:$A$3004,$A34,Acuses!$B$5:$B$3004,S$4,Acuses!$C$5:$C$3004,S$5),S$8)&lt;Resumen!$C$4+30,"Caduca pronto","OK"))))))</f>
        <v/>
      </c>
      <c r="T34" s="26" t="str">
        <f aca="false">IF(OR($A34="",T$4=""),"",IF(NOT(OR(T$6="Toda la plantilla",ISNUMBER(SEARCH(";"&amp;SUBSTITUTE($C34," ","")&amp;";",";"&amp;SUBSTITUTE(T$7," ","")&amp;";")))),"—",IF(_xlfn.MAXIFS(Acuses!$C$5:$C$3004,Acuses!$A$5:$A$3004,$A34,Acuses!$B$5:$B$3004,T$4)&lt;T$5,"Pendiente",IF(T$8=0,"OK",IF(EDATE(_xlfn.MAXIFS(Acuses!$D$5:$D$3004,Acuses!$A$5:$A$3004,$A34,Acuses!$B$5:$B$3004,T$4,Acuses!$C$5:$C$3004,T$5),T$8)&lt;Resumen!$C$4,"Caducado",IF(EDATE(_xlfn.MAXIFS(Acuses!$D$5:$D$3004,Acuses!$A$5:$A$3004,$A34,Acuses!$B$5:$B$3004,T$4,Acuses!$C$5:$C$3004,T$5),T$8)&lt;Resumen!$C$4+30,"Caduca pronto","OK"))))))</f>
        <v/>
      </c>
      <c r="U34" s="26" t="str">
        <f aca="false">IF(OR($A34="",U$4=""),"",IF(NOT(OR(U$6="Toda la plantilla",ISNUMBER(SEARCH(";"&amp;SUBSTITUTE($C34," ","")&amp;";",";"&amp;SUBSTITUTE(U$7," ","")&amp;";")))),"—",IF(_xlfn.MAXIFS(Acuses!$C$5:$C$3004,Acuses!$A$5:$A$3004,$A34,Acuses!$B$5:$B$3004,U$4)&lt;U$5,"Pendiente",IF(U$8=0,"OK",IF(EDATE(_xlfn.MAXIFS(Acuses!$D$5:$D$3004,Acuses!$A$5:$A$3004,$A34,Acuses!$B$5:$B$3004,U$4,Acuses!$C$5:$C$3004,U$5),U$8)&lt;Resumen!$C$4,"Caducado",IF(EDATE(_xlfn.MAXIFS(Acuses!$D$5:$D$3004,Acuses!$A$5:$A$3004,$A34,Acuses!$B$5:$B$3004,U$4,Acuses!$C$5:$C$3004,U$5),U$8)&lt;Resumen!$C$4+30,"Caduca pronto","OK"))))))</f>
        <v/>
      </c>
      <c r="V34" s="26" t="str">
        <f aca="false">IF(OR($A34="",V$4=""),"",IF(NOT(OR(V$6="Toda la plantilla",ISNUMBER(SEARCH(";"&amp;SUBSTITUTE($C34," ","")&amp;";",";"&amp;SUBSTITUTE(V$7," ","")&amp;";")))),"—",IF(_xlfn.MAXIFS(Acuses!$C$5:$C$3004,Acuses!$A$5:$A$3004,$A34,Acuses!$B$5:$B$3004,V$4)&lt;V$5,"Pendiente",IF(V$8=0,"OK",IF(EDATE(_xlfn.MAXIFS(Acuses!$D$5:$D$3004,Acuses!$A$5:$A$3004,$A34,Acuses!$B$5:$B$3004,V$4,Acuses!$C$5:$C$3004,V$5),V$8)&lt;Resumen!$C$4,"Caducado",IF(EDATE(_xlfn.MAXIFS(Acuses!$D$5:$D$3004,Acuses!$A$5:$A$3004,$A34,Acuses!$B$5:$B$3004,V$4,Acuses!$C$5:$C$3004,V$5),V$8)&lt;Resumen!$C$4+30,"Caduca pronto","OK"))))))</f>
        <v/>
      </c>
      <c r="W34" s="26" t="str">
        <f aca="false">IF(OR($A34="",W$4=""),"",IF(NOT(OR(W$6="Toda la plantilla",ISNUMBER(SEARCH(";"&amp;SUBSTITUTE($C34," ","")&amp;";",";"&amp;SUBSTITUTE(W$7," ","")&amp;";")))),"—",IF(_xlfn.MAXIFS(Acuses!$C$5:$C$3004,Acuses!$A$5:$A$3004,$A34,Acuses!$B$5:$B$3004,W$4)&lt;W$5,"Pendiente",IF(W$8=0,"OK",IF(EDATE(_xlfn.MAXIFS(Acuses!$D$5:$D$3004,Acuses!$A$5:$A$3004,$A34,Acuses!$B$5:$B$3004,W$4,Acuses!$C$5:$C$3004,W$5),W$8)&lt;Resumen!$C$4,"Caducado",IF(EDATE(_xlfn.MAXIFS(Acuses!$D$5:$D$3004,Acuses!$A$5:$A$3004,$A34,Acuses!$B$5:$B$3004,W$4,Acuses!$C$5:$C$3004,W$5),W$8)&lt;Resumen!$C$4+30,"Caduca pronto","OK"))))))</f>
        <v/>
      </c>
      <c r="X34" s="26" t="str">
        <f aca="false">IF(OR($A34="",X$4=""),"",IF(NOT(OR(X$6="Toda la plantilla",ISNUMBER(SEARCH(";"&amp;SUBSTITUTE($C34," ","")&amp;";",";"&amp;SUBSTITUTE(X$7," ","")&amp;";")))),"—",IF(_xlfn.MAXIFS(Acuses!$C$5:$C$3004,Acuses!$A$5:$A$3004,$A34,Acuses!$B$5:$B$3004,X$4)&lt;X$5,"Pendiente",IF(X$8=0,"OK",IF(EDATE(_xlfn.MAXIFS(Acuses!$D$5:$D$3004,Acuses!$A$5:$A$3004,$A34,Acuses!$B$5:$B$3004,X$4,Acuses!$C$5:$C$3004,X$5),X$8)&lt;Resumen!$C$4,"Caducado",IF(EDATE(_xlfn.MAXIFS(Acuses!$D$5:$D$3004,Acuses!$A$5:$A$3004,$A34,Acuses!$B$5:$B$3004,X$4,Acuses!$C$5:$C$3004,X$5),X$8)&lt;Resumen!$C$4+30,"Caduca pronto","OK"))))))</f>
        <v/>
      </c>
      <c r="Y34" s="26" t="str">
        <f aca="false">IF(OR($A34="",Y$4=""),"",IF(NOT(OR(Y$6="Toda la plantilla",ISNUMBER(SEARCH(";"&amp;SUBSTITUTE($C34," ","")&amp;";",";"&amp;SUBSTITUTE(Y$7," ","")&amp;";")))),"—",IF(_xlfn.MAXIFS(Acuses!$C$5:$C$3004,Acuses!$A$5:$A$3004,$A34,Acuses!$B$5:$B$3004,Y$4)&lt;Y$5,"Pendiente",IF(Y$8=0,"OK",IF(EDATE(_xlfn.MAXIFS(Acuses!$D$5:$D$3004,Acuses!$A$5:$A$3004,$A34,Acuses!$B$5:$B$3004,Y$4,Acuses!$C$5:$C$3004,Y$5),Y$8)&lt;Resumen!$C$4,"Caducado",IF(EDATE(_xlfn.MAXIFS(Acuses!$D$5:$D$3004,Acuses!$A$5:$A$3004,$A34,Acuses!$B$5:$B$3004,Y$4,Acuses!$C$5:$C$3004,Y$5),Y$8)&lt;Resumen!$C$4+30,"Caduca pronto","OK"))))))</f>
        <v/>
      </c>
      <c r="Z34" s="26" t="str">
        <f aca="false">IF(OR($A34="",Z$4=""),"",IF(NOT(OR(Z$6="Toda la plantilla",ISNUMBER(SEARCH(";"&amp;SUBSTITUTE($C34," ","")&amp;";",";"&amp;SUBSTITUTE(Z$7," ","")&amp;";")))),"—",IF(_xlfn.MAXIFS(Acuses!$C$5:$C$3004,Acuses!$A$5:$A$3004,$A34,Acuses!$B$5:$B$3004,Z$4)&lt;Z$5,"Pendiente",IF(Z$8=0,"OK",IF(EDATE(_xlfn.MAXIFS(Acuses!$D$5:$D$3004,Acuses!$A$5:$A$3004,$A34,Acuses!$B$5:$B$3004,Z$4,Acuses!$C$5:$C$3004,Z$5),Z$8)&lt;Resumen!$C$4,"Caducado",IF(EDATE(_xlfn.MAXIFS(Acuses!$D$5:$D$3004,Acuses!$A$5:$A$3004,$A34,Acuses!$B$5:$B$3004,Z$4,Acuses!$C$5:$C$3004,Z$5),Z$8)&lt;Resumen!$C$4+30,"Caduca pronto","OK"))))))</f>
        <v/>
      </c>
      <c r="AA34" s="26" t="str">
        <f aca="false">IF(OR($A34="",AA$4=""),"",IF(NOT(OR(AA$6="Toda la plantilla",ISNUMBER(SEARCH(";"&amp;SUBSTITUTE($C34," ","")&amp;";",";"&amp;SUBSTITUTE(AA$7," ","")&amp;";")))),"—",IF(_xlfn.MAXIFS(Acuses!$C$5:$C$3004,Acuses!$A$5:$A$3004,$A34,Acuses!$B$5:$B$3004,AA$4)&lt;AA$5,"Pendiente",IF(AA$8=0,"OK",IF(EDATE(_xlfn.MAXIFS(Acuses!$D$5:$D$3004,Acuses!$A$5:$A$3004,$A34,Acuses!$B$5:$B$3004,AA$4,Acuses!$C$5:$C$3004,AA$5),AA$8)&lt;Resumen!$C$4,"Caducado",IF(EDATE(_xlfn.MAXIFS(Acuses!$D$5:$D$3004,Acuses!$A$5:$A$3004,$A34,Acuses!$B$5:$B$3004,AA$4,Acuses!$C$5:$C$3004,AA$5),AA$8)&lt;Resumen!$C$4+30,"Caduca pronto","OK"))))))</f>
        <v/>
      </c>
      <c r="AB34" s="26" t="str">
        <f aca="false">IF(OR($A34="",AB$4=""),"",IF(NOT(OR(AB$6="Toda la plantilla",ISNUMBER(SEARCH(";"&amp;SUBSTITUTE($C34," ","")&amp;";",";"&amp;SUBSTITUTE(AB$7," ","")&amp;";")))),"—",IF(_xlfn.MAXIFS(Acuses!$C$5:$C$3004,Acuses!$A$5:$A$3004,$A34,Acuses!$B$5:$B$3004,AB$4)&lt;AB$5,"Pendiente",IF(AB$8=0,"OK",IF(EDATE(_xlfn.MAXIFS(Acuses!$D$5:$D$3004,Acuses!$A$5:$A$3004,$A34,Acuses!$B$5:$B$3004,AB$4,Acuses!$C$5:$C$3004,AB$5),AB$8)&lt;Resumen!$C$4,"Caducado",IF(EDATE(_xlfn.MAXIFS(Acuses!$D$5:$D$3004,Acuses!$A$5:$A$3004,$A34,Acuses!$B$5:$B$3004,AB$4,Acuses!$C$5:$C$3004,AB$5),AB$8)&lt;Resumen!$C$4+30,"Caduca pronto","OK"))))))</f>
        <v/>
      </c>
      <c r="AC34" s="26" t="str">
        <f aca="false">IF(OR($A34="",AC$4=""),"",IF(NOT(OR(AC$6="Toda la plantilla",ISNUMBER(SEARCH(";"&amp;SUBSTITUTE($C34," ","")&amp;";",";"&amp;SUBSTITUTE(AC$7," ","")&amp;";")))),"—",IF(_xlfn.MAXIFS(Acuses!$C$5:$C$3004,Acuses!$A$5:$A$3004,$A34,Acuses!$B$5:$B$3004,AC$4)&lt;AC$5,"Pendiente",IF(AC$8=0,"OK",IF(EDATE(_xlfn.MAXIFS(Acuses!$D$5:$D$3004,Acuses!$A$5:$A$3004,$A34,Acuses!$B$5:$B$3004,AC$4,Acuses!$C$5:$C$3004,AC$5),AC$8)&lt;Resumen!$C$4,"Caducado",IF(EDATE(_xlfn.MAXIFS(Acuses!$D$5:$D$3004,Acuses!$A$5:$A$3004,$A34,Acuses!$B$5:$B$3004,AC$4,Acuses!$C$5:$C$3004,AC$5),AC$8)&lt;Resumen!$C$4+30,"Caduca pronto","OK"))))))</f>
        <v/>
      </c>
      <c r="AD34" s="26" t="str">
        <f aca="false">IF(OR($A34="",AD$4=""),"",IF(NOT(OR(AD$6="Toda la plantilla",ISNUMBER(SEARCH(";"&amp;SUBSTITUTE($C34," ","")&amp;";",";"&amp;SUBSTITUTE(AD$7," ","")&amp;";")))),"—",IF(_xlfn.MAXIFS(Acuses!$C$5:$C$3004,Acuses!$A$5:$A$3004,$A34,Acuses!$B$5:$B$3004,AD$4)&lt;AD$5,"Pendiente",IF(AD$8=0,"OK",IF(EDATE(_xlfn.MAXIFS(Acuses!$D$5:$D$3004,Acuses!$A$5:$A$3004,$A34,Acuses!$B$5:$B$3004,AD$4,Acuses!$C$5:$C$3004,AD$5),AD$8)&lt;Resumen!$C$4,"Caducado",IF(EDATE(_xlfn.MAXIFS(Acuses!$D$5:$D$3004,Acuses!$A$5:$A$3004,$A34,Acuses!$B$5:$B$3004,AD$4,Acuses!$C$5:$C$3004,AD$5),AD$8)&lt;Resumen!$C$4+30,"Caduca pronto","OK"))))))</f>
        <v/>
      </c>
      <c r="AE34" s="26" t="str">
        <f aca="false">IF(OR($A34="",AE$4=""),"",IF(NOT(OR(AE$6="Toda la plantilla",ISNUMBER(SEARCH(";"&amp;SUBSTITUTE($C34," ","")&amp;";",";"&amp;SUBSTITUTE(AE$7," ","")&amp;";")))),"—",IF(_xlfn.MAXIFS(Acuses!$C$5:$C$3004,Acuses!$A$5:$A$3004,$A34,Acuses!$B$5:$B$3004,AE$4)&lt;AE$5,"Pendiente",IF(AE$8=0,"OK",IF(EDATE(_xlfn.MAXIFS(Acuses!$D$5:$D$3004,Acuses!$A$5:$A$3004,$A34,Acuses!$B$5:$B$3004,AE$4,Acuses!$C$5:$C$3004,AE$5),AE$8)&lt;Resumen!$C$4,"Caducado",IF(EDATE(_xlfn.MAXIFS(Acuses!$D$5:$D$3004,Acuses!$A$5:$A$3004,$A34,Acuses!$B$5:$B$3004,AE$4,Acuses!$C$5:$C$3004,AE$5),AE$8)&lt;Resumen!$C$4+30,"Caduca pronto","OK"))))))</f>
        <v/>
      </c>
      <c r="AF34" s="26" t="str">
        <f aca="false">IF(OR($A34="",AF$4=""),"",IF(NOT(OR(AF$6="Toda la plantilla",ISNUMBER(SEARCH(";"&amp;SUBSTITUTE($C34," ","")&amp;";",";"&amp;SUBSTITUTE(AF$7," ","")&amp;";")))),"—",IF(_xlfn.MAXIFS(Acuses!$C$5:$C$3004,Acuses!$A$5:$A$3004,$A34,Acuses!$B$5:$B$3004,AF$4)&lt;AF$5,"Pendiente",IF(AF$8=0,"OK",IF(EDATE(_xlfn.MAXIFS(Acuses!$D$5:$D$3004,Acuses!$A$5:$A$3004,$A34,Acuses!$B$5:$B$3004,AF$4,Acuses!$C$5:$C$3004,AF$5),AF$8)&lt;Resumen!$C$4,"Caducado",IF(EDATE(_xlfn.MAXIFS(Acuses!$D$5:$D$3004,Acuses!$A$5:$A$3004,$A34,Acuses!$B$5:$B$3004,AF$4,Acuses!$C$5:$C$3004,AF$5),AF$8)&lt;Resumen!$C$4+30,"Caduca pronto","OK"))))))</f>
        <v/>
      </c>
      <c r="AG34" s="26" t="str">
        <f aca="false">IF(OR($A34="",AG$4=""),"",IF(NOT(OR(AG$6="Toda la plantilla",ISNUMBER(SEARCH(";"&amp;SUBSTITUTE($C34," ","")&amp;";",";"&amp;SUBSTITUTE(AG$7," ","")&amp;";")))),"—",IF(_xlfn.MAXIFS(Acuses!$C$5:$C$3004,Acuses!$A$5:$A$3004,$A34,Acuses!$B$5:$B$3004,AG$4)&lt;AG$5,"Pendiente",IF(AG$8=0,"OK",IF(EDATE(_xlfn.MAXIFS(Acuses!$D$5:$D$3004,Acuses!$A$5:$A$3004,$A34,Acuses!$B$5:$B$3004,AG$4,Acuses!$C$5:$C$3004,AG$5),AG$8)&lt;Resumen!$C$4,"Caducado",IF(EDATE(_xlfn.MAXIFS(Acuses!$D$5:$D$3004,Acuses!$A$5:$A$3004,$A34,Acuses!$B$5:$B$3004,AG$4,Acuses!$C$5:$C$3004,AG$5),AG$8)&lt;Resumen!$C$4+30,"Caduca pronto","OK"))))))</f>
        <v/>
      </c>
      <c r="AH34" s="26" t="str">
        <f aca="false">IF(OR($A34="",AH$4=""),"",IF(NOT(OR(AH$6="Toda la plantilla",ISNUMBER(SEARCH(";"&amp;SUBSTITUTE($C34," ","")&amp;";",";"&amp;SUBSTITUTE(AH$7," ","")&amp;";")))),"—",IF(_xlfn.MAXIFS(Acuses!$C$5:$C$3004,Acuses!$A$5:$A$3004,$A34,Acuses!$B$5:$B$3004,AH$4)&lt;AH$5,"Pendiente",IF(AH$8=0,"OK",IF(EDATE(_xlfn.MAXIFS(Acuses!$D$5:$D$3004,Acuses!$A$5:$A$3004,$A34,Acuses!$B$5:$B$3004,AH$4,Acuses!$C$5:$C$3004,AH$5),AH$8)&lt;Resumen!$C$4,"Caducado",IF(EDATE(_xlfn.MAXIFS(Acuses!$D$5:$D$3004,Acuses!$A$5:$A$3004,$A34,Acuses!$B$5:$B$3004,AH$4,Acuses!$C$5:$C$3004,AH$5),AH$8)&lt;Resumen!$C$4+30,"Caduca pronto","OK"))))))</f>
        <v/>
      </c>
      <c r="AI34" s="26" t="str">
        <f aca="false">IF(OR($A34="",AI$4=""),"",IF(NOT(OR(AI$6="Toda la plantilla",ISNUMBER(SEARCH(";"&amp;SUBSTITUTE($C34," ","")&amp;";",";"&amp;SUBSTITUTE(AI$7," ","")&amp;";")))),"—",IF(_xlfn.MAXIFS(Acuses!$C$5:$C$3004,Acuses!$A$5:$A$3004,$A34,Acuses!$B$5:$B$3004,AI$4)&lt;AI$5,"Pendiente",IF(AI$8=0,"OK",IF(EDATE(_xlfn.MAXIFS(Acuses!$D$5:$D$3004,Acuses!$A$5:$A$3004,$A34,Acuses!$B$5:$B$3004,AI$4,Acuses!$C$5:$C$3004,AI$5),AI$8)&lt;Resumen!$C$4,"Caducado",IF(EDATE(_xlfn.MAXIFS(Acuses!$D$5:$D$3004,Acuses!$A$5:$A$3004,$A34,Acuses!$B$5:$B$3004,AI$4,Acuses!$C$5:$C$3004,AI$5),AI$8)&lt;Resumen!$C$4+30,"Caduca pronto","OK"))))))</f>
        <v/>
      </c>
      <c r="AJ34" s="26" t="str">
        <f aca="false">IF(OR($A34="",AJ$4=""),"",IF(NOT(OR(AJ$6="Toda la plantilla",ISNUMBER(SEARCH(";"&amp;SUBSTITUTE($C34," ","")&amp;";",";"&amp;SUBSTITUTE(AJ$7," ","")&amp;";")))),"—",IF(_xlfn.MAXIFS(Acuses!$C$5:$C$3004,Acuses!$A$5:$A$3004,$A34,Acuses!$B$5:$B$3004,AJ$4)&lt;AJ$5,"Pendiente",IF(AJ$8=0,"OK",IF(EDATE(_xlfn.MAXIFS(Acuses!$D$5:$D$3004,Acuses!$A$5:$A$3004,$A34,Acuses!$B$5:$B$3004,AJ$4,Acuses!$C$5:$C$3004,AJ$5),AJ$8)&lt;Resumen!$C$4,"Caducado",IF(EDATE(_xlfn.MAXIFS(Acuses!$D$5:$D$3004,Acuses!$A$5:$A$3004,$A34,Acuses!$B$5:$B$3004,AJ$4,Acuses!$C$5:$C$3004,AJ$5),AJ$8)&lt;Resumen!$C$4+30,"Caduca pronto","OK"))))))</f>
        <v/>
      </c>
      <c r="AK34" s="26" t="str">
        <f aca="false">IF(OR($A34="",AK$4=""),"",IF(NOT(OR(AK$6="Toda la plantilla",ISNUMBER(SEARCH(";"&amp;SUBSTITUTE($C34," ","")&amp;";",";"&amp;SUBSTITUTE(AK$7," ","")&amp;";")))),"—",IF(_xlfn.MAXIFS(Acuses!$C$5:$C$3004,Acuses!$A$5:$A$3004,$A34,Acuses!$B$5:$B$3004,AK$4)&lt;AK$5,"Pendiente",IF(AK$8=0,"OK",IF(EDATE(_xlfn.MAXIFS(Acuses!$D$5:$D$3004,Acuses!$A$5:$A$3004,$A34,Acuses!$B$5:$B$3004,AK$4,Acuses!$C$5:$C$3004,AK$5),AK$8)&lt;Resumen!$C$4,"Caducado",IF(EDATE(_xlfn.MAXIFS(Acuses!$D$5:$D$3004,Acuses!$A$5:$A$3004,$A34,Acuses!$B$5:$B$3004,AK$4,Acuses!$C$5:$C$3004,AK$5),AK$8)&lt;Resumen!$C$4+30,"Caduca pronto","OK"))))))</f>
        <v/>
      </c>
      <c r="AL34" s="26" t="str">
        <f aca="false">IF(OR($A34="",AL$4=""),"",IF(NOT(OR(AL$6="Toda la plantilla",ISNUMBER(SEARCH(";"&amp;SUBSTITUTE($C34," ","")&amp;";",";"&amp;SUBSTITUTE(AL$7," ","")&amp;";")))),"—",IF(_xlfn.MAXIFS(Acuses!$C$5:$C$3004,Acuses!$A$5:$A$3004,$A34,Acuses!$B$5:$B$3004,AL$4)&lt;AL$5,"Pendiente",IF(AL$8=0,"OK",IF(EDATE(_xlfn.MAXIFS(Acuses!$D$5:$D$3004,Acuses!$A$5:$A$3004,$A34,Acuses!$B$5:$B$3004,AL$4,Acuses!$C$5:$C$3004,AL$5),AL$8)&lt;Resumen!$C$4,"Caducado",IF(EDATE(_xlfn.MAXIFS(Acuses!$D$5:$D$3004,Acuses!$A$5:$A$3004,$A34,Acuses!$B$5:$B$3004,AL$4,Acuses!$C$5:$C$3004,AL$5),AL$8)&lt;Resumen!$C$4+30,"Caduca pronto","OK"))))))</f>
        <v/>
      </c>
      <c r="AM34" s="26" t="str">
        <f aca="false">IF(OR($A34="",AM$4=""),"",IF(NOT(OR(AM$6="Toda la plantilla",ISNUMBER(SEARCH(";"&amp;SUBSTITUTE($C34," ","")&amp;";",";"&amp;SUBSTITUTE(AM$7," ","")&amp;";")))),"—",IF(_xlfn.MAXIFS(Acuses!$C$5:$C$3004,Acuses!$A$5:$A$3004,$A34,Acuses!$B$5:$B$3004,AM$4)&lt;AM$5,"Pendiente",IF(AM$8=0,"OK",IF(EDATE(_xlfn.MAXIFS(Acuses!$D$5:$D$3004,Acuses!$A$5:$A$3004,$A34,Acuses!$B$5:$B$3004,AM$4,Acuses!$C$5:$C$3004,AM$5),AM$8)&lt;Resumen!$C$4,"Caducado",IF(EDATE(_xlfn.MAXIFS(Acuses!$D$5:$D$3004,Acuses!$A$5:$A$3004,$A34,Acuses!$B$5:$B$3004,AM$4,Acuses!$C$5:$C$3004,AM$5),AM$8)&lt;Resumen!$C$4+30,"Caduca pronto","OK"))))))</f>
        <v/>
      </c>
      <c r="AN34" s="26" t="str">
        <f aca="false">IF(OR($A34="",AN$4=""),"",IF(NOT(OR(AN$6="Toda la plantilla",ISNUMBER(SEARCH(";"&amp;SUBSTITUTE($C34," ","")&amp;";",";"&amp;SUBSTITUTE(AN$7," ","")&amp;";")))),"—",IF(_xlfn.MAXIFS(Acuses!$C$5:$C$3004,Acuses!$A$5:$A$3004,$A34,Acuses!$B$5:$B$3004,AN$4)&lt;AN$5,"Pendiente",IF(AN$8=0,"OK",IF(EDATE(_xlfn.MAXIFS(Acuses!$D$5:$D$3004,Acuses!$A$5:$A$3004,$A34,Acuses!$B$5:$B$3004,AN$4,Acuses!$C$5:$C$3004,AN$5),AN$8)&lt;Resumen!$C$4,"Caducado",IF(EDATE(_xlfn.MAXIFS(Acuses!$D$5:$D$3004,Acuses!$A$5:$A$3004,$A34,Acuses!$B$5:$B$3004,AN$4,Acuses!$C$5:$C$3004,AN$5),AN$8)&lt;Resumen!$C$4+30,"Caduca pronto","OK"))))))</f>
        <v/>
      </c>
      <c r="AO34" s="26" t="str">
        <f aca="false">IF(OR($A34="",AO$4=""),"",IF(NOT(OR(AO$6="Toda la plantilla",ISNUMBER(SEARCH(";"&amp;SUBSTITUTE($C34," ","")&amp;";",";"&amp;SUBSTITUTE(AO$7," ","")&amp;";")))),"—",IF(_xlfn.MAXIFS(Acuses!$C$5:$C$3004,Acuses!$A$5:$A$3004,$A34,Acuses!$B$5:$B$3004,AO$4)&lt;AO$5,"Pendiente",IF(AO$8=0,"OK",IF(EDATE(_xlfn.MAXIFS(Acuses!$D$5:$D$3004,Acuses!$A$5:$A$3004,$A34,Acuses!$B$5:$B$3004,AO$4,Acuses!$C$5:$C$3004,AO$5),AO$8)&lt;Resumen!$C$4,"Caducado",IF(EDATE(_xlfn.MAXIFS(Acuses!$D$5:$D$3004,Acuses!$A$5:$A$3004,$A34,Acuses!$B$5:$B$3004,AO$4,Acuses!$C$5:$C$3004,AO$5),AO$8)&lt;Resumen!$C$4+30,"Caduca pronto","OK"))))))</f>
        <v/>
      </c>
      <c r="AP34" s="26" t="str">
        <f aca="false">IF(OR($A34="",AP$4=""),"",IF(NOT(OR(AP$6="Toda la plantilla",ISNUMBER(SEARCH(";"&amp;SUBSTITUTE($C34," ","")&amp;";",";"&amp;SUBSTITUTE(AP$7," ","")&amp;";")))),"—",IF(_xlfn.MAXIFS(Acuses!$C$5:$C$3004,Acuses!$A$5:$A$3004,$A34,Acuses!$B$5:$B$3004,AP$4)&lt;AP$5,"Pendiente",IF(AP$8=0,"OK",IF(EDATE(_xlfn.MAXIFS(Acuses!$D$5:$D$3004,Acuses!$A$5:$A$3004,$A34,Acuses!$B$5:$B$3004,AP$4,Acuses!$C$5:$C$3004,AP$5),AP$8)&lt;Resumen!$C$4,"Caducado",IF(EDATE(_xlfn.MAXIFS(Acuses!$D$5:$D$3004,Acuses!$A$5:$A$3004,$A34,Acuses!$B$5:$B$3004,AP$4,Acuses!$C$5:$C$3004,AP$5),AP$8)&lt;Resumen!$C$4+30,"Caduca pronto","OK"))))))</f>
        <v/>
      </c>
      <c r="AQ34" s="26" t="str">
        <f aca="false">IF(OR($A34="",AQ$4=""),"",IF(NOT(OR(AQ$6="Toda la plantilla",ISNUMBER(SEARCH(";"&amp;SUBSTITUTE($C34," ","")&amp;";",";"&amp;SUBSTITUTE(AQ$7," ","")&amp;";")))),"—",IF(_xlfn.MAXIFS(Acuses!$C$5:$C$3004,Acuses!$A$5:$A$3004,$A34,Acuses!$B$5:$B$3004,AQ$4)&lt;AQ$5,"Pendiente",IF(AQ$8=0,"OK",IF(EDATE(_xlfn.MAXIFS(Acuses!$D$5:$D$3004,Acuses!$A$5:$A$3004,$A34,Acuses!$B$5:$B$3004,AQ$4,Acuses!$C$5:$C$3004,AQ$5),AQ$8)&lt;Resumen!$C$4,"Caducado",IF(EDATE(_xlfn.MAXIFS(Acuses!$D$5:$D$3004,Acuses!$A$5:$A$3004,$A34,Acuses!$B$5:$B$3004,AQ$4,Acuses!$C$5:$C$3004,AQ$5),AQ$8)&lt;Resumen!$C$4+30,"Caduca pronto","OK"))))))</f>
        <v/>
      </c>
    </row>
    <row r="35" customFormat="false" ht="15" hidden="false" customHeight="false" outlineLevel="0" collapsed="false">
      <c r="A35" s="25" t="str">
        <f aca="false">IF(AND(Trabajadores!$A$30&lt;&gt;"",Trabajadores!$G$30&lt;&gt;"No"),Trabajadores!$A$30,"")</f>
        <v/>
      </c>
      <c r="B35" s="25" t="str">
        <f aca="false">IF($A35="","",Trabajadores!$B$30)</f>
        <v/>
      </c>
      <c r="C35" s="25" t="str">
        <f aca="false">IF($A35="","",Trabajadores!$C$30)</f>
        <v/>
      </c>
      <c r="D35" s="26" t="str">
        <f aca="false">IF(OR($A35="",D$4=""),"",IF(NOT(OR(D$6="Toda la plantilla",ISNUMBER(SEARCH(";"&amp;SUBSTITUTE($C35," ","")&amp;";",";"&amp;SUBSTITUTE(D$7," ","")&amp;";")))),"—",IF(_xlfn.MAXIFS(Acuses!$C$5:$C$3004,Acuses!$A$5:$A$3004,$A35,Acuses!$B$5:$B$3004,D$4)&lt;D$5,"Pendiente",IF(D$8=0,"OK",IF(EDATE(_xlfn.MAXIFS(Acuses!$D$5:$D$3004,Acuses!$A$5:$A$3004,$A35,Acuses!$B$5:$B$3004,D$4,Acuses!$C$5:$C$3004,D$5),D$8)&lt;Resumen!$C$4,"Caducado",IF(EDATE(_xlfn.MAXIFS(Acuses!$D$5:$D$3004,Acuses!$A$5:$A$3004,$A35,Acuses!$B$5:$B$3004,D$4,Acuses!$C$5:$C$3004,D$5),D$8)&lt;Resumen!$C$4+30,"Caduca pronto","OK"))))))</f>
        <v/>
      </c>
      <c r="E35" s="26" t="str">
        <f aca="false">IF(OR($A35="",E$4=""),"",IF(NOT(OR(E$6="Toda la plantilla",ISNUMBER(SEARCH(";"&amp;SUBSTITUTE($C35," ","")&amp;";",";"&amp;SUBSTITUTE(E$7," ","")&amp;";")))),"—",IF(_xlfn.MAXIFS(Acuses!$C$5:$C$3004,Acuses!$A$5:$A$3004,$A35,Acuses!$B$5:$B$3004,E$4)&lt;E$5,"Pendiente",IF(E$8=0,"OK",IF(EDATE(_xlfn.MAXIFS(Acuses!$D$5:$D$3004,Acuses!$A$5:$A$3004,$A35,Acuses!$B$5:$B$3004,E$4,Acuses!$C$5:$C$3004,E$5),E$8)&lt;Resumen!$C$4,"Caducado",IF(EDATE(_xlfn.MAXIFS(Acuses!$D$5:$D$3004,Acuses!$A$5:$A$3004,$A35,Acuses!$B$5:$B$3004,E$4,Acuses!$C$5:$C$3004,E$5),E$8)&lt;Resumen!$C$4+30,"Caduca pronto","OK"))))))</f>
        <v/>
      </c>
      <c r="F35" s="26" t="str">
        <f aca="false">IF(OR($A35="",F$4=""),"",IF(NOT(OR(F$6="Toda la plantilla",ISNUMBER(SEARCH(";"&amp;SUBSTITUTE($C35," ","")&amp;";",";"&amp;SUBSTITUTE(F$7," ","")&amp;";")))),"—",IF(_xlfn.MAXIFS(Acuses!$C$5:$C$3004,Acuses!$A$5:$A$3004,$A35,Acuses!$B$5:$B$3004,F$4)&lt;F$5,"Pendiente",IF(F$8=0,"OK",IF(EDATE(_xlfn.MAXIFS(Acuses!$D$5:$D$3004,Acuses!$A$5:$A$3004,$A35,Acuses!$B$5:$B$3004,F$4,Acuses!$C$5:$C$3004,F$5),F$8)&lt;Resumen!$C$4,"Caducado",IF(EDATE(_xlfn.MAXIFS(Acuses!$D$5:$D$3004,Acuses!$A$5:$A$3004,$A35,Acuses!$B$5:$B$3004,F$4,Acuses!$C$5:$C$3004,F$5),F$8)&lt;Resumen!$C$4+30,"Caduca pronto","OK"))))))</f>
        <v/>
      </c>
      <c r="G35" s="26" t="str">
        <f aca="false">IF(OR($A35="",G$4=""),"",IF(NOT(OR(G$6="Toda la plantilla",ISNUMBER(SEARCH(";"&amp;SUBSTITUTE($C35," ","")&amp;";",";"&amp;SUBSTITUTE(G$7," ","")&amp;";")))),"—",IF(_xlfn.MAXIFS(Acuses!$C$5:$C$3004,Acuses!$A$5:$A$3004,$A35,Acuses!$B$5:$B$3004,G$4)&lt;G$5,"Pendiente",IF(G$8=0,"OK",IF(EDATE(_xlfn.MAXIFS(Acuses!$D$5:$D$3004,Acuses!$A$5:$A$3004,$A35,Acuses!$B$5:$B$3004,G$4,Acuses!$C$5:$C$3004,G$5),G$8)&lt;Resumen!$C$4,"Caducado",IF(EDATE(_xlfn.MAXIFS(Acuses!$D$5:$D$3004,Acuses!$A$5:$A$3004,$A35,Acuses!$B$5:$B$3004,G$4,Acuses!$C$5:$C$3004,G$5),G$8)&lt;Resumen!$C$4+30,"Caduca pronto","OK"))))))</f>
        <v/>
      </c>
      <c r="H35" s="26" t="str">
        <f aca="false">IF(OR($A35="",H$4=""),"",IF(NOT(OR(H$6="Toda la plantilla",ISNUMBER(SEARCH(";"&amp;SUBSTITUTE($C35," ","")&amp;";",";"&amp;SUBSTITUTE(H$7," ","")&amp;";")))),"—",IF(_xlfn.MAXIFS(Acuses!$C$5:$C$3004,Acuses!$A$5:$A$3004,$A35,Acuses!$B$5:$B$3004,H$4)&lt;H$5,"Pendiente",IF(H$8=0,"OK",IF(EDATE(_xlfn.MAXIFS(Acuses!$D$5:$D$3004,Acuses!$A$5:$A$3004,$A35,Acuses!$B$5:$B$3004,H$4,Acuses!$C$5:$C$3004,H$5),H$8)&lt;Resumen!$C$4,"Caducado",IF(EDATE(_xlfn.MAXIFS(Acuses!$D$5:$D$3004,Acuses!$A$5:$A$3004,$A35,Acuses!$B$5:$B$3004,H$4,Acuses!$C$5:$C$3004,H$5),H$8)&lt;Resumen!$C$4+30,"Caduca pronto","OK"))))))</f>
        <v/>
      </c>
      <c r="I35" s="26" t="str">
        <f aca="false">IF(OR($A35="",I$4=""),"",IF(NOT(OR(I$6="Toda la plantilla",ISNUMBER(SEARCH(";"&amp;SUBSTITUTE($C35," ","")&amp;";",";"&amp;SUBSTITUTE(I$7," ","")&amp;";")))),"—",IF(_xlfn.MAXIFS(Acuses!$C$5:$C$3004,Acuses!$A$5:$A$3004,$A35,Acuses!$B$5:$B$3004,I$4)&lt;I$5,"Pendiente",IF(I$8=0,"OK",IF(EDATE(_xlfn.MAXIFS(Acuses!$D$5:$D$3004,Acuses!$A$5:$A$3004,$A35,Acuses!$B$5:$B$3004,I$4,Acuses!$C$5:$C$3004,I$5),I$8)&lt;Resumen!$C$4,"Caducado",IF(EDATE(_xlfn.MAXIFS(Acuses!$D$5:$D$3004,Acuses!$A$5:$A$3004,$A35,Acuses!$B$5:$B$3004,I$4,Acuses!$C$5:$C$3004,I$5),I$8)&lt;Resumen!$C$4+30,"Caduca pronto","OK"))))))</f>
        <v/>
      </c>
      <c r="J35" s="26" t="str">
        <f aca="false">IF(OR($A35="",J$4=""),"",IF(NOT(OR(J$6="Toda la plantilla",ISNUMBER(SEARCH(";"&amp;SUBSTITUTE($C35," ","")&amp;";",";"&amp;SUBSTITUTE(J$7," ","")&amp;";")))),"—",IF(_xlfn.MAXIFS(Acuses!$C$5:$C$3004,Acuses!$A$5:$A$3004,$A35,Acuses!$B$5:$B$3004,J$4)&lt;J$5,"Pendiente",IF(J$8=0,"OK",IF(EDATE(_xlfn.MAXIFS(Acuses!$D$5:$D$3004,Acuses!$A$5:$A$3004,$A35,Acuses!$B$5:$B$3004,J$4,Acuses!$C$5:$C$3004,J$5),J$8)&lt;Resumen!$C$4,"Caducado",IF(EDATE(_xlfn.MAXIFS(Acuses!$D$5:$D$3004,Acuses!$A$5:$A$3004,$A35,Acuses!$B$5:$B$3004,J$4,Acuses!$C$5:$C$3004,J$5),J$8)&lt;Resumen!$C$4+30,"Caduca pronto","OK"))))))</f>
        <v/>
      </c>
      <c r="K35" s="26" t="str">
        <f aca="false">IF(OR($A35="",K$4=""),"",IF(NOT(OR(K$6="Toda la plantilla",ISNUMBER(SEARCH(";"&amp;SUBSTITUTE($C35," ","")&amp;";",";"&amp;SUBSTITUTE(K$7," ","")&amp;";")))),"—",IF(_xlfn.MAXIFS(Acuses!$C$5:$C$3004,Acuses!$A$5:$A$3004,$A35,Acuses!$B$5:$B$3004,K$4)&lt;K$5,"Pendiente",IF(K$8=0,"OK",IF(EDATE(_xlfn.MAXIFS(Acuses!$D$5:$D$3004,Acuses!$A$5:$A$3004,$A35,Acuses!$B$5:$B$3004,K$4,Acuses!$C$5:$C$3004,K$5),K$8)&lt;Resumen!$C$4,"Caducado",IF(EDATE(_xlfn.MAXIFS(Acuses!$D$5:$D$3004,Acuses!$A$5:$A$3004,$A35,Acuses!$B$5:$B$3004,K$4,Acuses!$C$5:$C$3004,K$5),K$8)&lt;Resumen!$C$4+30,"Caduca pronto","OK"))))))</f>
        <v/>
      </c>
      <c r="L35" s="26" t="str">
        <f aca="false">IF(OR($A35="",L$4=""),"",IF(NOT(OR(L$6="Toda la plantilla",ISNUMBER(SEARCH(";"&amp;SUBSTITUTE($C35," ","")&amp;";",";"&amp;SUBSTITUTE(L$7," ","")&amp;";")))),"—",IF(_xlfn.MAXIFS(Acuses!$C$5:$C$3004,Acuses!$A$5:$A$3004,$A35,Acuses!$B$5:$B$3004,L$4)&lt;L$5,"Pendiente",IF(L$8=0,"OK",IF(EDATE(_xlfn.MAXIFS(Acuses!$D$5:$D$3004,Acuses!$A$5:$A$3004,$A35,Acuses!$B$5:$B$3004,L$4,Acuses!$C$5:$C$3004,L$5),L$8)&lt;Resumen!$C$4,"Caducado",IF(EDATE(_xlfn.MAXIFS(Acuses!$D$5:$D$3004,Acuses!$A$5:$A$3004,$A35,Acuses!$B$5:$B$3004,L$4,Acuses!$C$5:$C$3004,L$5),L$8)&lt;Resumen!$C$4+30,"Caduca pronto","OK"))))))</f>
        <v/>
      </c>
      <c r="M35" s="26" t="str">
        <f aca="false">IF(OR($A35="",M$4=""),"",IF(NOT(OR(M$6="Toda la plantilla",ISNUMBER(SEARCH(";"&amp;SUBSTITUTE($C35," ","")&amp;";",";"&amp;SUBSTITUTE(M$7," ","")&amp;";")))),"—",IF(_xlfn.MAXIFS(Acuses!$C$5:$C$3004,Acuses!$A$5:$A$3004,$A35,Acuses!$B$5:$B$3004,M$4)&lt;M$5,"Pendiente",IF(M$8=0,"OK",IF(EDATE(_xlfn.MAXIFS(Acuses!$D$5:$D$3004,Acuses!$A$5:$A$3004,$A35,Acuses!$B$5:$B$3004,M$4,Acuses!$C$5:$C$3004,M$5),M$8)&lt;Resumen!$C$4,"Caducado",IF(EDATE(_xlfn.MAXIFS(Acuses!$D$5:$D$3004,Acuses!$A$5:$A$3004,$A35,Acuses!$B$5:$B$3004,M$4,Acuses!$C$5:$C$3004,M$5),M$8)&lt;Resumen!$C$4+30,"Caduca pronto","OK"))))))</f>
        <v/>
      </c>
      <c r="N35" s="26" t="str">
        <f aca="false">IF(OR($A35="",N$4=""),"",IF(NOT(OR(N$6="Toda la plantilla",ISNUMBER(SEARCH(";"&amp;SUBSTITUTE($C35," ","")&amp;";",";"&amp;SUBSTITUTE(N$7," ","")&amp;";")))),"—",IF(_xlfn.MAXIFS(Acuses!$C$5:$C$3004,Acuses!$A$5:$A$3004,$A35,Acuses!$B$5:$B$3004,N$4)&lt;N$5,"Pendiente",IF(N$8=0,"OK",IF(EDATE(_xlfn.MAXIFS(Acuses!$D$5:$D$3004,Acuses!$A$5:$A$3004,$A35,Acuses!$B$5:$B$3004,N$4,Acuses!$C$5:$C$3004,N$5),N$8)&lt;Resumen!$C$4,"Caducado",IF(EDATE(_xlfn.MAXIFS(Acuses!$D$5:$D$3004,Acuses!$A$5:$A$3004,$A35,Acuses!$B$5:$B$3004,N$4,Acuses!$C$5:$C$3004,N$5),N$8)&lt;Resumen!$C$4+30,"Caduca pronto","OK"))))))</f>
        <v/>
      </c>
      <c r="O35" s="26" t="str">
        <f aca="false">IF(OR($A35="",O$4=""),"",IF(NOT(OR(O$6="Toda la plantilla",ISNUMBER(SEARCH(";"&amp;SUBSTITUTE($C35," ","")&amp;";",";"&amp;SUBSTITUTE(O$7," ","")&amp;";")))),"—",IF(_xlfn.MAXIFS(Acuses!$C$5:$C$3004,Acuses!$A$5:$A$3004,$A35,Acuses!$B$5:$B$3004,O$4)&lt;O$5,"Pendiente",IF(O$8=0,"OK",IF(EDATE(_xlfn.MAXIFS(Acuses!$D$5:$D$3004,Acuses!$A$5:$A$3004,$A35,Acuses!$B$5:$B$3004,O$4,Acuses!$C$5:$C$3004,O$5),O$8)&lt;Resumen!$C$4,"Caducado",IF(EDATE(_xlfn.MAXIFS(Acuses!$D$5:$D$3004,Acuses!$A$5:$A$3004,$A35,Acuses!$B$5:$B$3004,O$4,Acuses!$C$5:$C$3004,O$5),O$8)&lt;Resumen!$C$4+30,"Caduca pronto","OK"))))))</f>
        <v/>
      </c>
      <c r="P35" s="26" t="str">
        <f aca="false">IF(OR($A35="",P$4=""),"",IF(NOT(OR(P$6="Toda la plantilla",ISNUMBER(SEARCH(";"&amp;SUBSTITUTE($C35," ","")&amp;";",";"&amp;SUBSTITUTE(P$7," ","")&amp;";")))),"—",IF(_xlfn.MAXIFS(Acuses!$C$5:$C$3004,Acuses!$A$5:$A$3004,$A35,Acuses!$B$5:$B$3004,P$4)&lt;P$5,"Pendiente",IF(P$8=0,"OK",IF(EDATE(_xlfn.MAXIFS(Acuses!$D$5:$D$3004,Acuses!$A$5:$A$3004,$A35,Acuses!$B$5:$B$3004,P$4,Acuses!$C$5:$C$3004,P$5),P$8)&lt;Resumen!$C$4,"Caducado",IF(EDATE(_xlfn.MAXIFS(Acuses!$D$5:$D$3004,Acuses!$A$5:$A$3004,$A35,Acuses!$B$5:$B$3004,P$4,Acuses!$C$5:$C$3004,P$5),P$8)&lt;Resumen!$C$4+30,"Caduca pronto","OK"))))))</f>
        <v/>
      </c>
      <c r="Q35" s="26" t="str">
        <f aca="false">IF(OR($A35="",Q$4=""),"",IF(NOT(OR(Q$6="Toda la plantilla",ISNUMBER(SEARCH(";"&amp;SUBSTITUTE($C35," ","")&amp;";",";"&amp;SUBSTITUTE(Q$7," ","")&amp;";")))),"—",IF(_xlfn.MAXIFS(Acuses!$C$5:$C$3004,Acuses!$A$5:$A$3004,$A35,Acuses!$B$5:$B$3004,Q$4)&lt;Q$5,"Pendiente",IF(Q$8=0,"OK",IF(EDATE(_xlfn.MAXIFS(Acuses!$D$5:$D$3004,Acuses!$A$5:$A$3004,$A35,Acuses!$B$5:$B$3004,Q$4,Acuses!$C$5:$C$3004,Q$5),Q$8)&lt;Resumen!$C$4,"Caducado",IF(EDATE(_xlfn.MAXIFS(Acuses!$D$5:$D$3004,Acuses!$A$5:$A$3004,$A35,Acuses!$B$5:$B$3004,Q$4,Acuses!$C$5:$C$3004,Q$5),Q$8)&lt;Resumen!$C$4+30,"Caduca pronto","OK"))))))</f>
        <v/>
      </c>
      <c r="R35" s="26" t="str">
        <f aca="false">IF(OR($A35="",R$4=""),"",IF(NOT(OR(R$6="Toda la plantilla",ISNUMBER(SEARCH(";"&amp;SUBSTITUTE($C35," ","")&amp;";",";"&amp;SUBSTITUTE(R$7," ","")&amp;";")))),"—",IF(_xlfn.MAXIFS(Acuses!$C$5:$C$3004,Acuses!$A$5:$A$3004,$A35,Acuses!$B$5:$B$3004,R$4)&lt;R$5,"Pendiente",IF(R$8=0,"OK",IF(EDATE(_xlfn.MAXIFS(Acuses!$D$5:$D$3004,Acuses!$A$5:$A$3004,$A35,Acuses!$B$5:$B$3004,R$4,Acuses!$C$5:$C$3004,R$5),R$8)&lt;Resumen!$C$4,"Caducado",IF(EDATE(_xlfn.MAXIFS(Acuses!$D$5:$D$3004,Acuses!$A$5:$A$3004,$A35,Acuses!$B$5:$B$3004,R$4,Acuses!$C$5:$C$3004,R$5),R$8)&lt;Resumen!$C$4+30,"Caduca pronto","OK"))))))</f>
        <v/>
      </c>
      <c r="S35" s="26" t="str">
        <f aca="false">IF(OR($A35="",S$4=""),"",IF(NOT(OR(S$6="Toda la plantilla",ISNUMBER(SEARCH(";"&amp;SUBSTITUTE($C35," ","")&amp;";",";"&amp;SUBSTITUTE(S$7," ","")&amp;";")))),"—",IF(_xlfn.MAXIFS(Acuses!$C$5:$C$3004,Acuses!$A$5:$A$3004,$A35,Acuses!$B$5:$B$3004,S$4)&lt;S$5,"Pendiente",IF(S$8=0,"OK",IF(EDATE(_xlfn.MAXIFS(Acuses!$D$5:$D$3004,Acuses!$A$5:$A$3004,$A35,Acuses!$B$5:$B$3004,S$4,Acuses!$C$5:$C$3004,S$5),S$8)&lt;Resumen!$C$4,"Caducado",IF(EDATE(_xlfn.MAXIFS(Acuses!$D$5:$D$3004,Acuses!$A$5:$A$3004,$A35,Acuses!$B$5:$B$3004,S$4,Acuses!$C$5:$C$3004,S$5),S$8)&lt;Resumen!$C$4+30,"Caduca pronto","OK"))))))</f>
        <v/>
      </c>
      <c r="T35" s="26" t="str">
        <f aca="false">IF(OR($A35="",T$4=""),"",IF(NOT(OR(T$6="Toda la plantilla",ISNUMBER(SEARCH(";"&amp;SUBSTITUTE($C35," ","")&amp;";",";"&amp;SUBSTITUTE(T$7," ","")&amp;";")))),"—",IF(_xlfn.MAXIFS(Acuses!$C$5:$C$3004,Acuses!$A$5:$A$3004,$A35,Acuses!$B$5:$B$3004,T$4)&lt;T$5,"Pendiente",IF(T$8=0,"OK",IF(EDATE(_xlfn.MAXIFS(Acuses!$D$5:$D$3004,Acuses!$A$5:$A$3004,$A35,Acuses!$B$5:$B$3004,T$4,Acuses!$C$5:$C$3004,T$5),T$8)&lt;Resumen!$C$4,"Caducado",IF(EDATE(_xlfn.MAXIFS(Acuses!$D$5:$D$3004,Acuses!$A$5:$A$3004,$A35,Acuses!$B$5:$B$3004,T$4,Acuses!$C$5:$C$3004,T$5),T$8)&lt;Resumen!$C$4+30,"Caduca pronto","OK"))))))</f>
        <v/>
      </c>
      <c r="U35" s="26" t="str">
        <f aca="false">IF(OR($A35="",U$4=""),"",IF(NOT(OR(U$6="Toda la plantilla",ISNUMBER(SEARCH(";"&amp;SUBSTITUTE($C35," ","")&amp;";",";"&amp;SUBSTITUTE(U$7," ","")&amp;";")))),"—",IF(_xlfn.MAXIFS(Acuses!$C$5:$C$3004,Acuses!$A$5:$A$3004,$A35,Acuses!$B$5:$B$3004,U$4)&lt;U$5,"Pendiente",IF(U$8=0,"OK",IF(EDATE(_xlfn.MAXIFS(Acuses!$D$5:$D$3004,Acuses!$A$5:$A$3004,$A35,Acuses!$B$5:$B$3004,U$4,Acuses!$C$5:$C$3004,U$5),U$8)&lt;Resumen!$C$4,"Caducado",IF(EDATE(_xlfn.MAXIFS(Acuses!$D$5:$D$3004,Acuses!$A$5:$A$3004,$A35,Acuses!$B$5:$B$3004,U$4,Acuses!$C$5:$C$3004,U$5),U$8)&lt;Resumen!$C$4+30,"Caduca pronto","OK"))))))</f>
        <v/>
      </c>
      <c r="V35" s="26" t="str">
        <f aca="false">IF(OR($A35="",V$4=""),"",IF(NOT(OR(V$6="Toda la plantilla",ISNUMBER(SEARCH(";"&amp;SUBSTITUTE($C35," ","")&amp;";",";"&amp;SUBSTITUTE(V$7," ","")&amp;";")))),"—",IF(_xlfn.MAXIFS(Acuses!$C$5:$C$3004,Acuses!$A$5:$A$3004,$A35,Acuses!$B$5:$B$3004,V$4)&lt;V$5,"Pendiente",IF(V$8=0,"OK",IF(EDATE(_xlfn.MAXIFS(Acuses!$D$5:$D$3004,Acuses!$A$5:$A$3004,$A35,Acuses!$B$5:$B$3004,V$4,Acuses!$C$5:$C$3004,V$5),V$8)&lt;Resumen!$C$4,"Caducado",IF(EDATE(_xlfn.MAXIFS(Acuses!$D$5:$D$3004,Acuses!$A$5:$A$3004,$A35,Acuses!$B$5:$B$3004,V$4,Acuses!$C$5:$C$3004,V$5),V$8)&lt;Resumen!$C$4+30,"Caduca pronto","OK"))))))</f>
        <v/>
      </c>
      <c r="W35" s="26" t="str">
        <f aca="false">IF(OR($A35="",W$4=""),"",IF(NOT(OR(W$6="Toda la plantilla",ISNUMBER(SEARCH(";"&amp;SUBSTITUTE($C35," ","")&amp;";",";"&amp;SUBSTITUTE(W$7," ","")&amp;";")))),"—",IF(_xlfn.MAXIFS(Acuses!$C$5:$C$3004,Acuses!$A$5:$A$3004,$A35,Acuses!$B$5:$B$3004,W$4)&lt;W$5,"Pendiente",IF(W$8=0,"OK",IF(EDATE(_xlfn.MAXIFS(Acuses!$D$5:$D$3004,Acuses!$A$5:$A$3004,$A35,Acuses!$B$5:$B$3004,W$4,Acuses!$C$5:$C$3004,W$5),W$8)&lt;Resumen!$C$4,"Caducado",IF(EDATE(_xlfn.MAXIFS(Acuses!$D$5:$D$3004,Acuses!$A$5:$A$3004,$A35,Acuses!$B$5:$B$3004,W$4,Acuses!$C$5:$C$3004,W$5),W$8)&lt;Resumen!$C$4+30,"Caduca pronto","OK"))))))</f>
        <v/>
      </c>
      <c r="X35" s="26" t="str">
        <f aca="false">IF(OR($A35="",X$4=""),"",IF(NOT(OR(X$6="Toda la plantilla",ISNUMBER(SEARCH(";"&amp;SUBSTITUTE($C35," ","")&amp;";",";"&amp;SUBSTITUTE(X$7," ","")&amp;";")))),"—",IF(_xlfn.MAXIFS(Acuses!$C$5:$C$3004,Acuses!$A$5:$A$3004,$A35,Acuses!$B$5:$B$3004,X$4)&lt;X$5,"Pendiente",IF(X$8=0,"OK",IF(EDATE(_xlfn.MAXIFS(Acuses!$D$5:$D$3004,Acuses!$A$5:$A$3004,$A35,Acuses!$B$5:$B$3004,X$4,Acuses!$C$5:$C$3004,X$5),X$8)&lt;Resumen!$C$4,"Caducado",IF(EDATE(_xlfn.MAXIFS(Acuses!$D$5:$D$3004,Acuses!$A$5:$A$3004,$A35,Acuses!$B$5:$B$3004,X$4,Acuses!$C$5:$C$3004,X$5),X$8)&lt;Resumen!$C$4+30,"Caduca pronto","OK"))))))</f>
        <v/>
      </c>
      <c r="Y35" s="26" t="str">
        <f aca="false">IF(OR($A35="",Y$4=""),"",IF(NOT(OR(Y$6="Toda la plantilla",ISNUMBER(SEARCH(";"&amp;SUBSTITUTE($C35," ","")&amp;";",";"&amp;SUBSTITUTE(Y$7," ","")&amp;";")))),"—",IF(_xlfn.MAXIFS(Acuses!$C$5:$C$3004,Acuses!$A$5:$A$3004,$A35,Acuses!$B$5:$B$3004,Y$4)&lt;Y$5,"Pendiente",IF(Y$8=0,"OK",IF(EDATE(_xlfn.MAXIFS(Acuses!$D$5:$D$3004,Acuses!$A$5:$A$3004,$A35,Acuses!$B$5:$B$3004,Y$4,Acuses!$C$5:$C$3004,Y$5),Y$8)&lt;Resumen!$C$4,"Caducado",IF(EDATE(_xlfn.MAXIFS(Acuses!$D$5:$D$3004,Acuses!$A$5:$A$3004,$A35,Acuses!$B$5:$B$3004,Y$4,Acuses!$C$5:$C$3004,Y$5),Y$8)&lt;Resumen!$C$4+30,"Caduca pronto","OK"))))))</f>
        <v/>
      </c>
      <c r="Z35" s="26" t="str">
        <f aca="false">IF(OR($A35="",Z$4=""),"",IF(NOT(OR(Z$6="Toda la plantilla",ISNUMBER(SEARCH(";"&amp;SUBSTITUTE($C35," ","")&amp;";",";"&amp;SUBSTITUTE(Z$7," ","")&amp;";")))),"—",IF(_xlfn.MAXIFS(Acuses!$C$5:$C$3004,Acuses!$A$5:$A$3004,$A35,Acuses!$B$5:$B$3004,Z$4)&lt;Z$5,"Pendiente",IF(Z$8=0,"OK",IF(EDATE(_xlfn.MAXIFS(Acuses!$D$5:$D$3004,Acuses!$A$5:$A$3004,$A35,Acuses!$B$5:$B$3004,Z$4,Acuses!$C$5:$C$3004,Z$5),Z$8)&lt;Resumen!$C$4,"Caducado",IF(EDATE(_xlfn.MAXIFS(Acuses!$D$5:$D$3004,Acuses!$A$5:$A$3004,$A35,Acuses!$B$5:$B$3004,Z$4,Acuses!$C$5:$C$3004,Z$5),Z$8)&lt;Resumen!$C$4+30,"Caduca pronto","OK"))))))</f>
        <v/>
      </c>
      <c r="AA35" s="26" t="str">
        <f aca="false">IF(OR($A35="",AA$4=""),"",IF(NOT(OR(AA$6="Toda la plantilla",ISNUMBER(SEARCH(";"&amp;SUBSTITUTE($C35," ","")&amp;";",";"&amp;SUBSTITUTE(AA$7," ","")&amp;";")))),"—",IF(_xlfn.MAXIFS(Acuses!$C$5:$C$3004,Acuses!$A$5:$A$3004,$A35,Acuses!$B$5:$B$3004,AA$4)&lt;AA$5,"Pendiente",IF(AA$8=0,"OK",IF(EDATE(_xlfn.MAXIFS(Acuses!$D$5:$D$3004,Acuses!$A$5:$A$3004,$A35,Acuses!$B$5:$B$3004,AA$4,Acuses!$C$5:$C$3004,AA$5),AA$8)&lt;Resumen!$C$4,"Caducado",IF(EDATE(_xlfn.MAXIFS(Acuses!$D$5:$D$3004,Acuses!$A$5:$A$3004,$A35,Acuses!$B$5:$B$3004,AA$4,Acuses!$C$5:$C$3004,AA$5),AA$8)&lt;Resumen!$C$4+30,"Caduca pronto","OK"))))))</f>
        <v/>
      </c>
      <c r="AB35" s="26" t="str">
        <f aca="false">IF(OR($A35="",AB$4=""),"",IF(NOT(OR(AB$6="Toda la plantilla",ISNUMBER(SEARCH(";"&amp;SUBSTITUTE($C35," ","")&amp;";",";"&amp;SUBSTITUTE(AB$7," ","")&amp;";")))),"—",IF(_xlfn.MAXIFS(Acuses!$C$5:$C$3004,Acuses!$A$5:$A$3004,$A35,Acuses!$B$5:$B$3004,AB$4)&lt;AB$5,"Pendiente",IF(AB$8=0,"OK",IF(EDATE(_xlfn.MAXIFS(Acuses!$D$5:$D$3004,Acuses!$A$5:$A$3004,$A35,Acuses!$B$5:$B$3004,AB$4,Acuses!$C$5:$C$3004,AB$5),AB$8)&lt;Resumen!$C$4,"Caducado",IF(EDATE(_xlfn.MAXIFS(Acuses!$D$5:$D$3004,Acuses!$A$5:$A$3004,$A35,Acuses!$B$5:$B$3004,AB$4,Acuses!$C$5:$C$3004,AB$5),AB$8)&lt;Resumen!$C$4+30,"Caduca pronto","OK"))))))</f>
        <v/>
      </c>
      <c r="AC35" s="26" t="str">
        <f aca="false">IF(OR($A35="",AC$4=""),"",IF(NOT(OR(AC$6="Toda la plantilla",ISNUMBER(SEARCH(";"&amp;SUBSTITUTE($C35," ","")&amp;";",";"&amp;SUBSTITUTE(AC$7," ","")&amp;";")))),"—",IF(_xlfn.MAXIFS(Acuses!$C$5:$C$3004,Acuses!$A$5:$A$3004,$A35,Acuses!$B$5:$B$3004,AC$4)&lt;AC$5,"Pendiente",IF(AC$8=0,"OK",IF(EDATE(_xlfn.MAXIFS(Acuses!$D$5:$D$3004,Acuses!$A$5:$A$3004,$A35,Acuses!$B$5:$B$3004,AC$4,Acuses!$C$5:$C$3004,AC$5),AC$8)&lt;Resumen!$C$4,"Caducado",IF(EDATE(_xlfn.MAXIFS(Acuses!$D$5:$D$3004,Acuses!$A$5:$A$3004,$A35,Acuses!$B$5:$B$3004,AC$4,Acuses!$C$5:$C$3004,AC$5),AC$8)&lt;Resumen!$C$4+30,"Caduca pronto","OK"))))))</f>
        <v/>
      </c>
      <c r="AD35" s="26" t="str">
        <f aca="false">IF(OR($A35="",AD$4=""),"",IF(NOT(OR(AD$6="Toda la plantilla",ISNUMBER(SEARCH(";"&amp;SUBSTITUTE($C35," ","")&amp;";",";"&amp;SUBSTITUTE(AD$7," ","")&amp;";")))),"—",IF(_xlfn.MAXIFS(Acuses!$C$5:$C$3004,Acuses!$A$5:$A$3004,$A35,Acuses!$B$5:$B$3004,AD$4)&lt;AD$5,"Pendiente",IF(AD$8=0,"OK",IF(EDATE(_xlfn.MAXIFS(Acuses!$D$5:$D$3004,Acuses!$A$5:$A$3004,$A35,Acuses!$B$5:$B$3004,AD$4,Acuses!$C$5:$C$3004,AD$5),AD$8)&lt;Resumen!$C$4,"Caducado",IF(EDATE(_xlfn.MAXIFS(Acuses!$D$5:$D$3004,Acuses!$A$5:$A$3004,$A35,Acuses!$B$5:$B$3004,AD$4,Acuses!$C$5:$C$3004,AD$5),AD$8)&lt;Resumen!$C$4+30,"Caduca pronto","OK"))))))</f>
        <v/>
      </c>
      <c r="AE35" s="26" t="str">
        <f aca="false">IF(OR($A35="",AE$4=""),"",IF(NOT(OR(AE$6="Toda la plantilla",ISNUMBER(SEARCH(";"&amp;SUBSTITUTE($C35," ","")&amp;";",";"&amp;SUBSTITUTE(AE$7," ","")&amp;";")))),"—",IF(_xlfn.MAXIFS(Acuses!$C$5:$C$3004,Acuses!$A$5:$A$3004,$A35,Acuses!$B$5:$B$3004,AE$4)&lt;AE$5,"Pendiente",IF(AE$8=0,"OK",IF(EDATE(_xlfn.MAXIFS(Acuses!$D$5:$D$3004,Acuses!$A$5:$A$3004,$A35,Acuses!$B$5:$B$3004,AE$4,Acuses!$C$5:$C$3004,AE$5),AE$8)&lt;Resumen!$C$4,"Caducado",IF(EDATE(_xlfn.MAXIFS(Acuses!$D$5:$D$3004,Acuses!$A$5:$A$3004,$A35,Acuses!$B$5:$B$3004,AE$4,Acuses!$C$5:$C$3004,AE$5),AE$8)&lt;Resumen!$C$4+30,"Caduca pronto","OK"))))))</f>
        <v/>
      </c>
      <c r="AF35" s="26" t="str">
        <f aca="false">IF(OR($A35="",AF$4=""),"",IF(NOT(OR(AF$6="Toda la plantilla",ISNUMBER(SEARCH(";"&amp;SUBSTITUTE($C35," ","")&amp;";",";"&amp;SUBSTITUTE(AF$7," ","")&amp;";")))),"—",IF(_xlfn.MAXIFS(Acuses!$C$5:$C$3004,Acuses!$A$5:$A$3004,$A35,Acuses!$B$5:$B$3004,AF$4)&lt;AF$5,"Pendiente",IF(AF$8=0,"OK",IF(EDATE(_xlfn.MAXIFS(Acuses!$D$5:$D$3004,Acuses!$A$5:$A$3004,$A35,Acuses!$B$5:$B$3004,AF$4,Acuses!$C$5:$C$3004,AF$5),AF$8)&lt;Resumen!$C$4,"Caducado",IF(EDATE(_xlfn.MAXIFS(Acuses!$D$5:$D$3004,Acuses!$A$5:$A$3004,$A35,Acuses!$B$5:$B$3004,AF$4,Acuses!$C$5:$C$3004,AF$5),AF$8)&lt;Resumen!$C$4+30,"Caduca pronto","OK"))))))</f>
        <v/>
      </c>
      <c r="AG35" s="26" t="str">
        <f aca="false">IF(OR($A35="",AG$4=""),"",IF(NOT(OR(AG$6="Toda la plantilla",ISNUMBER(SEARCH(";"&amp;SUBSTITUTE($C35," ","")&amp;";",";"&amp;SUBSTITUTE(AG$7," ","")&amp;";")))),"—",IF(_xlfn.MAXIFS(Acuses!$C$5:$C$3004,Acuses!$A$5:$A$3004,$A35,Acuses!$B$5:$B$3004,AG$4)&lt;AG$5,"Pendiente",IF(AG$8=0,"OK",IF(EDATE(_xlfn.MAXIFS(Acuses!$D$5:$D$3004,Acuses!$A$5:$A$3004,$A35,Acuses!$B$5:$B$3004,AG$4,Acuses!$C$5:$C$3004,AG$5),AG$8)&lt;Resumen!$C$4,"Caducado",IF(EDATE(_xlfn.MAXIFS(Acuses!$D$5:$D$3004,Acuses!$A$5:$A$3004,$A35,Acuses!$B$5:$B$3004,AG$4,Acuses!$C$5:$C$3004,AG$5),AG$8)&lt;Resumen!$C$4+30,"Caduca pronto","OK"))))))</f>
        <v/>
      </c>
      <c r="AH35" s="26" t="str">
        <f aca="false">IF(OR($A35="",AH$4=""),"",IF(NOT(OR(AH$6="Toda la plantilla",ISNUMBER(SEARCH(";"&amp;SUBSTITUTE($C35," ","")&amp;";",";"&amp;SUBSTITUTE(AH$7," ","")&amp;";")))),"—",IF(_xlfn.MAXIFS(Acuses!$C$5:$C$3004,Acuses!$A$5:$A$3004,$A35,Acuses!$B$5:$B$3004,AH$4)&lt;AH$5,"Pendiente",IF(AH$8=0,"OK",IF(EDATE(_xlfn.MAXIFS(Acuses!$D$5:$D$3004,Acuses!$A$5:$A$3004,$A35,Acuses!$B$5:$B$3004,AH$4,Acuses!$C$5:$C$3004,AH$5),AH$8)&lt;Resumen!$C$4,"Caducado",IF(EDATE(_xlfn.MAXIFS(Acuses!$D$5:$D$3004,Acuses!$A$5:$A$3004,$A35,Acuses!$B$5:$B$3004,AH$4,Acuses!$C$5:$C$3004,AH$5),AH$8)&lt;Resumen!$C$4+30,"Caduca pronto","OK"))))))</f>
        <v/>
      </c>
      <c r="AI35" s="26" t="str">
        <f aca="false">IF(OR($A35="",AI$4=""),"",IF(NOT(OR(AI$6="Toda la plantilla",ISNUMBER(SEARCH(";"&amp;SUBSTITUTE($C35," ","")&amp;";",";"&amp;SUBSTITUTE(AI$7," ","")&amp;";")))),"—",IF(_xlfn.MAXIFS(Acuses!$C$5:$C$3004,Acuses!$A$5:$A$3004,$A35,Acuses!$B$5:$B$3004,AI$4)&lt;AI$5,"Pendiente",IF(AI$8=0,"OK",IF(EDATE(_xlfn.MAXIFS(Acuses!$D$5:$D$3004,Acuses!$A$5:$A$3004,$A35,Acuses!$B$5:$B$3004,AI$4,Acuses!$C$5:$C$3004,AI$5),AI$8)&lt;Resumen!$C$4,"Caducado",IF(EDATE(_xlfn.MAXIFS(Acuses!$D$5:$D$3004,Acuses!$A$5:$A$3004,$A35,Acuses!$B$5:$B$3004,AI$4,Acuses!$C$5:$C$3004,AI$5),AI$8)&lt;Resumen!$C$4+30,"Caduca pronto","OK"))))))</f>
        <v/>
      </c>
      <c r="AJ35" s="26" t="str">
        <f aca="false">IF(OR($A35="",AJ$4=""),"",IF(NOT(OR(AJ$6="Toda la plantilla",ISNUMBER(SEARCH(";"&amp;SUBSTITUTE($C35," ","")&amp;";",";"&amp;SUBSTITUTE(AJ$7," ","")&amp;";")))),"—",IF(_xlfn.MAXIFS(Acuses!$C$5:$C$3004,Acuses!$A$5:$A$3004,$A35,Acuses!$B$5:$B$3004,AJ$4)&lt;AJ$5,"Pendiente",IF(AJ$8=0,"OK",IF(EDATE(_xlfn.MAXIFS(Acuses!$D$5:$D$3004,Acuses!$A$5:$A$3004,$A35,Acuses!$B$5:$B$3004,AJ$4,Acuses!$C$5:$C$3004,AJ$5),AJ$8)&lt;Resumen!$C$4,"Caducado",IF(EDATE(_xlfn.MAXIFS(Acuses!$D$5:$D$3004,Acuses!$A$5:$A$3004,$A35,Acuses!$B$5:$B$3004,AJ$4,Acuses!$C$5:$C$3004,AJ$5),AJ$8)&lt;Resumen!$C$4+30,"Caduca pronto","OK"))))))</f>
        <v/>
      </c>
      <c r="AK35" s="26" t="str">
        <f aca="false">IF(OR($A35="",AK$4=""),"",IF(NOT(OR(AK$6="Toda la plantilla",ISNUMBER(SEARCH(";"&amp;SUBSTITUTE($C35," ","")&amp;";",";"&amp;SUBSTITUTE(AK$7," ","")&amp;";")))),"—",IF(_xlfn.MAXIFS(Acuses!$C$5:$C$3004,Acuses!$A$5:$A$3004,$A35,Acuses!$B$5:$B$3004,AK$4)&lt;AK$5,"Pendiente",IF(AK$8=0,"OK",IF(EDATE(_xlfn.MAXIFS(Acuses!$D$5:$D$3004,Acuses!$A$5:$A$3004,$A35,Acuses!$B$5:$B$3004,AK$4,Acuses!$C$5:$C$3004,AK$5),AK$8)&lt;Resumen!$C$4,"Caducado",IF(EDATE(_xlfn.MAXIFS(Acuses!$D$5:$D$3004,Acuses!$A$5:$A$3004,$A35,Acuses!$B$5:$B$3004,AK$4,Acuses!$C$5:$C$3004,AK$5),AK$8)&lt;Resumen!$C$4+30,"Caduca pronto","OK"))))))</f>
        <v/>
      </c>
      <c r="AL35" s="26" t="str">
        <f aca="false">IF(OR($A35="",AL$4=""),"",IF(NOT(OR(AL$6="Toda la plantilla",ISNUMBER(SEARCH(";"&amp;SUBSTITUTE($C35," ","")&amp;";",";"&amp;SUBSTITUTE(AL$7," ","")&amp;";")))),"—",IF(_xlfn.MAXIFS(Acuses!$C$5:$C$3004,Acuses!$A$5:$A$3004,$A35,Acuses!$B$5:$B$3004,AL$4)&lt;AL$5,"Pendiente",IF(AL$8=0,"OK",IF(EDATE(_xlfn.MAXIFS(Acuses!$D$5:$D$3004,Acuses!$A$5:$A$3004,$A35,Acuses!$B$5:$B$3004,AL$4,Acuses!$C$5:$C$3004,AL$5),AL$8)&lt;Resumen!$C$4,"Caducado",IF(EDATE(_xlfn.MAXIFS(Acuses!$D$5:$D$3004,Acuses!$A$5:$A$3004,$A35,Acuses!$B$5:$B$3004,AL$4,Acuses!$C$5:$C$3004,AL$5),AL$8)&lt;Resumen!$C$4+30,"Caduca pronto","OK"))))))</f>
        <v/>
      </c>
      <c r="AM35" s="26" t="str">
        <f aca="false">IF(OR($A35="",AM$4=""),"",IF(NOT(OR(AM$6="Toda la plantilla",ISNUMBER(SEARCH(";"&amp;SUBSTITUTE($C35," ","")&amp;";",";"&amp;SUBSTITUTE(AM$7," ","")&amp;";")))),"—",IF(_xlfn.MAXIFS(Acuses!$C$5:$C$3004,Acuses!$A$5:$A$3004,$A35,Acuses!$B$5:$B$3004,AM$4)&lt;AM$5,"Pendiente",IF(AM$8=0,"OK",IF(EDATE(_xlfn.MAXIFS(Acuses!$D$5:$D$3004,Acuses!$A$5:$A$3004,$A35,Acuses!$B$5:$B$3004,AM$4,Acuses!$C$5:$C$3004,AM$5),AM$8)&lt;Resumen!$C$4,"Caducado",IF(EDATE(_xlfn.MAXIFS(Acuses!$D$5:$D$3004,Acuses!$A$5:$A$3004,$A35,Acuses!$B$5:$B$3004,AM$4,Acuses!$C$5:$C$3004,AM$5),AM$8)&lt;Resumen!$C$4+30,"Caduca pronto","OK"))))))</f>
        <v/>
      </c>
      <c r="AN35" s="26" t="str">
        <f aca="false">IF(OR($A35="",AN$4=""),"",IF(NOT(OR(AN$6="Toda la plantilla",ISNUMBER(SEARCH(";"&amp;SUBSTITUTE($C35," ","")&amp;";",";"&amp;SUBSTITUTE(AN$7," ","")&amp;";")))),"—",IF(_xlfn.MAXIFS(Acuses!$C$5:$C$3004,Acuses!$A$5:$A$3004,$A35,Acuses!$B$5:$B$3004,AN$4)&lt;AN$5,"Pendiente",IF(AN$8=0,"OK",IF(EDATE(_xlfn.MAXIFS(Acuses!$D$5:$D$3004,Acuses!$A$5:$A$3004,$A35,Acuses!$B$5:$B$3004,AN$4,Acuses!$C$5:$C$3004,AN$5),AN$8)&lt;Resumen!$C$4,"Caducado",IF(EDATE(_xlfn.MAXIFS(Acuses!$D$5:$D$3004,Acuses!$A$5:$A$3004,$A35,Acuses!$B$5:$B$3004,AN$4,Acuses!$C$5:$C$3004,AN$5),AN$8)&lt;Resumen!$C$4+30,"Caduca pronto","OK"))))))</f>
        <v/>
      </c>
      <c r="AO35" s="26" t="str">
        <f aca="false">IF(OR($A35="",AO$4=""),"",IF(NOT(OR(AO$6="Toda la plantilla",ISNUMBER(SEARCH(";"&amp;SUBSTITUTE($C35," ","")&amp;";",";"&amp;SUBSTITUTE(AO$7," ","")&amp;";")))),"—",IF(_xlfn.MAXIFS(Acuses!$C$5:$C$3004,Acuses!$A$5:$A$3004,$A35,Acuses!$B$5:$B$3004,AO$4)&lt;AO$5,"Pendiente",IF(AO$8=0,"OK",IF(EDATE(_xlfn.MAXIFS(Acuses!$D$5:$D$3004,Acuses!$A$5:$A$3004,$A35,Acuses!$B$5:$B$3004,AO$4,Acuses!$C$5:$C$3004,AO$5),AO$8)&lt;Resumen!$C$4,"Caducado",IF(EDATE(_xlfn.MAXIFS(Acuses!$D$5:$D$3004,Acuses!$A$5:$A$3004,$A35,Acuses!$B$5:$B$3004,AO$4,Acuses!$C$5:$C$3004,AO$5),AO$8)&lt;Resumen!$C$4+30,"Caduca pronto","OK"))))))</f>
        <v/>
      </c>
      <c r="AP35" s="26" t="str">
        <f aca="false">IF(OR($A35="",AP$4=""),"",IF(NOT(OR(AP$6="Toda la plantilla",ISNUMBER(SEARCH(";"&amp;SUBSTITUTE($C35," ","")&amp;";",";"&amp;SUBSTITUTE(AP$7," ","")&amp;";")))),"—",IF(_xlfn.MAXIFS(Acuses!$C$5:$C$3004,Acuses!$A$5:$A$3004,$A35,Acuses!$B$5:$B$3004,AP$4)&lt;AP$5,"Pendiente",IF(AP$8=0,"OK",IF(EDATE(_xlfn.MAXIFS(Acuses!$D$5:$D$3004,Acuses!$A$5:$A$3004,$A35,Acuses!$B$5:$B$3004,AP$4,Acuses!$C$5:$C$3004,AP$5),AP$8)&lt;Resumen!$C$4,"Caducado",IF(EDATE(_xlfn.MAXIFS(Acuses!$D$5:$D$3004,Acuses!$A$5:$A$3004,$A35,Acuses!$B$5:$B$3004,AP$4,Acuses!$C$5:$C$3004,AP$5),AP$8)&lt;Resumen!$C$4+30,"Caduca pronto","OK"))))))</f>
        <v/>
      </c>
      <c r="AQ35" s="26" t="str">
        <f aca="false">IF(OR($A35="",AQ$4=""),"",IF(NOT(OR(AQ$6="Toda la plantilla",ISNUMBER(SEARCH(";"&amp;SUBSTITUTE($C35," ","")&amp;";",";"&amp;SUBSTITUTE(AQ$7," ","")&amp;";")))),"—",IF(_xlfn.MAXIFS(Acuses!$C$5:$C$3004,Acuses!$A$5:$A$3004,$A35,Acuses!$B$5:$B$3004,AQ$4)&lt;AQ$5,"Pendiente",IF(AQ$8=0,"OK",IF(EDATE(_xlfn.MAXIFS(Acuses!$D$5:$D$3004,Acuses!$A$5:$A$3004,$A35,Acuses!$B$5:$B$3004,AQ$4,Acuses!$C$5:$C$3004,AQ$5),AQ$8)&lt;Resumen!$C$4,"Caducado",IF(EDATE(_xlfn.MAXIFS(Acuses!$D$5:$D$3004,Acuses!$A$5:$A$3004,$A35,Acuses!$B$5:$B$3004,AQ$4,Acuses!$C$5:$C$3004,AQ$5),AQ$8)&lt;Resumen!$C$4+30,"Caduca pronto","OK"))))))</f>
        <v/>
      </c>
    </row>
    <row r="36" customFormat="false" ht="15" hidden="false" customHeight="false" outlineLevel="0" collapsed="false">
      <c r="A36" s="25" t="str">
        <f aca="false">IF(AND(Trabajadores!$A$31&lt;&gt;"",Trabajadores!$G$31&lt;&gt;"No"),Trabajadores!$A$31,"")</f>
        <v/>
      </c>
      <c r="B36" s="25" t="str">
        <f aca="false">IF($A36="","",Trabajadores!$B$31)</f>
        <v/>
      </c>
      <c r="C36" s="25" t="str">
        <f aca="false">IF($A36="","",Trabajadores!$C$31)</f>
        <v/>
      </c>
      <c r="D36" s="26" t="str">
        <f aca="false">IF(OR($A36="",D$4=""),"",IF(NOT(OR(D$6="Toda la plantilla",ISNUMBER(SEARCH(";"&amp;SUBSTITUTE($C36," ","")&amp;";",";"&amp;SUBSTITUTE(D$7," ","")&amp;";")))),"—",IF(_xlfn.MAXIFS(Acuses!$C$5:$C$3004,Acuses!$A$5:$A$3004,$A36,Acuses!$B$5:$B$3004,D$4)&lt;D$5,"Pendiente",IF(D$8=0,"OK",IF(EDATE(_xlfn.MAXIFS(Acuses!$D$5:$D$3004,Acuses!$A$5:$A$3004,$A36,Acuses!$B$5:$B$3004,D$4,Acuses!$C$5:$C$3004,D$5),D$8)&lt;Resumen!$C$4,"Caducado",IF(EDATE(_xlfn.MAXIFS(Acuses!$D$5:$D$3004,Acuses!$A$5:$A$3004,$A36,Acuses!$B$5:$B$3004,D$4,Acuses!$C$5:$C$3004,D$5),D$8)&lt;Resumen!$C$4+30,"Caduca pronto","OK"))))))</f>
        <v/>
      </c>
      <c r="E36" s="26" t="str">
        <f aca="false">IF(OR($A36="",E$4=""),"",IF(NOT(OR(E$6="Toda la plantilla",ISNUMBER(SEARCH(";"&amp;SUBSTITUTE($C36," ","")&amp;";",";"&amp;SUBSTITUTE(E$7," ","")&amp;";")))),"—",IF(_xlfn.MAXIFS(Acuses!$C$5:$C$3004,Acuses!$A$5:$A$3004,$A36,Acuses!$B$5:$B$3004,E$4)&lt;E$5,"Pendiente",IF(E$8=0,"OK",IF(EDATE(_xlfn.MAXIFS(Acuses!$D$5:$D$3004,Acuses!$A$5:$A$3004,$A36,Acuses!$B$5:$B$3004,E$4,Acuses!$C$5:$C$3004,E$5),E$8)&lt;Resumen!$C$4,"Caducado",IF(EDATE(_xlfn.MAXIFS(Acuses!$D$5:$D$3004,Acuses!$A$5:$A$3004,$A36,Acuses!$B$5:$B$3004,E$4,Acuses!$C$5:$C$3004,E$5),E$8)&lt;Resumen!$C$4+30,"Caduca pronto","OK"))))))</f>
        <v/>
      </c>
      <c r="F36" s="26" t="str">
        <f aca="false">IF(OR($A36="",F$4=""),"",IF(NOT(OR(F$6="Toda la plantilla",ISNUMBER(SEARCH(";"&amp;SUBSTITUTE($C36," ","")&amp;";",";"&amp;SUBSTITUTE(F$7," ","")&amp;";")))),"—",IF(_xlfn.MAXIFS(Acuses!$C$5:$C$3004,Acuses!$A$5:$A$3004,$A36,Acuses!$B$5:$B$3004,F$4)&lt;F$5,"Pendiente",IF(F$8=0,"OK",IF(EDATE(_xlfn.MAXIFS(Acuses!$D$5:$D$3004,Acuses!$A$5:$A$3004,$A36,Acuses!$B$5:$B$3004,F$4,Acuses!$C$5:$C$3004,F$5),F$8)&lt;Resumen!$C$4,"Caducado",IF(EDATE(_xlfn.MAXIFS(Acuses!$D$5:$D$3004,Acuses!$A$5:$A$3004,$A36,Acuses!$B$5:$B$3004,F$4,Acuses!$C$5:$C$3004,F$5),F$8)&lt;Resumen!$C$4+30,"Caduca pronto","OK"))))))</f>
        <v/>
      </c>
      <c r="G36" s="26" t="str">
        <f aca="false">IF(OR($A36="",G$4=""),"",IF(NOT(OR(G$6="Toda la plantilla",ISNUMBER(SEARCH(";"&amp;SUBSTITUTE($C36," ","")&amp;";",";"&amp;SUBSTITUTE(G$7," ","")&amp;";")))),"—",IF(_xlfn.MAXIFS(Acuses!$C$5:$C$3004,Acuses!$A$5:$A$3004,$A36,Acuses!$B$5:$B$3004,G$4)&lt;G$5,"Pendiente",IF(G$8=0,"OK",IF(EDATE(_xlfn.MAXIFS(Acuses!$D$5:$D$3004,Acuses!$A$5:$A$3004,$A36,Acuses!$B$5:$B$3004,G$4,Acuses!$C$5:$C$3004,G$5),G$8)&lt;Resumen!$C$4,"Caducado",IF(EDATE(_xlfn.MAXIFS(Acuses!$D$5:$D$3004,Acuses!$A$5:$A$3004,$A36,Acuses!$B$5:$B$3004,G$4,Acuses!$C$5:$C$3004,G$5),G$8)&lt;Resumen!$C$4+30,"Caduca pronto","OK"))))))</f>
        <v/>
      </c>
      <c r="H36" s="26" t="str">
        <f aca="false">IF(OR($A36="",H$4=""),"",IF(NOT(OR(H$6="Toda la plantilla",ISNUMBER(SEARCH(";"&amp;SUBSTITUTE($C36," ","")&amp;";",";"&amp;SUBSTITUTE(H$7," ","")&amp;";")))),"—",IF(_xlfn.MAXIFS(Acuses!$C$5:$C$3004,Acuses!$A$5:$A$3004,$A36,Acuses!$B$5:$B$3004,H$4)&lt;H$5,"Pendiente",IF(H$8=0,"OK",IF(EDATE(_xlfn.MAXIFS(Acuses!$D$5:$D$3004,Acuses!$A$5:$A$3004,$A36,Acuses!$B$5:$B$3004,H$4,Acuses!$C$5:$C$3004,H$5),H$8)&lt;Resumen!$C$4,"Caducado",IF(EDATE(_xlfn.MAXIFS(Acuses!$D$5:$D$3004,Acuses!$A$5:$A$3004,$A36,Acuses!$B$5:$B$3004,H$4,Acuses!$C$5:$C$3004,H$5),H$8)&lt;Resumen!$C$4+30,"Caduca pronto","OK"))))))</f>
        <v/>
      </c>
      <c r="I36" s="26" t="str">
        <f aca="false">IF(OR($A36="",I$4=""),"",IF(NOT(OR(I$6="Toda la plantilla",ISNUMBER(SEARCH(";"&amp;SUBSTITUTE($C36," ","")&amp;";",";"&amp;SUBSTITUTE(I$7," ","")&amp;";")))),"—",IF(_xlfn.MAXIFS(Acuses!$C$5:$C$3004,Acuses!$A$5:$A$3004,$A36,Acuses!$B$5:$B$3004,I$4)&lt;I$5,"Pendiente",IF(I$8=0,"OK",IF(EDATE(_xlfn.MAXIFS(Acuses!$D$5:$D$3004,Acuses!$A$5:$A$3004,$A36,Acuses!$B$5:$B$3004,I$4,Acuses!$C$5:$C$3004,I$5),I$8)&lt;Resumen!$C$4,"Caducado",IF(EDATE(_xlfn.MAXIFS(Acuses!$D$5:$D$3004,Acuses!$A$5:$A$3004,$A36,Acuses!$B$5:$B$3004,I$4,Acuses!$C$5:$C$3004,I$5),I$8)&lt;Resumen!$C$4+30,"Caduca pronto","OK"))))))</f>
        <v/>
      </c>
      <c r="J36" s="26" t="str">
        <f aca="false">IF(OR($A36="",J$4=""),"",IF(NOT(OR(J$6="Toda la plantilla",ISNUMBER(SEARCH(";"&amp;SUBSTITUTE($C36," ","")&amp;";",";"&amp;SUBSTITUTE(J$7," ","")&amp;";")))),"—",IF(_xlfn.MAXIFS(Acuses!$C$5:$C$3004,Acuses!$A$5:$A$3004,$A36,Acuses!$B$5:$B$3004,J$4)&lt;J$5,"Pendiente",IF(J$8=0,"OK",IF(EDATE(_xlfn.MAXIFS(Acuses!$D$5:$D$3004,Acuses!$A$5:$A$3004,$A36,Acuses!$B$5:$B$3004,J$4,Acuses!$C$5:$C$3004,J$5),J$8)&lt;Resumen!$C$4,"Caducado",IF(EDATE(_xlfn.MAXIFS(Acuses!$D$5:$D$3004,Acuses!$A$5:$A$3004,$A36,Acuses!$B$5:$B$3004,J$4,Acuses!$C$5:$C$3004,J$5),J$8)&lt;Resumen!$C$4+30,"Caduca pronto","OK"))))))</f>
        <v/>
      </c>
      <c r="K36" s="26" t="str">
        <f aca="false">IF(OR($A36="",K$4=""),"",IF(NOT(OR(K$6="Toda la plantilla",ISNUMBER(SEARCH(";"&amp;SUBSTITUTE($C36," ","")&amp;";",";"&amp;SUBSTITUTE(K$7," ","")&amp;";")))),"—",IF(_xlfn.MAXIFS(Acuses!$C$5:$C$3004,Acuses!$A$5:$A$3004,$A36,Acuses!$B$5:$B$3004,K$4)&lt;K$5,"Pendiente",IF(K$8=0,"OK",IF(EDATE(_xlfn.MAXIFS(Acuses!$D$5:$D$3004,Acuses!$A$5:$A$3004,$A36,Acuses!$B$5:$B$3004,K$4,Acuses!$C$5:$C$3004,K$5),K$8)&lt;Resumen!$C$4,"Caducado",IF(EDATE(_xlfn.MAXIFS(Acuses!$D$5:$D$3004,Acuses!$A$5:$A$3004,$A36,Acuses!$B$5:$B$3004,K$4,Acuses!$C$5:$C$3004,K$5),K$8)&lt;Resumen!$C$4+30,"Caduca pronto","OK"))))))</f>
        <v/>
      </c>
      <c r="L36" s="26" t="str">
        <f aca="false">IF(OR($A36="",L$4=""),"",IF(NOT(OR(L$6="Toda la plantilla",ISNUMBER(SEARCH(";"&amp;SUBSTITUTE($C36," ","")&amp;";",";"&amp;SUBSTITUTE(L$7," ","")&amp;";")))),"—",IF(_xlfn.MAXIFS(Acuses!$C$5:$C$3004,Acuses!$A$5:$A$3004,$A36,Acuses!$B$5:$B$3004,L$4)&lt;L$5,"Pendiente",IF(L$8=0,"OK",IF(EDATE(_xlfn.MAXIFS(Acuses!$D$5:$D$3004,Acuses!$A$5:$A$3004,$A36,Acuses!$B$5:$B$3004,L$4,Acuses!$C$5:$C$3004,L$5),L$8)&lt;Resumen!$C$4,"Caducado",IF(EDATE(_xlfn.MAXIFS(Acuses!$D$5:$D$3004,Acuses!$A$5:$A$3004,$A36,Acuses!$B$5:$B$3004,L$4,Acuses!$C$5:$C$3004,L$5),L$8)&lt;Resumen!$C$4+30,"Caduca pronto","OK"))))))</f>
        <v/>
      </c>
      <c r="M36" s="26" t="str">
        <f aca="false">IF(OR($A36="",M$4=""),"",IF(NOT(OR(M$6="Toda la plantilla",ISNUMBER(SEARCH(";"&amp;SUBSTITUTE($C36," ","")&amp;";",";"&amp;SUBSTITUTE(M$7," ","")&amp;";")))),"—",IF(_xlfn.MAXIFS(Acuses!$C$5:$C$3004,Acuses!$A$5:$A$3004,$A36,Acuses!$B$5:$B$3004,M$4)&lt;M$5,"Pendiente",IF(M$8=0,"OK",IF(EDATE(_xlfn.MAXIFS(Acuses!$D$5:$D$3004,Acuses!$A$5:$A$3004,$A36,Acuses!$B$5:$B$3004,M$4,Acuses!$C$5:$C$3004,M$5),M$8)&lt;Resumen!$C$4,"Caducado",IF(EDATE(_xlfn.MAXIFS(Acuses!$D$5:$D$3004,Acuses!$A$5:$A$3004,$A36,Acuses!$B$5:$B$3004,M$4,Acuses!$C$5:$C$3004,M$5),M$8)&lt;Resumen!$C$4+30,"Caduca pronto","OK"))))))</f>
        <v/>
      </c>
      <c r="N36" s="26" t="str">
        <f aca="false">IF(OR($A36="",N$4=""),"",IF(NOT(OR(N$6="Toda la plantilla",ISNUMBER(SEARCH(";"&amp;SUBSTITUTE($C36," ","")&amp;";",";"&amp;SUBSTITUTE(N$7," ","")&amp;";")))),"—",IF(_xlfn.MAXIFS(Acuses!$C$5:$C$3004,Acuses!$A$5:$A$3004,$A36,Acuses!$B$5:$B$3004,N$4)&lt;N$5,"Pendiente",IF(N$8=0,"OK",IF(EDATE(_xlfn.MAXIFS(Acuses!$D$5:$D$3004,Acuses!$A$5:$A$3004,$A36,Acuses!$B$5:$B$3004,N$4,Acuses!$C$5:$C$3004,N$5),N$8)&lt;Resumen!$C$4,"Caducado",IF(EDATE(_xlfn.MAXIFS(Acuses!$D$5:$D$3004,Acuses!$A$5:$A$3004,$A36,Acuses!$B$5:$B$3004,N$4,Acuses!$C$5:$C$3004,N$5),N$8)&lt;Resumen!$C$4+30,"Caduca pronto","OK"))))))</f>
        <v/>
      </c>
      <c r="O36" s="26" t="str">
        <f aca="false">IF(OR($A36="",O$4=""),"",IF(NOT(OR(O$6="Toda la plantilla",ISNUMBER(SEARCH(";"&amp;SUBSTITUTE($C36," ","")&amp;";",";"&amp;SUBSTITUTE(O$7," ","")&amp;";")))),"—",IF(_xlfn.MAXIFS(Acuses!$C$5:$C$3004,Acuses!$A$5:$A$3004,$A36,Acuses!$B$5:$B$3004,O$4)&lt;O$5,"Pendiente",IF(O$8=0,"OK",IF(EDATE(_xlfn.MAXIFS(Acuses!$D$5:$D$3004,Acuses!$A$5:$A$3004,$A36,Acuses!$B$5:$B$3004,O$4,Acuses!$C$5:$C$3004,O$5),O$8)&lt;Resumen!$C$4,"Caducado",IF(EDATE(_xlfn.MAXIFS(Acuses!$D$5:$D$3004,Acuses!$A$5:$A$3004,$A36,Acuses!$B$5:$B$3004,O$4,Acuses!$C$5:$C$3004,O$5),O$8)&lt;Resumen!$C$4+30,"Caduca pronto","OK"))))))</f>
        <v/>
      </c>
      <c r="P36" s="26" t="str">
        <f aca="false">IF(OR($A36="",P$4=""),"",IF(NOT(OR(P$6="Toda la plantilla",ISNUMBER(SEARCH(";"&amp;SUBSTITUTE($C36," ","")&amp;";",";"&amp;SUBSTITUTE(P$7," ","")&amp;";")))),"—",IF(_xlfn.MAXIFS(Acuses!$C$5:$C$3004,Acuses!$A$5:$A$3004,$A36,Acuses!$B$5:$B$3004,P$4)&lt;P$5,"Pendiente",IF(P$8=0,"OK",IF(EDATE(_xlfn.MAXIFS(Acuses!$D$5:$D$3004,Acuses!$A$5:$A$3004,$A36,Acuses!$B$5:$B$3004,P$4,Acuses!$C$5:$C$3004,P$5),P$8)&lt;Resumen!$C$4,"Caducado",IF(EDATE(_xlfn.MAXIFS(Acuses!$D$5:$D$3004,Acuses!$A$5:$A$3004,$A36,Acuses!$B$5:$B$3004,P$4,Acuses!$C$5:$C$3004,P$5),P$8)&lt;Resumen!$C$4+30,"Caduca pronto","OK"))))))</f>
        <v/>
      </c>
      <c r="Q36" s="26" t="str">
        <f aca="false">IF(OR($A36="",Q$4=""),"",IF(NOT(OR(Q$6="Toda la plantilla",ISNUMBER(SEARCH(";"&amp;SUBSTITUTE($C36," ","")&amp;";",";"&amp;SUBSTITUTE(Q$7," ","")&amp;";")))),"—",IF(_xlfn.MAXIFS(Acuses!$C$5:$C$3004,Acuses!$A$5:$A$3004,$A36,Acuses!$B$5:$B$3004,Q$4)&lt;Q$5,"Pendiente",IF(Q$8=0,"OK",IF(EDATE(_xlfn.MAXIFS(Acuses!$D$5:$D$3004,Acuses!$A$5:$A$3004,$A36,Acuses!$B$5:$B$3004,Q$4,Acuses!$C$5:$C$3004,Q$5),Q$8)&lt;Resumen!$C$4,"Caducado",IF(EDATE(_xlfn.MAXIFS(Acuses!$D$5:$D$3004,Acuses!$A$5:$A$3004,$A36,Acuses!$B$5:$B$3004,Q$4,Acuses!$C$5:$C$3004,Q$5),Q$8)&lt;Resumen!$C$4+30,"Caduca pronto","OK"))))))</f>
        <v/>
      </c>
      <c r="R36" s="26" t="str">
        <f aca="false">IF(OR($A36="",R$4=""),"",IF(NOT(OR(R$6="Toda la plantilla",ISNUMBER(SEARCH(";"&amp;SUBSTITUTE($C36," ","")&amp;";",";"&amp;SUBSTITUTE(R$7," ","")&amp;";")))),"—",IF(_xlfn.MAXIFS(Acuses!$C$5:$C$3004,Acuses!$A$5:$A$3004,$A36,Acuses!$B$5:$B$3004,R$4)&lt;R$5,"Pendiente",IF(R$8=0,"OK",IF(EDATE(_xlfn.MAXIFS(Acuses!$D$5:$D$3004,Acuses!$A$5:$A$3004,$A36,Acuses!$B$5:$B$3004,R$4,Acuses!$C$5:$C$3004,R$5),R$8)&lt;Resumen!$C$4,"Caducado",IF(EDATE(_xlfn.MAXIFS(Acuses!$D$5:$D$3004,Acuses!$A$5:$A$3004,$A36,Acuses!$B$5:$B$3004,R$4,Acuses!$C$5:$C$3004,R$5),R$8)&lt;Resumen!$C$4+30,"Caduca pronto","OK"))))))</f>
        <v/>
      </c>
      <c r="S36" s="26" t="str">
        <f aca="false">IF(OR($A36="",S$4=""),"",IF(NOT(OR(S$6="Toda la plantilla",ISNUMBER(SEARCH(";"&amp;SUBSTITUTE($C36," ","")&amp;";",";"&amp;SUBSTITUTE(S$7," ","")&amp;";")))),"—",IF(_xlfn.MAXIFS(Acuses!$C$5:$C$3004,Acuses!$A$5:$A$3004,$A36,Acuses!$B$5:$B$3004,S$4)&lt;S$5,"Pendiente",IF(S$8=0,"OK",IF(EDATE(_xlfn.MAXIFS(Acuses!$D$5:$D$3004,Acuses!$A$5:$A$3004,$A36,Acuses!$B$5:$B$3004,S$4,Acuses!$C$5:$C$3004,S$5),S$8)&lt;Resumen!$C$4,"Caducado",IF(EDATE(_xlfn.MAXIFS(Acuses!$D$5:$D$3004,Acuses!$A$5:$A$3004,$A36,Acuses!$B$5:$B$3004,S$4,Acuses!$C$5:$C$3004,S$5),S$8)&lt;Resumen!$C$4+30,"Caduca pronto","OK"))))))</f>
        <v/>
      </c>
      <c r="T36" s="26" t="str">
        <f aca="false">IF(OR($A36="",T$4=""),"",IF(NOT(OR(T$6="Toda la plantilla",ISNUMBER(SEARCH(";"&amp;SUBSTITUTE($C36," ","")&amp;";",";"&amp;SUBSTITUTE(T$7," ","")&amp;";")))),"—",IF(_xlfn.MAXIFS(Acuses!$C$5:$C$3004,Acuses!$A$5:$A$3004,$A36,Acuses!$B$5:$B$3004,T$4)&lt;T$5,"Pendiente",IF(T$8=0,"OK",IF(EDATE(_xlfn.MAXIFS(Acuses!$D$5:$D$3004,Acuses!$A$5:$A$3004,$A36,Acuses!$B$5:$B$3004,T$4,Acuses!$C$5:$C$3004,T$5),T$8)&lt;Resumen!$C$4,"Caducado",IF(EDATE(_xlfn.MAXIFS(Acuses!$D$5:$D$3004,Acuses!$A$5:$A$3004,$A36,Acuses!$B$5:$B$3004,T$4,Acuses!$C$5:$C$3004,T$5),T$8)&lt;Resumen!$C$4+30,"Caduca pronto","OK"))))))</f>
        <v/>
      </c>
      <c r="U36" s="26" t="str">
        <f aca="false">IF(OR($A36="",U$4=""),"",IF(NOT(OR(U$6="Toda la plantilla",ISNUMBER(SEARCH(";"&amp;SUBSTITUTE($C36," ","")&amp;";",";"&amp;SUBSTITUTE(U$7," ","")&amp;";")))),"—",IF(_xlfn.MAXIFS(Acuses!$C$5:$C$3004,Acuses!$A$5:$A$3004,$A36,Acuses!$B$5:$B$3004,U$4)&lt;U$5,"Pendiente",IF(U$8=0,"OK",IF(EDATE(_xlfn.MAXIFS(Acuses!$D$5:$D$3004,Acuses!$A$5:$A$3004,$A36,Acuses!$B$5:$B$3004,U$4,Acuses!$C$5:$C$3004,U$5),U$8)&lt;Resumen!$C$4,"Caducado",IF(EDATE(_xlfn.MAXIFS(Acuses!$D$5:$D$3004,Acuses!$A$5:$A$3004,$A36,Acuses!$B$5:$B$3004,U$4,Acuses!$C$5:$C$3004,U$5),U$8)&lt;Resumen!$C$4+30,"Caduca pronto","OK"))))))</f>
        <v/>
      </c>
      <c r="V36" s="26" t="str">
        <f aca="false">IF(OR($A36="",V$4=""),"",IF(NOT(OR(V$6="Toda la plantilla",ISNUMBER(SEARCH(";"&amp;SUBSTITUTE($C36," ","")&amp;";",";"&amp;SUBSTITUTE(V$7," ","")&amp;";")))),"—",IF(_xlfn.MAXIFS(Acuses!$C$5:$C$3004,Acuses!$A$5:$A$3004,$A36,Acuses!$B$5:$B$3004,V$4)&lt;V$5,"Pendiente",IF(V$8=0,"OK",IF(EDATE(_xlfn.MAXIFS(Acuses!$D$5:$D$3004,Acuses!$A$5:$A$3004,$A36,Acuses!$B$5:$B$3004,V$4,Acuses!$C$5:$C$3004,V$5),V$8)&lt;Resumen!$C$4,"Caducado",IF(EDATE(_xlfn.MAXIFS(Acuses!$D$5:$D$3004,Acuses!$A$5:$A$3004,$A36,Acuses!$B$5:$B$3004,V$4,Acuses!$C$5:$C$3004,V$5),V$8)&lt;Resumen!$C$4+30,"Caduca pronto","OK"))))))</f>
        <v/>
      </c>
      <c r="W36" s="26" t="str">
        <f aca="false">IF(OR($A36="",W$4=""),"",IF(NOT(OR(W$6="Toda la plantilla",ISNUMBER(SEARCH(";"&amp;SUBSTITUTE($C36," ","")&amp;";",";"&amp;SUBSTITUTE(W$7," ","")&amp;";")))),"—",IF(_xlfn.MAXIFS(Acuses!$C$5:$C$3004,Acuses!$A$5:$A$3004,$A36,Acuses!$B$5:$B$3004,W$4)&lt;W$5,"Pendiente",IF(W$8=0,"OK",IF(EDATE(_xlfn.MAXIFS(Acuses!$D$5:$D$3004,Acuses!$A$5:$A$3004,$A36,Acuses!$B$5:$B$3004,W$4,Acuses!$C$5:$C$3004,W$5),W$8)&lt;Resumen!$C$4,"Caducado",IF(EDATE(_xlfn.MAXIFS(Acuses!$D$5:$D$3004,Acuses!$A$5:$A$3004,$A36,Acuses!$B$5:$B$3004,W$4,Acuses!$C$5:$C$3004,W$5),W$8)&lt;Resumen!$C$4+30,"Caduca pronto","OK"))))))</f>
        <v/>
      </c>
      <c r="X36" s="26" t="str">
        <f aca="false">IF(OR($A36="",X$4=""),"",IF(NOT(OR(X$6="Toda la plantilla",ISNUMBER(SEARCH(";"&amp;SUBSTITUTE($C36," ","")&amp;";",";"&amp;SUBSTITUTE(X$7," ","")&amp;";")))),"—",IF(_xlfn.MAXIFS(Acuses!$C$5:$C$3004,Acuses!$A$5:$A$3004,$A36,Acuses!$B$5:$B$3004,X$4)&lt;X$5,"Pendiente",IF(X$8=0,"OK",IF(EDATE(_xlfn.MAXIFS(Acuses!$D$5:$D$3004,Acuses!$A$5:$A$3004,$A36,Acuses!$B$5:$B$3004,X$4,Acuses!$C$5:$C$3004,X$5),X$8)&lt;Resumen!$C$4,"Caducado",IF(EDATE(_xlfn.MAXIFS(Acuses!$D$5:$D$3004,Acuses!$A$5:$A$3004,$A36,Acuses!$B$5:$B$3004,X$4,Acuses!$C$5:$C$3004,X$5),X$8)&lt;Resumen!$C$4+30,"Caduca pronto","OK"))))))</f>
        <v/>
      </c>
      <c r="Y36" s="26" t="str">
        <f aca="false">IF(OR($A36="",Y$4=""),"",IF(NOT(OR(Y$6="Toda la plantilla",ISNUMBER(SEARCH(";"&amp;SUBSTITUTE($C36," ","")&amp;";",";"&amp;SUBSTITUTE(Y$7," ","")&amp;";")))),"—",IF(_xlfn.MAXIFS(Acuses!$C$5:$C$3004,Acuses!$A$5:$A$3004,$A36,Acuses!$B$5:$B$3004,Y$4)&lt;Y$5,"Pendiente",IF(Y$8=0,"OK",IF(EDATE(_xlfn.MAXIFS(Acuses!$D$5:$D$3004,Acuses!$A$5:$A$3004,$A36,Acuses!$B$5:$B$3004,Y$4,Acuses!$C$5:$C$3004,Y$5),Y$8)&lt;Resumen!$C$4,"Caducado",IF(EDATE(_xlfn.MAXIFS(Acuses!$D$5:$D$3004,Acuses!$A$5:$A$3004,$A36,Acuses!$B$5:$B$3004,Y$4,Acuses!$C$5:$C$3004,Y$5),Y$8)&lt;Resumen!$C$4+30,"Caduca pronto","OK"))))))</f>
        <v/>
      </c>
      <c r="Z36" s="26" t="str">
        <f aca="false">IF(OR($A36="",Z$4=""),"",IF(NOT(OR(Z$6="Toda la plantilla",ISNUMBER(SEARCH(";"&amp;SUBSTITUTE($C36," ","")&amp;";",";"&amp;SUBSTITUTE(Z$7," ","")&amp;";")))),"—",IF(_xlfn.MAXIFS(Acuses!$C$5:$C$3004,Acuses!$A$5:$A$3004,$A36,Acuses!$B$5:$B$3004,Z$4)&lt;Z$5,"Pendiente",IF(Z$8=0,"OK",IF(EDATE(_xlfn.MAXIFS(Acuses!$D$5:$D$3004,Acuses!$A$5:$A$3004,$A36,Acuses!$B$5:$B$3004,Z$4,Acuses!$C$5:$C$3004,Z$5),Z$8)&lt;Resumen!$C$4,"Caducado",IF(EDATE(_xlfn.MAXIFS(Acuses!$D$5:$D$3004,Acuses!$A$5:$A$3004,$A36,Acuses!$B$5:$B$3004,Z$4,Acuses!$C$5:$C$3004,Z$5),Z$8)&lt;Resumen!$C$4+30,"Caduca pronto","OK"))))))</f>
        <v/>
      </c>
      <c r="AA36" s="26" t="str">
        <f aca="false">IF(OR($A36="",AA$4=""),"",IF(NOT(OR(AA$6="Toda la plantilla",ISNUMBER(SEARCH(";"&amp;SUBSTITUTE($C36," ","")&amp;";",";"&amp;SUBSTITUTE(AA$7," ","")&amp;";")))),"—",IF(_xlfn.MAXIFS(Acuses!$C$5:$C$3004,Acuses!$A$5:$A$3004,$A36,Acuses!$B$5:$B$3004,AA$4)&lt;AA$5,"Pendiente",IF(AA$8=0,"OK",IF(EDATE(_xlfn.MAXIFS(Acuses!$D$5:$D$3004,Acuses!$A$5:$A$3004,$A36,Acuses!$B$5:$B$3004,AA$4,Acuses!$C$5:$C$3004,AA$5),AA$8)&lt;Resumen!$C$4,"Caducado",IF(EDATE(_xlfn.MAXIFS(Acuses!$D$5:$D$3004,Acuses!$A$5:$A$3004,$A36,Acuses!$B$5:$B$3004,AA$4,Acuses!$C$5:$C$3004,AA$5),AA$8)&lt;Resumen!$C$4+30,"Caduca pronto","OK"))))))</f>
        <v/>
      </c>
      <c r="AB36" s="26" t="str">
        <f aca="false">IF(OR($A36="",AB$4=""),"",IF(NOT(OR(AB$6="Toda la plantilla",ISNUMBER(SEARCH(";"&amp;SUBSTITUTE($C36," ","")&amp;";",";"&amp;SUBSTITUTE(AB$7," ","")&amp;";")))),"—",IF(_xlfn.MAXIFS(Acuses!$C$5:$C$3004,Acuses!$A$5:$A$3004,$A36,Acuses!$B$5:$B$3004,AB$4)&lt;AB$5,"Pendiente",IF(AB$8=0,"OK",IF(EDATE(_xlfn.MAXIFS(Acuses!$D$5:$D$3004,Acuses!$A$5:$A$3004,$A36,Acuses!$B$5:$B$3004,AB$4,Acuses!$C$5:$C$3004,AB$5),AB$8)&lt;Resumen!$C$4,"Caducado",IF(EDATE(_xlfn.MAXIFS(Acuses!$D$5:$D$3004,Acuses!$A$5:$A$3004,$A36,Acuses!$B$5:$B$3004,AB$4,Acuses!$C$5:$C$3004,AB$5),AB$8)&lt;Resumen!$C$4+30,"Caduca pronto","OK"))))))</f>
        <v/>
      </c>
      <c r="AC36" s="26" t="str">
        <f aca="false">IF(OR($A36="",AC$4=""),"",IF(NOT(OR(AC$6="Toda la plantilla",ISNUMBER(SEARCH(";"&amp;SUBSTITUTE($C36," ","")&amp;";",";"&amp;SUBSTITUTE(AC$7," ","")&amp;";")))),"—",IF(_xlfn.MAXIFS(Acuses!$C$5:$C$3004,Acuses!$A$5:$A$3004,$A36,Acuses!$B$5:$B$3004,AC$4)&lt;AC$5,"Pendiente",IF(AC$8=0,"OK",IF(EDATE(_xlfn.MAXIFS(Acuses!$D$5:$D$3004,Acuses!$A$5:$A$3004,$A36,Acuses!$B$5:$B$3004,AC$4,Acuses!$C$5:$C$3004,AC$5),AC$8)&lt;Resumen!$C$4,"Caducado",IF(EDATE(_xlfn.MAXIFS(Acuses!$D$5:$D$3004,Acuses!$A$5:$A$3004,$A36,Acuses!$B$5:$B$3004,AC$4,Acuses!$C$5:$C$3004,AC$5),AC$8)&lt;Resumen!$C$4+30,"Caduca pronto","OK"))))))</f>
        <v/>
      </c>
      <c r="AD36" s="26" t="str">
        <f aca="false">IF(OR($A36="",AD$4=""),"",IF(NOT(OR(AD$6="Toda la plantilla",ISNUMBER(SEARCH(";"&amp;SUBSTITUTE($C36," ","")&amp;";",";"&amp;SUBSTITUTE(AD$7," ","")&amp;";")))),"—",IF(_xlfn.MAXIFS(Acuses!$C$5:$C$3004,Acuses!$A$5:$A$3004,$A36,Acuses!$B$5:$B$3004,AD$4)&lt;AD$5,"Pendiente",IF(AD$8=0,"OK",IF(EDATE(_xlfn.MAXIFS(Acuses!$D$5:$D$3004,Acuses!$A$5:$A$3004,$A36,Acuses!$B$5:$B$3004,AD$4,Acuses!$C$5:$C$3004,AD$5),AD$8)&lt;Resumen!$C$4,"Caducado",IF(EDATE(_xlfn.MAXIFS(Acuses!$D$5:$D$3004,Acuses!$A$5:$A$3004,$A36,Acuses!$B$5:$B$3004,AD$4,Acuses!$C$5:$C$3004,AD$5),AD$8)&lt;Resumen!$C$4+30,"Caduca pronto","OK"))))))</f>
        <v/>
      </c>
      <c r="AE36" s="26" t="str">
        <f aca="false">IF(OR($A36="",AE$4=""),"",IF(NOT(OR(AE$6="Toda la plantilla",ISNUMBER(SEARCH(";"&amp;SUBSTITUTE($C36," ","")&amp;";",";"&amp;SUBSTITUTE(AE$7," ","")&amp;";")))),"—",IF(_xlfn.MAXIFS(Acuses!$C$5:$C$3004,Acuses!$A$5:$A$3004,$A36,Acuses!$B$5:$B$3004,AE$4)&lt;AE$5,"Pendiente",IF(AE$8=0,"OK",IF(EDATE(_xlfn.MAXIFS(Acuses!$D$5:$D$3004,Acuses!$A$5:$A$3004,$A36,Acuses!$B$5:$B$3004,AE$4,Acuses!$C$5:$C$3004,AE$5),AE$8)&lt;Resumen!$C$4,"Caducado",IF(EDATE(_xlfn.MAXIFS(Acuses!$D$5:$D$3004,Acuses!$A$5:$A$3004,$A36,Acuses!$B$5:$B$3004,AE$4,Acuses!$C$5:$C$3004,AE$5),AE$8)&lt;Resumen!$C$4+30,"Caduca pronto","OK"))))))</f>
        <v/>
      </c>
      <c r="AF36" s="26" t="str">
        <f aca="false">IF(OR($A36="",AF$4=""),"",IF(NOT(OR(AF$6="Toda la plantilla",ISNUMBER(SEARCH(";"&amp;SUBSTITUTE($C36," ","")&amp;";",";"&amp;SUBSTITUTE(AF$7," ","")&amp;";")))),"—",IF(_xlfn.MAXIFS(Acuses!$C$5:$C$3004,Acuses!$A$5:$A$3004,$A36,Acuses!$B$5:$B$3004,AF$4)&lt;AF$5,"Pendiente",IF(AF$8=0,"OK",IF(EDATE(_xlfn.MAXIFS(Acuses!$D$5:$D$3004,Acuses!$A$5:$A$3004,$A36,Acuses!$B$5:$B$3004,AF$4,Acuses!$C$5:$C$3004,AF$5),AF$8)&lt;Resumen!$C$4,"Caducado",IF(EDATE(_xlfn.MAXIFS(Acuses!$D$5:$D$3004,Acuses!$A$5:$A$3004,$A36,Acuses!$B$5:$B$3004,AF$4,Acuses!$C$5:$C$3004,AF$5),AF$8)&lt;Resumen!$C$4+30,"Caduca pronto","OK"))))))</f>
        <v/>
      </c>
      <c r="AG36" s="26" t="str">
        <f aca="false">IF(OR($A36="",AG$4=""),"",IF(NOT(OR(AG$6="Toda la plantilla",ISNUMBER(SEARCH(";"&amp;SUBSTITUTE($C36," ","")&amp;";",";"&amp;SUBSTITUTE(AG$7," ","")&amp;";")))),"—",IF(_xlfn.MAXIFS(Acuses!$C$5:$C$3004,Acuses!$A$5:$A$3004,$A36,Acuses!$B$5:$B$3004,AG$4)&lt;AG$5,"Pendiente",IF(AG$8=0,"OK",IF(EDATE(_xlfn.MAXIFS(Acuses!$D$5:$D$3004,Acuses!$A$5:$A$3004,$A36,Acuses!$B$5:$B$3004,AG$4,Acuses!$C$5:$C$3004,AG$5),AG$8)&lt;Resumen!$C$4,"Caducado",IF(EDATE(_xlfn.MAXIFS(Acuses!$D$5:$D$3004,Acuses!$A$5:$A$3004,$A36,Acuses!$B$5:$B$3004,AG$4,Acuses!$C$5:$C$3004,AG$5),AG$8)&lt;Resumen!$C$4+30,"Caduca pronto","OK"))))))</f>
        <v/>
      </c>
      <c r="AH36" s="26" t="str">
        <f aca="false">IF(OR($A36="",AH$4=""),"",IF(NOT(OR(AH$6="Toda la plantilla",ISNUMBER(SEARCH(";"&amp;SUBSTITUTE($C36," ","")&amp;";",";"&amp;SUBSTITUTE(AH$7," ","")&amp;";")))),"—",IF(_xlfn.MAXIFS(Acuses!$C$5:$C$3004,Acuses!$A$5:$A$3004,$A36,Acuses!$B$5:$B$3004,AH$4)&lt;AH$5,"Pendiente",IF(AH$8=0,"OK",IF(EDATE(_xlfn.MAXIFS(Acuses!$D$5:$D$3004,Acuses!$A$5:$A$3004,$A36,Acuses!$B$5:$B$3004,AH$4,Acuses!$C$5:$C$3004,AH$5),AH$8)&lt;Resumen!$C$4,"Caducado",IF(EDATE(_xlfn.MAXIFS(Acuses!$D$5:$D$3004,Acuses!$A$5:$A$3004,$A36,Acuses!$B$5:$B$3004,AH$4,Acuses!$C$5:$C$3004,AH$5),AH$8)&lt;Resumen!$C$4+30,"Caduca pronto","OK"))))))</f>
        <v/>
      </c>
      <c r="AI36" s="26" t="str">
        <f aca="false">IF(OR($A36="",AI$4=""),"",IF(NOT(OR(AI$6="Toda la plantilla",ISNUMBER(SEARCH(";"&amp;SUBSTITUTE($C36," ","")&amp;";",";"&amp;SUBSTITUTE(AI$7," ","")&amp;";")))),"—",IF(_xlfn.MAXIFS(Acuses!$C$5:$C$3004,Acuses!$A$5:$A$3004,$A36,Acuses!$B$5:$B$3004,AI$4)&lt;AI$5,"Pendiente",IF(AI$8=0,"OK",IF(EDATE(_xlfn.MAXIFS(Acuses!$D$5:$D$3004,Acuses!$A$5:$A$3004,$A36,Acuses!$B$5:$B$3004,AI$4,Acuses!$C$5:$C$3004,AI$5),AI$8)&lt;Resumen!$C$4,"Caducado",IF(EDATE(_xlfn.MAXIFS(Acuses!$D$5:$D$3004,Acuses!$A$5:$A$3004,$A36,Acuses!$B$5:$B$3004,AI$4,Acuses!$C$5:$C$3004,AI$5),AI$8)&lt;Resumen!$C$4+30,"Caduca pronto","OK"))))))</f>
        <v/>
      </c>
      <c r="AJ36" s="26" t="str">
        <f aca="false">IF(OR($A36="",AJ$4=""),"",IF(NOT(OR(AJ$6="Toda la plantilla",ISNUMBER(SEARCH(";"&amp;SUBSTITUTE($C36," ","")&amp;";",";"&amp;SUBSTITUTE(AJ$7," ","")&amp;";")))),"—",IF(_xlfn.MAXIFS(Acuses!$C$5:$C$3004,Acuses!$A$5:$A$3004,$A36,Acuses!$B$5:$B$3004,AJ$4)&lt;AJ$5,"Pendiente",IF(AJ$8=0,"OK",IF(EDATE(_xlfn.MAXIFS(Acuses!$D$5:$D$3004,Acuses!$A$5:$A$3004,$A36,Acuses!$B$5:$B$3004,AJ$4,Acuses!$C$5:$C$3004,AJ$5),AJ$8)&lt;Resumen!$C$4,"Caducado",IF(EDATE(_xlfn.MAXIFS(Acuses!$D$5:$D$3004,Acuses!$A$5:$A$3004,$A36,Acuses!$B$5:$B$3004,AJ$4,Acuses!$C$5:$C$3004,AJ$5),AJ$8)&lt;Resumen!$C$4+30,"Caduca pronto","OK"))))))</f>
        <v/>
      </c>
      <c r="AK36" s="26" t="str">
        <f aca="false">IF(OR($A36="",AK$4=""),"",IF(NOT(OR(AK$6="Toda la plantilla",ISNUMBER(SEARCH(";"&amp;SUBSTITUTE($C36," ","")&amp;";",";"&amp;SUBSTITUTE(AK$7," ","")&amp;";")))),"—",IF(_xlfn.MAXIFS(Acuses!$C$5:$C$3004,Acuses!$A$5:$A$3004,$A36,Acuses!$B$5:$B$3004,AK$4)&lt;AK$5,"Pendiente",IF(AK$8=0,"OK",IF(EDATE(_xlfn.MAXIFS(Acuses!$D$5:$D$3004,Acuses!$A$5:$A$3004,$A36,Acuses!$B$5:$B$3004,AK$4,Acuses!$C$5:$C$3004,AK$5),AK$8)&lt;Resumen!$C$4,"Caducado",IF(EDATE(_xlfn.MAXIFS(Acuses!$D$5:$D$3004,Acuses!$A$5:$A$3004,$A36,Acuses!$B$5:$B$3004,AK$4,Acuses!$C$5:$C$3004,AK$5),AK$8)&lt;Resumen!$C$4+30,"Caduca pronto","OK"))))))</f>
        <v/>
      </c>
      <c r="AL36" s="26" t="str">
        <f aca="false">IF(OR($A36="",AL$4=""),"",IF(NOT(OR(AL$6="Toda la plantilla",ISNUMBER(SEARCH(";"&amp;SUBSTITUTE($C36," ","")&amp;";",";"&amp;SUBSTITUTE(AL$7," ","")&amp;";")))),"—",IF(_xlfn.MAXIFS(Acuses!$C$5:$C$3004,Acuses!$A$5:$A$3004,$A36,Acuses!$B$5:$B$3004,AL$4)&lt;AL$5,"Pendiente",IF(AL$8=0,"OK",IF(EDATE(_xlfn.MAXIFS(Acuses!$D$5:$D$3004,Acuses!$A$5:$A$3004,$A36,Acuses!$B$5:$B$3004,AL$4,Acuses!$C$5:$C$3004,AL$5),AL$8)&lt;Resumen!$C$4,"Caducado",IF(EDATE(_xlfn.MAXIFS(Acuses!$D$5:$D$3004,Acuses!$A$5:$A$3004,$A36,Acuses!$B$5:$B$3004,AL$4,Acuses!$C$5:$C$3004,AL$5),AL$8)&lt;Resumen!$C$4+30,"Caduca pronto","OK"))))))</f>
        <v/>
      </c>
      <c r="AM36" s="26" t="str">
        <f aca="false">IF(OR($A36="",AM$4=""),"",IF(NOT(OR(AM$6="Toda la plantilla",ISNUMBER(SEARCH(";"&amp;SUBSTITUTE($C36," ","")&amp;";",";"&amp;SUBSTITUTE(AM$7," ","")&amp;";")))),"—",IF(_xlfn.MAXIFS(Acuses!$C$5:$C$3004,Acuses!$A$5:$A$3004,$A36,Acuses!$B$5:$B$3004,AM$4)&lt;AM$5,"Pendiente",IF(AM$8=0,"OK",IF(EDATE(_xlfn.MAXIFS(Acuses!$D$5:$D$3004,Acuses!$A$5:$A$3004,$A36,Acuses!$B$5:$B$3004,AM$4,Acuses!$C$5:$C$3004,AM$5),AM$8)&lt;Resumen!$C$4,"Caducado",IF(EDATE(_xlfn.MAXIFS(Acuses!$D$5:$D$3004,Acuses!$A$5:$A$3004,$A36,Acuses!$B$5:$B$3004,AM$4,Acuses!$C$5:$C$3004,AM$5),AM$8)&lt;Resumen!$C$4+30,"Caduca pronto","OK"))))))</f>
        <v/>
      </c>
      <c r="AN36" s="26" t="str">
        <f aca="false">IF(OR($A36="",AN$4=""),"",IF(NOT(OR(AN$6="Toda la plantilla",ISNUMBER(SEARCH(";"&amp;SUBSTITUTE($C36," ","")&amp;";",";"&amp;SUBSTITUTE(AN$7," ","")&amp;";")))),"—",IF(_xlfn.MAXIFS(Acuses!$C$5:$C$3004,Acuses!$A$5:$A$3004,$A36,Acuses!$B$5:$B$3004,AN$4)&lt;AN$5,"Pendiente",IF(AN$8=0,"OK",IF(EDATE(_xlfn.MAXIFS(Acuses!$D$5:$D$3004,Acuses!$A$5:$A$3004,$A36,Acuses!$B$5:$B$3004,AN$4,Acuses!$C$5:$C$3004,AN$5),AN$8)&lt;Resumen!$C$4,"Caducado",IF(EDATE(_xlfn.MAXIFS(Acuses!$D$5:$D$3004,Acuses!$A$5:$A$3004,$A36,Acuses!$B$5:$B$3004,AN$4,Acuses!$C$5:$C$3004,AN$5),AN$8)&lt;Resumen!$C$4+30,"Caduca pronto","OK"))))))</f>
        <v/>
      </c>
      <c r="AO36" s="26" t="str">
        <f aca="false">IF(OR($A36="",AO$4=""),"",IF(NOT(OR(AO$6="Toda la plantilla",ISNUMBER(SEARCH(";"&amp;SUBSTITUTE($C36," ","")&amp;";",";"&amp;SUBSTITUTE(AO$7," ","")&amp;";")))),"—",IF(_xlfn.MAXIFS(Acuses!$C$5:$C$3004,Acuses!$A$5:$A$3004,$A36,Acuses!$B$5:$B$3004,AO$4)&lt;AO$5,"Pendiente",IF(AO$8=0,"OK",IF(EDATE(_xlfn.MAXIFS(Acuses!$D$5:$D$3004,Acuses!$A$5:$A$3004,$A36,Acuses!$B$5:$B$3004,AO$4,Acuses!$C$5:$C$3004,AO$5),AO$8)&lt;Resumen!$C$4,"Caducado",IF(EDATE(_xlfn.MAXIFS(Acuses!$D$5:$D$3004,Acuses!$A$5:$A$3004,$A36,Acuses!$B$5:$B$3004,AO$4,Acuses!$C$5:$C$3004,AO$5),AO$8)&lt;Resumen!$C$4+30,"Caduca pronto","OK"))))))</f>
        <v/>
      </c>
      <c r="AP36" s="26" t="str">
        <f aca="false">IF(OR($A36="",AP$4=""),"",IF(NOT(OR(AP$6="Toda la plantilla",ISNUMBER(SEARCH(";"&amp;SUBSTITUTE($C36," ","")&amp;";",";"&amp;SUBSTITUTE(AP$7," ","")&amp;";")))),"—",IF(_xlfn.MAXIFS(Acuses!$C$5:$C$3004,Acuses!$A$5:$A$3004,$A36,Acuses!$B$5:$B$3004,AP$4)&lt;AP$5,"Pendiente",IF(AP$8=0,"OK",IF(EDATE(_xlfn.MAXIFS(Acuses!$D$5:$D$3004,Acuses!$A$5:$A$3004,$A36,Acuses!$B$5:$B$3004,AP$4,Acuses!$C$5:$C$3004,AP$5),AP$8)&lt;Resumen!$C$4,"Caducado",IF(EDATE(_xlfn.MAXIFS(Acuses!$D$5:$D$3004,Acuses!$A$5:$A$3004,$A36,Acuses!$B$5:$B$3004,AP$4,Acuses!$C$5:$C$3004,AP$5),AP$8)&lt;Resumen!$C$4+30,"Caduca pronto","OK"))))))</f>
        <v/>
      </c>
      <c r="AQ36" s="26" t="str">
        <f aca="false">IF(OR($A36="",AQ$4=""),"",IF(NOT(OR(AQ$6="Toda la plantilla",ISNUMBER(SEARCH(";"&amp;SUBSTITUTE($C36," ","")&amp;";",";"&amp;SUBSTITUTE(AQ$7," ","")&amp;";")))),"—",IF(_xlfn.MAXIFS(Acuses!$C$5:$C$3004,Acuses!$A$5:$A$3004,$A36,Acuses!$B$5:$B$3004,AQ$4)&lt;AQ$5,"Pendiente",IF(AQ$8=0,"OK",IF(EDATE(_xlfn.MAXIFS(Acuses!$D$5:$D$3004,Acuses!$A$5:$A$3004,$A36,Acuses!$B$5:$B$3004,AQ$4,Acuses!$C$5:$C$3004,AQ$5),AQ$8)&lt;Resumen!$C$4,"Caducado",IF(EDATE(_xlfn.MAXIFS(Acuses!$D$5:$D$3004,Acuses!$A$5:$A$3004,$A36,Acuses!$B$5:$B$3004,AQ$4,Acuses!$C$5:$C$3004,AQ$5),AQ$8)&lt;Resumen!$C$4+30,"Caduca pronto","OK"))))))</f>
        <v/>
      </c>
    </row>
    <row r="37" customFormat="false" ht="15" hidden="false" customHeight="false" outlineLevel="0" collapsed="false">
      <c r="A37" s="25" t="str">
        <f aca="false">IF(AND(Trabajadores!$A$32&lt;&gt;"",Trabajadores!$G$32&lt;&gt;"No"),Trabajadores!$A$32,"")</f>
        <v/>
      </c>
      <c r="B37" s="25" t="str">
        <f aca="false">IF($A37="","",Trabajadores!$B$32)</f>
        <v/>
      </c>
      <c r="C37" s="25" t="str">
        <f aca="false">IF($A37="","",Trabajadores!$C$32)</f>
        <v/>
      </c>
      <c r="D37" s="26" t="str">
        <f aca="false">IF(OR($A37="",D$4=""),"",IF(NOT(OR(D$6="Toda la plantilla",ISNUMBER(SEARCH(";"&amp;SUBSTITUTE($C37," ","")&amp;";",";"&amp;SUBSTITUTE(D$7," ","")&amp;";")))),"—",IF(_xlfn.MAXIFS(Acuses!$C$5:$C$3004,Acuses!$A$5:$A$3004,$A37,Acuses!$B$5:$B$3004,D$4)&lt;D$5,"Pendiente",IF(D$8=0,"OK",IF(EDATE(_xlfn.MAXIFS(Acuses!$D$5:$D$3004,Acuses!$A$5:$A$3004,$A37,Acuses!$B$5:$B$3004,D$4,Acuses!$C$5:$C$3004,D$5),D$8)&lt;Resumen!$C$4,"Caducado",IF(EDATE(_xlfn.MAXIFS(Acuses!$D$5:$D$3004,Acuses!$A$5:$A$3004,$A37,Acuses!$B$5:$B$3004,D$4,Acuses!$C$5:$C$3004,D$5),D$8)&lt;Resumen!$C$4+30,"Caduca pronto","OK"))))))</f>
        <v/>
      </c>
      <c r="E37" s="26" t="str">
        <f aca="false">IF(OR($A37="",E$4=""),"",IF(NOT(OR(E$6="Toda la plantilla",ISNUMBER(SEARCH(";"&amp;SUBSTITUTE($C37," ","")&amp;";",";"&amp;SUBSTITUTE(E$7," ","")&amp;";")))),"—",IF(_xlfn.MAXIFS(Acuses!$C$5:$C$3004,Acuses!$A$5:$A$3004,$A37,Acuses!$B$5:$B$3004,E$4)&lt;E$5,"Pendiente",IF(E$8=0,"OK",IF(EDATE(_xlfn.MAXIFS(Acuses!$D$5:$D$3004,Acuses!$A$5:$A$3004,$A37,Acuses!$B$5:$B$3004,E$4,Acuses!$C$5:$C$3004,E$5),E$8)&lt;Resumen!$C$4,"Caducado",IF(EDATE(_xlfn.MAXIFS(Acuses!$D$5:$D$3004,Acuses!$A$5:$A$3004,$A37,Acuses!$B$5:$B$3004,E$4,Acuses!$C$5:$C$3004,E$5),E$8)&lt;Resumen!$C$4+30,"Caduca pronto","OK"))))))</f>
        <v/>
      </c>
      <c r="F37" s="26" t="str">
        <f aca="false">IF(OR($A37="",F$4=""),"",IF(NOT(OR(F$6="Toda la plantilla",ISNUMBER(SEARCH(";"&amp;SUBSTITUTE($C37," ","")&amp;";",";"&amp;SUBSTITUTE(F$7," ","")&amp;";")))),"—",IF(_xlfn.MAXIFS(Acuses!$C$5:$C$3004,Acuses!$A$5:$A$3004,$A37,Acuses!$B$5:$B$3004,F$4)&lt;F$5,"Pendiente",IF(F$8=0,"OK",IF(EDATE(_xlfn.MAXIFS(Acuses!$D$5:$D$3004,Acuses!$A$5:$A$3004,$A37,Acuses!$B$5:$B$3004,F$4,Acuses!$C$5:$C$3004,F$5),F$8)&lt;Resumen!$C$4,"Caducado",IF(EDATE(_xlfn.MAXIFS(Acuses!$D$5:$D$3004,Acuses!$A$5:$A$3004,$A37,Acuses!$B$5:$B$3004,F$4,Acuses!$C$5:$C$3004,F$5),F$8)&lt;Resumen!$C$4+30,"Caduca pronto","OK"))))))</f>
        <v/>
      </c>
      <c r="G37" s="26" t="str">
        <f aca="false">IF(OR($A37="",G$4=""),"",IF(NOT(OR(G$6="Toda la plantilla",ISNUMBER(SEARCH(";"&amp;SUBSTITUTE($C37," ","")&amp;";",";"&amp;SUBSTITUTE(G$7," ","")&amp;";")))),"—",IF(_xlfn.MAXIFS(Acuses!$C$5:$C$3004,Acuses!$A$5:$A$3004,$A37,Acuses!$B$5:$B$3004,G$4)&lt;G$5,"Pendiente",IF(G$8=0,"OK",IF(EDATE(_xlfn.MAXIFS(Acuses!$D$5:$D$3004,Acuses!$A$5:$A$3004,$A37,Acuses!$B$5:$B$3004,G$4,Acuses!$C$5:$C$3004,G$5),G$8)&lt;Resumen!$C$4,"Caducado",IF(EDATE(_xlfn.MAXIFS(Acuses!$D$5:$D$3004,Acuses!$A$5:$A$3004,$A37,Acuses!$B$5:$B$3004,G$4,Acuses!$C$5:$C$3004,G$5),G$8)&lt;Resumen!$C$4+30,"Caduca pronto","OK"))))))</f>
        <v/>
      </c>
      <c r="H37" s="26" t="str">
        <f aca="false">IF(OR($A37="",H$4=""),"",IF(NOT(OR(H$6="Toda la plantilla",ISNUMBER(SEARCH(";"&amp;SUBSTITUTE($C37," ","")&amp;";",";"&amp;SUBSTITUTE(H$7," ","")&amp;";")))),"—",IF(_xlfn.MAXIFS(Acuses!$C$5:$C$3004,Acuses!$A$5:$A$3004,$A37,Acuses!$B$5:$B$3004,H$4)&lt;H$5,"Pendiente",IF(H$8=0,"OK",IF(EDATE(_xlfn.MAXIFS(Acuses!$D$5:$D$3004,Acuses!$A$5:$A$3004,$A37,Acuses!$B$5:$B$3004,H$4,Acuses!$C$5:$C$3004,H$5),H$8)&lt;Resumen!$C$4,"Caducado",IF(EDATE(_xlfn.MAXIFS(Acuses!$D$5:$D$3004,Acuses!$A$5:$A$3004,$A37,Acuses!$B$5:$B$3004,H$4,Acuses!$C$5:$C$3004,H$5),H$8)&lt;Resumen!$C$4+30,"Caduca pronto","OK"))))))</f>
        <v/>
      </c>
      <c r="I37" s="26" t="str">
        <f aca="false">IF(OR($A37="",I$4=""),"",IF(NOT(OR(I$6="Toda la plantilla",ISNUMBER(SEARCH(";"&amp;SUBSTITUTE($C37," ","")&amp;";",";"&amp;SUBSTITUTE(I$7," ","")&amp;";")))),"—",IF(_xlfn.MAXIFS(Acuses!$C$5:$C$3004,Acuses!$A$5:$A$3004,$A37,Acuses!$B$5:$B$3004,I$4)&lt;I$5,"Pendiente",IF(I$8=0,"OK",IF(EDATE(_xlfn.MAXIFS(Acuses!$D$5:$D$3004,Acuses!$A$5:$A$3004,$A37,Acuses!$B$5:$B$3004,I$4,Acuses!$C$5:$C$3004,I$5),I$8)&lt;Resumen!$C$4,"Caducado",IF(EDATE(_xlfn.MAXIFS(Acuses!$D$5:$D$3004,Acuses!$A$5:$A$3004,$A37,Acuses!$B$5:$B$3004,I$4,Acuses!$C$5:$C$3004,I$5),I$8)&lt;Resumen!$C$4+30,"Caduca pronto","OK"))))))</f>
        <v/>
      </c>
      <c r="J37" s="26" t="str">
        <f aca="false">IF(OR($A37="",J$4=""),"",IF(NOT(OR(J$6="Toda la plantilla",ISNUMBER(SEARCH(";"&amp;SUBSTITUTE($C37," ","")&amp;";",";"&amp;SUBSTITUTE(J$7," ","")&amp;";")))),"—",IF(_xlfn.MAXIFS(Acuses!$C$5:$C$3004,Acuses!$A$5:$A$3004,$A37,Acuses!$B$5:$B$3004,J$4)&lt;J$5,"Pendiente",IF(J$8=0,"OK",IF(EDATE(_xlfn.MAXIFS(Acuses!$D$5:$D$3004,Acuses!$A$5:$A$3004,$A37,Acuses!$B$5:$B$3004,J$4,Acuses!$C$5:$C$3004,J$5),J$8)&lt;Resumen!$C$4,"Caducado",IF(EDATE(_xlfn.MAXIFS(Acuses!$D$5:$D$3004,Acuses!$A$5:$A$3004,$A37,Acuses!$B$5:$B$3004,J$4,Acuses!$C$5:$C$3004,J$5),J$8)&lt;Resumen!$C$4+30,"Caduca pronto","OK"))))))</f>
        <v/>
      </c>
      <c r="K37" s="26" t="str">
        <f aca="false">IF(OR($A37="",K$4=""),"",IF(NOT(OR(K$6="Toda la plantilla",ISNUMBER(SEARCH(";"&amp;SUBSTITUTE($C37," ","")&amp;";",";"&amp;SUBSTITUTE(K$7," ","")&amp;";")))),"—",IF(_xlfn.MAXIFS(Acuses!$C$5:$C$3004,Acuses!$A$5:$A$3004,$A37,Acuses!$B$5:$B$3004,K$4)&lt;K$5,"Pendiente",IF(K$8=0,"OK",IF(EDATE(_xlfn.MAXIFS(Acuses!$D$5:$D$3004,Acuses!$A$5:$A$3004,$A37,Acuses!$B$5:$B$3004,K$4,Acuses!$C$5:$C$3004,K$5),K$8)&lt;Resumen!$C$4,"Caducado",IF(EDATE(_xlfn.MAXIFS(Acuses!$D$5:$D$3004,Acuses!$A$5:$A$3004,$A37,Acuses!$B$5:$B$3004,K$4,Acuses!$C$5:$C$3004,K$5),K$8)&lt;Resumen!$C$4+30,"Caduca pronto","OK"))))))</f>
        <v/>
      </c>
      <c r="L37" s="26" t="str">
        <f aca="false">IF(OR($A37="",L$4=""),"",IF(NOT(OR(L$6="Toda la plantilla",ISNUMBER(SEARCH(";"&amp;SUBSTITUTE($C37," ","")&amp;";",";"&amp;SUBSTITUTE(L$7," ","")&amp;";")))),"—",IF(_xlfn.MAXIFS(Acuses!$C$5:$C$3004,Acuses!$A$5:$A$3004,$A37,Acuses!$B$5:$B$3004,L$4)&lt;L$5,"Pendiente",IF(L$8=0,"OK",IF(EDATE(_xlfn.MAXIFS(Acuses!$D$5:$D$3004,Acuses!$A$5:$A$3004,$A37,Acuses!$B$5:$B$3004,L$4,Acuses!$C$5:$C$3004,L$5),L$8)&lt;Resumen!$C$4,"Caducado",IF(EDATE(_xlfn.MAXIFS(Acuses!$D$5:$D$3004,Acuses!$A$5:$A$3004,$A37,Acuses!$B$5:$B$3004,L$4,Acuses!$C$5:$C$3004,L$5),L$8)&lt;Resumen!$C$4+30,"Caduca pronto","OK"))))))</f>
        <v/>
      </c>
      <c r="M37" s="26" t="str">
        <f aca="false">IF(OR($A37="",M$4=""),"",IF(NOT(OR(M$6="Toda la plantilla",ISNUMBER(SEARCH(";"&amp;SUBSTITUTE($C37," ","")&amp;";",";"&amp;SUBSTITUTE(M$7," ","")&amp;";")))),"—",IF(_xlfn.MAXIFS(Acuses!$C$5:$C$3004,Acuses!$A$5:$A$3004,$A37,Acuses!$B$5:$B$3004,M$4)&lt;M$5,"Pendiente",IF(M$8=0,"OK",IF(EDATE(_xlfn.MAXIFS(Acuses!$D$5:$D$3004,Acuses!$A$5:$A$3004,$A37,Acuses!$B$5:$B$3004,M$4,Acuses!$C$5:$C$3004,M$5),M$8)&lt;Resumen!$C$4,"Caducado",IF(EDATE(_xlfn.MAXIFS(Acuses!$D$5:$D$3004,Acuses!$A$5:$A$3004,$A37,Acuses!$B$5:$B$3004,M$4,Acuses!$C$5:$C$3004,M$5),M$8)&lt;Resumen!$C$4+30,"Caduca pronto","OK"))))))</f>
        <v/>
      </c>
      <c r="N37" s="26" t="str">
        <f aca="false">IF(OR($A37="",N$4=""),"",IF(NOT(OR(N$6="Toda la plantilla",ISNUMBER(SEARCH(";"&amp;SUBSTITUTE($C37," ","")&amp;";",";"&amp;SUBSTITUTE(N$7," ","")&amp;";")))),"—",IF(_xlfn.MAXIFS(Acuses!$C$5:$C$3004,Acuses!$A$5:$A$3004,$A37,Acuses!$B$5:$B$3004,N$4)&lt;N$5,"Pendiente",IF(N$8=0,"OK",IF(EDATE(_xlfn.MAXIFS(Acuses!$D$5:$D$3004,Acuses!$A$5:$A$3004,$A37,Acuses!$B$5:$B$3004,N$4,Acuses!$C$5:$C$3004,N$5),N$8)&lt;Resumen!$C$4,"Caducado",IF(EDATE(_xlfn.MAXIFS(Acuses!$D$5:$D$3004,Acuses!$A$5:$A$3004,$A37,Acuses!$B$5:$B$3004,N$4,Acuses!$C$5:$C$3004,N$5),N$8)&lt;Resumen!$C$4+30,"Caduca pronto","OK"))))))</f>
        <v/>
      </c>
      <c r="O37" s="26" t="str">
        <f aca="false">IF(OR($A37="",O$4=""),"",IF(NOT(OR(O$6="Toda la plantilla",ISNUMBER(SEARCH(";"&amp;SUBSTITUTE($C37," ","")&amp;";",";"&amp;SUBSTITUTE(O$7," ","")&amp;";")))),"—",IF(_xlfn.MAXIFS(Acuses!$C$5:$C$3004,Acuses!$A$5:$A$3004,$A37,Acuses!$B$5:$B$3004,O$4)&lt;O$5,"Pendiente",IF(O$8=0,"OK",IF(EDATE(_xlfn.MAXIFS(Acuses!$D$5:$D$3004,Acuses!$A$5:$A$3004,$A37,Acuses!$B$5:$B$3004,O$4,Acuses!$C$5:$C$3004,O$5),O$8)&lt;Resumen!$C$4,"Caducado",IF(EDATE(_xlfn.MAXIFS(Acuses!$D$5:$D$3004,Acuses!$A$5:$A$3004,$A37,Acuses!$B$5:$B$3004,O$4,Acuses!$C$5:$C$3004,O$5),O$8)&lt;Resumen!$C$4+30,"Caduca pronto","OK"))))))</f>
        <v/>
      </c>
      <c r="P37" s="26" t="str">
        <f aca="false">IF(OR($A37="",P$4=""),"",IF(NOT(OR(P$6="Toda la plantilla",ISNUMBER(SEARCH(";"&amp;SUBSTITUTE($C37," ","")&amp;";",";"&amp;SUBSTITUTE(P$7," ","")&amp;";")))),"—",IF(_xlfn.MAXIFS(Acuses!$C$5:$C$3004,Acuses!$A$5:$A$3004,$A37,Acuses!$B$5:$B$3004,P$4)&lt;P$5,"Pendiente",IF(P$8=0,"OK",IF(EDATE(_xlfn.MAXIFS(Acuses!$D$5:$D$3004,Acuses!$A$5:$A$3004,$A37,Acuses!$B$5:$B$3004,P$4,Acuses!$C$5:$C$3004,P$5),P$8)&lt;Resumen!$C$4,"Caducado",IF(EDATE(_xlfn.MAXIFS(Acuses!$D$5:$D$3004,Acuses!$A$5:$A$3004,$A37,Acuses!$B$5:$B$3004,P$4,Acuses!$C$5:$C$3004,P$5),P$8)&lt;Resumen!$C$4+30,"Caduca pronto","OK"))))))</f>
        <v/>
      </c>
      <c r="Q37" s="26" t="str">
        <f aca="false">IF(OR($A37="",Q$4=""),"",IF(NOT(OR(Q$6="Toda la plantilla",ISNUMBER(SEARCH(";"&amp;SUBSTITUTE($C37," ","")&amp;";",";"&amp;SUBSTITUTE(Q$7," ","")&amp;";")))),"—",IF(_xlfn.MAXIFS(Acuses!$C$5:$C$3004,Acuses!$A$5:$A$3004,$A37,Acuses!$B$5:$B$3004,Q$4)&lt;Q$5,"Pendiente",IF(Q$8=0,"OK",IF(EDATE(_xlfn.MAXIFS(Acuses!$D$5:$D$3004,Acuses!$A$5:$A$3004,$A37,Acuses!$B$5:$B$3004,Q$4,Acuses!$C$5:$C$3004,Q$5),Q$8)&lt;Resumen!$C$4,"Caducado",IF(EDATE(_xlfn.MAXIFS(Acuses!$D$5:$D$3004,Acuses!$A$5:$A$3004,$A37,Acuses!$B$5:$B$3004,Q$4,Acuses!$C$5:$C$3004,Q$5),Q$8)&lt;Resumen!$C$4+30,"Caduca pronto","OK"))))))</f>
        <v/>
      </c>
      <c r="R37" s="26" t="str">
        <f aca="false">IF(OR($A37="",R$4=""),"",IF(NOT(OR(R$6="Toda la plantilla",ISNUMBER(SEARCH(";"&amp;SUBSTITUTE($C37," ","")&amp;";",";"&amp;SUBSTITUTE(R$7," ","")&amp;";")))),"—",IF(_xlfn.MAXIFS(Acuses!$C$5:$C$3004,Acuses!$A$5:$A$3004,$A37,Acuses!$B$5:$B$3004,R$4)&lt;R$5,"Pendiente",IF(R$8=0,"OK",IF(EDATE(_xlfn.MAXIFS(Acuses!$D$5:$D$3004,Acuses!$A$5:$A$3004,$A37,Acuses!$B$5:$B$3004,R$4,Acuses!$C$5:$C$3004,R$5),R$8)&lt;Resumen!$C$4,"Caducado",IF(EDATE(_xlfn.MAXIFS(Acuses!$D$5:$D$3004,Acuses!$A$5:$A$3004,$A37,Acuses!$B$5:$B$3004,R$4,Acuses!$C$5:$C$3004,R$5),R$8)&lt;Resumen!$C$4+30,"Caduca pronto","OK"))))))</f>
        <v/>
      </c>
      <c r="S37" s="26" t="str">
        <f aca="false">IF(OR($A37="",S$4=""),"",IF(NOT(OR(S$6="Toda la plantilla",ISNUMBER(SEARCH(";"&amp;SUBSTITUTE($C37," ","")&amp;";",";"&amp;SUBSTITUTE(S$7," ","")&amp;";")))),"—",IF(_xlfn.MAXIFS(Acuses!$C$5:$C$3004,Acuses!$A$5:$A$3004,$A37,Acuses!$B$5:$B$3004,S$4)&lt;S$5,"Pendiente",IF(S$8=0,"OK",IF(EDATE(_xlfn.MAXIFS(Acuses!$D$5:$D$3004,Acuses!$A$5:$A$3004,$A37,Acuses!$B$5:$B$3004,S$4,Acuses!$C$5:$C$3004,S$5),S$8)&lt;Resumen!$C$4,"Caducado",IF(EDATE(_xlfn.MAXIFS(Acuses!$D$5:$D$3004,Acuses!$A$5:$A$3004,$A37,Acuses!$B$5:$B$3004,S$4,Acuses!$C$5:$C$3004,S$5),S$8)&lt;Resumen!$C$4+30,"Caduca pronto","OK"))))))</f>
        <v/>
      </c>
      <c r="T37" s="26" t="str">
        <f aca="false">IF(OR($A37="",T$4=""),"",IF(NOT(OR(T$6="Toda la plantilla",ISNUMBER(SEARCH(";"&amp;SUBSTITUTE($C37," ","")&amp;";",";"&amp;SUBSTITUTE(T$7," ","")&amp;";")))),"—",IF(_xlfn.MAXIFS(Acuses!$C$5:$C$3004,Acuses!$A$5:$A$3004,$A37,Acuses!$B$5:$B$3004,T$4)&lt;T$5,"Pendiente",IF(T$8=0,"OK",IF(EDATE(_xlfn.MAXIFS(Acuses!$D$5:$D$3004,Acuses!$A$5:$A$3004,$A37,Acuses!$B$5:$B$3004,T$4,Acuses!$C$5:$C$3004,T$5),T$8)&lt;Resumen!$C$4,"Caducado",IF(EDATE(_xlfn.MAXIFS(Acuses!$D$5:$D$3004,Acuses!$A$5:$A$3004,$A37,Acuses!$B$5:$B$3004,T$4,Acuses!$C$5:$C$3004,T$5),T$8)&lt;Resumen!$C$4+30,"Caduca pronto","OK"))))))</f>
        <v/>
      </c>
      <c r="U37" s="26" t="str">
        <f aca="false">IF(OR($A37="",U$4=""),"",IF(NOT(OR(U$6="Toda la plantilla",ISNUMBER(SEARCH(";"&amp;SUBSTITUTE($C37," ","")&amp;";",";"&amp;SUBSTITUTE(U$7," ","")&amp;";")))),"—",IF(_xlfn.MAXIFS(Acuses!$C$5:$C$3004,Acuses!$A$5:$A$3004,$A37,Acuses!$B$5:$B$3004,U$4)&lt;U$5,"Pendiente",IF(U$8=0,"OK",IF(EDATE(_xlfn.MAXIFS(Acuses!$D$5:$D$3004,Acuses!$A$5:$A$3004,$A37,Acuses!$B$5:$B$3004,U$4,Acuses!$C$5:$C$3004,U$5),U$8)&lt;Resumen!$C$4,"Caducado",IF(EDATE(_xlfn.MAXIFS(Acuses!$D$5:$D$3004,Acuses!$A$5:$A$3004,$A37,Acuses!$B$5:$B$3004,U$4,Acuses!$C$5:$C$3004,U$5),U$8)&lt;Resumen!$C$4+30,"Caduca pronto","OK"))))))</f>
        <v/>
      </c>
      <c r="V37" s="26" t="str">
        <f aca="false">IF(OR($A37="",V$4=""),"",IF(NOT(OR(V$6="Toda la plantilla",ISNUMBER(SEARCH(";"&amp;SUBSTITUTE($C37," ","")&amp;";",";"&amp;SUBSTITUTE(V$7," ","")&amp;";")))),"—",IF(_xlfn.MAXIFS(Acuses!$C$5:$C$3004,Acuses!$A$5:$A$3004,$A37,Acuses!$B$5:$B$3004,V$4)&lt;V$5,"Pendiente",IF(V$8=0,"OK",IF(EDATE(_xlfn.MAXIFS(Acuses!$D$5:$D$3004,Acuses!$A$5:$A$3004,$A37,Acuses!$B$5:$B$3004,V$4,Acuses!$C$5:$C$3004,V$5),V$8)&lt;Resumen!$C$4,"Caducado",IF(EDATE(_xlfn.MAXIFS(Acuses!$D$5:$D$3004,Acuses!$A$5:$A$3004,$A37,Acuses!$B$5:$B$3004,V$4,Acuses!$C$5:$C$3004,V$5),V$8)&lt;Resumen!$C$4+30,"Caduca pronto","OK"))))))</f>
        <v/>
      </c>
      <c r="W37" s="26" t="str">
        <f aca="false">IF(OR($A37="",W$4=""),"",IF(NOT(OR(W$6="Toda la plantilla",ISNUMBER(SEARCH(";"&amp;SUBSTITUTE($C37," ","")&amp;";",";"&amp;SUBSTITUTE(W$7," ","")&amp;";")))),"—",IF(_xlfn.MAXIFS(Acuses!$C$5:$C$3004,Acuses!$A$5:$A$3004,$A37,Acuses!$B$5:$B$3004,W$4)&lt;W$5,"Pendiente",IF(W$8=0,"OK",IF(EDATE(_xlfn.MAXIFS(Acuses!$D$5:$D$3004,Acuses!$A$5:$A$3004,$A37,Acuses!$B$5:$B$3004,W$4,Acuses!$C$5:$C$3004,W$5),W$8)&lt;Resumen!$C$4,"Caducado",IF(EDATE(_xlfn.MAXIFS(Acuses!$D$5:$D$3004,Acuses!$A$5:$A$3004,$A37,Acuses!$B$5:$B$3004,W$4,Acuses!$C$5:$C$3004,W$5),W$8)&lt;Resumen!$C$4+30,"Caduca pronto","OK"))))))</f>
        <v/>
      </c>
      <c r="X37" s="26" t="str">
        <f aca="false">IF(OR($A37="",X$4=""),"",IF(NOT(OR(X$6="Toda la plantilla",ISNUMBER(SEARCH(";"&amp;SUBSTITUTE($C37," ","")&amp;";",";"&amp;SUBSTITUTE(X$7," ","")&amp;";")))),"—",IF(_xlfn.MAXIFS(Acuses!$C$5:$C$3004,Acuses!$A$5:$A$3004,$A37,Acuses!$B$5:$B$3004,X$4)&lt;X$5,"Pendiente",IF(X$8=0,"OK",IF(EDATE(_xlfn.MAXIFS(Acuses!$D$5:$D$3004,Acuses!$A$5:$A$3004,$A37,Acuses!$B$5:$B$3004,X$4,Acuses!$C$5:$C$3004,X$5),X$8)&lt;Resumen!$C$4,"Caducado",IF(EDATE(_xlfn.MAXIFS(Acuses!$D$5:$D$3004,Acuses!$A$5:$A$3004,$A37,Acuses!$B$5:$B$3004,X$4,Acuses!$C$5:$C$3004,X$5),X$8)&lt;Resumen!$C$4+30,"Caduca pronto","OK"))))))</f>
        <v/>
      </c>
      <c r="Y37" s="26" t="str">
        <f aca="false">IF(OR($A37="",Y$4=""),"",IF(NOT(OR(Y$6="Toda la plantilla",ISNUMBER(SEARCH(";"&amp;SUBSTITUTE($C37," ","")&amp;";",";"&amp;SUBSTITUTE(Y$7," ","")&amp;";")))),"—",IF(_xlfn.MAXIFS(Acuses!$C$5:$C$3004,Acuses!$A$5:$A$3004,$A37,Acuses!$B$5:$B$3004,Y$4)&lt;Y$5,"Pendiente",IF(Y$8=0,"OK",IF(EDATE(_xlfn.MAXIFS(Acuses!$D$5:$D$3004,Acuses!$A$5:$A$3004,$A37,Acuses!$B$5:$B$3004,Y$4,Acuses!$C$5:$C$3004,Y$5),Y$8)&lt;Resumen!$C$4,"Caducado",IF(EDATE(_xlfn.MAXIFS(Acuses!$D$5:$D$3004,Acuses!$A$5:$A$3004,$A37,Acuses!$B$5:$B$3004,Y$4,Acuses!$C$5:$C$3004,Y$5),Y$8)&lt;Resumen!$C$4+30,"Caduca pronto","OK"))))))</f>
        <v/>
      </c>
      <c r="Z37" s="26" t="str">
        <f aca="false">IF(OR($A37="",Z$4=""),"",IF(NOT(OR(Z$6="Toda la plantilla",ISNUMBER(SEARCH(";"&amp;SUBSTITUTE($C37," ","")&amp;";",";"&amp;SUBSTITUTE(Z$7," ","")&amp;";")))),"—",IF(_xlfn.MAXIFS(Acuses!$C$5:$C$3004,Acuses!$A$5:$A$3004,$A37,Acuses!$B$5:$B$3004,Z$4)&lt;Z$5,"Pendiente",IF(Z$8=0,"OK",IF(EDATE(_xlfn.MAXIFS(Acuses!$D$5:$D$3004,Acuses!$A$5:$A$3004,$A37,Acuses!$B$5:$B$3004,Z$4,Acuses!$C$5:$C$3004,Z$5),Z$8)&lt;Resumen!$C$4,"Caducado",IF(EDATE(_xlfn.MAXIFS(Acuses!$D$5:$D$3004,Acuses!$A$5:$A$3004,$A37,Acuses!$B$5:$B$3004,Z$4,Acuses!$C$5:$C$3004,Z$5),Z$8)&lt;Resumen!$C$4+30,"Caduca pronto","OK"))))))</f>
        <v/>
      </c>
      <c r="AA37" s="26" t="str">
        <f aca="false">IF(OR($A37="",AA$4=""),"",IF(NOT(OR(AA$6="Toda la plantilla",ISNUMBER(SEARCH(";"&amp;SUBSTITUTE($C37," ","")&amp;";",";"&amp;SUBSTITUTE(AA$7," ","")&amp;";")))),"—",IF(_xlfn.MAXIFS(Acuses!$C$5:$C$3004,Acuses!$A$5:$A$3004,$A37,Acuses!$B$5:$B$3004,AA$4)&lt;AA$5,"Pendiente",IF(AA$8=0,"OK",IF(EDATE(_xlfn.MAXIFS(Acuses!$D$5:$D$3004,Acuses!$A$5:$A$3004,$A37,Acuses!$B$5:$B$3004,AA$4,Acuses!$C$5:$C$3004,AA$5),AA$8)&lt;Resumen!$C$4,"Caducado",IF(EDATE(_xlfn.MAXIFS(Acuses!$D$5:$D$3004,Acuses!$A$5:$A$3004,$A37,Acuses!$B$5:$B$3004,AA$4,Acuses!$C$5:$C$3004,AA$5),AA$8)&lt;Resumen!$C$4+30,"Caduca pronto","OK"))))))</f>
        <v/>
      </c>
      <c r="AB37" s="26" t="str">
        <f aca="false">IF(OR($A37="",AB$4=""),"",IF(NOT(OR(AB$6="Toda la plantilla",ISNUMBER(SEARCH(";"&amp;SUBSTITUTE($C37," ","")&amp;";",";"&amp;SUBSTITUTE(AB$7," ","")&amp;";")))),"—",IF(_xlfn.MAXIFS(Acuses!$C$5:$C$3004,Acuses!$A$5:$A$3004,$A37,Acuses!$B$5:$B$3004,AB$4)&lt;AB$5,"Pendiente",IF(AB$8=0,"OK",IF(EDATE(_xlfn.MAXIFS(Acuses!$D$5:$D$3004,Acuses!$A$5:$A$3004,$A37,Acuses!$B$5:$B$3004,AB$4,Acuses!$C$5:$C$3004,AB$5),AB$8)&lt;Resumen!$C$4,"Caducado",IF(EDATE(_xlfn.MAXIFS(Acuses!$D$5:$D$3004,Acuses!$A$5:$A$3004,$A37,Acuses!$B$5:$B$3004,AB$4,Acuses!$C$5:$C$3004,AB$5),AB$8)&lt;Resumen!$C$4+30,"Caduca pronto","OK"))))))</f>
        <v/>
      </c>
      <c r="AC37" s="26" t="str">
        <f aca="false">IF(OR($A37="",AC$4=""),"",IF(NOT(OR(AC$6="Toda la plantilla",ISNUMBER(SEARCH(";"&amp;SUBSTITUTE($C37," ","")&amp;";",";"&amp;SUBSTITUTE(AC$7," ","")&amp;";")))),"—",IF(_xlfn.MAXIFS(Acuses!$C$5:$C$3004,Acuses!$A$5:$A$3004,$A37,Acuses!$B$5:$B$3004,AC$4)&lt;AC$5,"Pendiente",IF(AC$8=0,"OK",IF(EDATE(_xlfn.MAXIFS(Acuses!$D$5:$D$3004,Acuses!$A$5:$A$3004,$A37,Acuses!$B$5:$B$3004,AC$4,Acuses!$C$5:$C$3004,AC$5),AC$8)&lt;Resumen!$C$4,"Caducado",IF(EDATE(_xlfn.MAXIFS(Acuses!$D$5:$D$3004,Acuses!$A$5:$A$3004,$A37,Acuses!$B$5:$B$3004,AC$4,Acuses!$C$5:$C$3004,AC$5),AC$8)&lt;Resumen!$C$4+30,"Caduca pronto","OK"))))))</f>
        <v/>
      </c>
      <c r="AD37" s="26" t="str">
        <f aca="false">IF(OR($A37="",AD$4=""),"",IF(NOT(OR(AD$6="Toda la plantilla",ISNUMBER(SEARCH(";"&amp;SUBSTITUTE($C37," ","")&amp;";",";"&amp;SUBSTITUTE(AD$7," ","")&amp;";")))),"—",IF(_xlfn.MAXIFS(Acuses!$C$5:$C$3004,Acuses!$A$5:$A$3004,$A37,Acuses!$B$5:$B$3004,AD$4)&lt;AD$5,"Pendiente",IF(AD$8=0,"OK",IF(EDATE(_xlfn.MAXIFS(Acuses!$D$5:$D$3004,Acuses!$A$5:$A$3004,$A37,Acuses!$B$5:$B$3004,AD$4,Acuses!$C$5:$C$3004,AD$5),AD$8)&lt;Resumen!$C$4,"Caducado",IF(EDATE(_xlfn.MAXIFS(Acuses!$D$5:$D$3004,Acuses!$A$5:$A$3004,$A37,Acuses!$B$5:$B$3004,AD$4,Acuses!$C$5:$C$3004,AD$5),AD$8)&lt;Resumen!$C$4+30,"Caduca pronto","OK"))))))</f>
        <v/>
      </c>
      <c r="AE37" s="26" t="str">
        <f aca="false">IF(OR($A37="",AE$4=""),"",IF(NOT(OR(AE$6="Toda la plantilla",ISNUMBER(SEARCH(";"&amp;SUBSTITUTE($C37," ","")&amp;";",";"&amp;SUBSTITUTE(AE$7," ","")&amp;";")))),"—",IF(_xlfn.MAXIFS(Acuses!$C$5:$C$3004,Acuses!$A$5:$A$3004,$A37,Acuses!$B$5:$B$3004,AE$4)&lt;AE$5,"Pendiente",IF(AE$8=0,"OK",IF(EDATE(_xlfn.MAXIFS(Acuses!$D$5:$D$3004,Acuses!$A$5:$A$3004,$A37,Acuses!$B$5:$B$3004,AE$4,Acuses!$C$5:$C$3004,AE$5),AE$8)&lt;Resumen!$C$4,"Caducado",IF(EDATE(_xlfn.MAXIFS(Acuses!$D$5:$D$3004,Acuses!$A$5:$A$3004,$A37,Acuses!$B$5:$B$3004,AE$4,Acuses!$C$5:$C$3004,AE$5),AE$8)&lt;Resumen!$C$4+30,"Caduca pronto","OK"))))))</f>
        <v/>
      </c>
      <c r="AF37" s="26" t="str">
        <f aca="false">IF(OR($A37="",AF$4=""),"",IF(NOT(OR(AF$6="Toda la plantilla",ISNUMBER(SEARCH(";"&amp;SUBSTITUTE($C37," ","")&amp;";",";"&amp;SUBSTITUTE(AF$7," ","")&amp;";")))),"—",IF(_xlfn.MAXIFS(Acuses!$C$5:$C$3004,Acuses!$A$5:$A$3004,$A37,Acuses!$B$5:$B$3004,AF$4)&lt;AF$5,"Pendiente",IF(AF$8=0,"OK",IF(EDATE(_xlfn.MAXIFS(Acuses!$D$5:$D$3004,Acuses!$A$5:$A$3004,$A37,Acuses!$B$5:$B$3004,AF$4,Acuses!$C$5:$C$3004,AF$5),AF$8)&lt;Resumen!$C$4,"Caducado",IF(EDATE(_xlfn.MAXIFS(Acuses!$D$5:$D$3004,Acuses!$A$5:$A$3004,$A37,Acuses!$B$5:$B$3004,AF$4,Acuses!$C$5:$C$3004,AF$5),AF$8)&lt;Resumen!$C$4+30,"Caduca pronto","OK"))))))</f>
        <v/>
      </c>
      <c r="AG37" s="26" t="str">
        <f aca="false">IF(OR($A37="",AG$4=""),"",IF(NOT(OR(AG$6="Toda la plantilla",ISNUMBER(SEARCH(";"&amp;SUBSTITUTE($C37," ","")&amp;";",";"&amp;SUBSTITUTE(AG$7," ","")&amp;";")))),"—",IF(_xlfn.MAXIFS(Acuses!$C$5:$C$3004,Acuses!$A$5:$A$3004,$A37,Acuses!$B$5:$B$3004,AG$4)&lt;AG$5,"Pendiente",IF(AG$8=0,"OK",IF(EDATE(_xlfn.MAXIFS(Acuses!$D$5:$D$3004,Acuses!$A$5:$A$3004,$A37,Acuses!$B$5:$B$3004,AG$4,Acuses!$C$5:$C$3004,AG$5),AG$8)&lt;Resumen!$C$4,"Caducado",IF(EDATE(_xlfn.MAXIFS(Acuses!$D$5:$D$3004,Acuses!$A$5:$A$3004,$A37,Acuses!$B$5:$B$3004,AG$4,Acuses!$C$5:$C$3004,AG$5),AG$8)&lt;Resumen!$C$4+30,"Caduca pronto","OK"))))))</f>
        <v/>
      </c>
      <c r="AH37" s="26" t="str">
        <f aca="false">IF(OR($A37="",AH$4=""),"",IF(NOT(OR(AH$6="Toda la plantilla",ISNUMBER(SEARCH(";"&amp;SUBSTITUTE($C37," ","")&amp;";",";"&amp;SUBSTITUTE(AH$7," ","")&amp;";")))),"—",IF(_xlfn.MAXIFS(Acuses!$C$5:$C$3004,Acuses!$A$5:$A$3004,$A37,Acuses!$B$5:$B$3004,AH$4)&lt;AH$5,"Pendiente",IF(AH$8=0,"OK",IF(EDATE(_xlfn.MAXIFS(Acuses!$D$5:$D$3004,Acuses!$A$5:$A$3004,$A37,Acuses!$B$5:$B$3004,AH$4,Acuses!$C$5:$C$3004,AH$5),AH$8)&lt;Resumen!$C$4,"Caducado",IF(EDATE(_xlfn.MAXIFS(Acuses!$D$5:$D$3004,Acuses!$A$5:$A$3004,$A37,Acuses!$B$5:$B$3004,AH$4,Acuses!$C$5:$C$3004,AH$5),AH$8)&lt;Resumen!$C$4+30,"Caduca pronto","OK"))))))</f>
        <v/>
      </c>
      <c r="AI37" s="26" t="str">
        <f aca="false">IF(OR($A37="",AI$4=""),"",IF(NOT(OR(AI$6="Toda la plantilla",ISNUMBER(SEARCH(";"&amp;SUBSTITUTE($C37," ","")&amp;";",";"&amp;SUBSTITUTE(AI$7," ","")&amp;";")))),"—",IF(_xlfn.MAXIFS(Acuses!$C$5:$C$3004,Acuses!$A$5:$A$3004,$A37,Acuses!$B$5:$B$3004,AI$4)&lt;AI$5,"Pendiente",IF(AI$8=0,"OK",IF(EDATE(_xlfn.MAXIFS(Acuses!$D$5:$D$3004,Acuses!$A$5:$A$3004,$A37,Acuses!$B$5:$B$3004,AI$4,Acuses!$C$5:$C$3004,AI$5),AI$8)&lt;Resumen!$C$4,"Caducado",IF(EDATE(_xlfn.MAXIFS(Acuses!$D$5:$D$3004,Acuses!$A$5:$A$3004,$A37,Acuses!$B$5:$B$3004,AI$4,Acuses!$C$5:$C$3004,AI$5),AI$8)&lt;Resumen!$C$4+30,"Caduca pronto","OK"))))))</f>
        <v/>
      </c>
      <c r="AJ37" s="26" t="str">
        <f aca="false">IF(OR($A37="",AJ$4=""),"",IF(NOT(OR(AJ$6="Toda la plantilla",ISNUMBER(SEARCH(";"&amp;SUBSTITUTE($C37," ","")&amp;";",";"&amp;SUBSTITUTE(AJ$7," ","")&amp;";")))),"—",IF(_xlfn.MAXIFS(Acuses!$C$5:$C$3004,Acuses!$A$5:$A$3004,$A37,Acuses!$B$5:$B$3004,AJ$4)&lt;AJ$5,"Pendiente",IF(AJ$8=0,"OK",IF(EDATE(_xlfn.MAXIFS(Acuses!$D$5:$D$3004,Acuses!$A$5:$A$3004,$A37,Acuses!$B$5:$B$3004,AJ$4,Acuses!$C$5:$C$3004,AJ$5),AJ$8)&lt;Resumen!$C$4,"Caducado",IF(EDATE(_xlfn.MAXIFS(Acuses!$D$5:$D$3004,Acuses!$A$5:$A$3004,$A37,Acuses!$B$5:$B$3004,AJ$4,Acuses!$C$5:$C$3004,AJ$5),AJ$8)&lt;Resumen!$C$4+30,"Caduca pronto","OK"))))))</f>
        <v/>
      </c>
      <c r="AK37" s="26" t="str">
        <f aca="false">IF(OR($A37="",AK$4=""),"",IF(NOT(OR(AK$6="Toda la plantilla",ISNUMBER(SEARCH(";"&amp;SUBSTITUTE($C37," ","")&amp;";",";"&amp;SUBSTITUTE(AK$7," ","")&amp;";")))),"—",IF(_xlfn.MAXIFS(Acuses!$C$5:$C$3004,Acuses!$A$5:$A$3004,$A37,Acuses!$B$5:$B$3004,AK$4)&lt;AK$5,"Pendiente",IF(AK$8=0,"OK",IF(EDATE(_xlfn.MAXIFS(Acuses!$D$5:$D$3004,Acuses!$A$5:$A$3004,$A37,Acuses!$B$5:$B$3004,AK$4,Acuses!$C$5:$C$3004,AK$5),AK$8)&lt;Resumen!$C$4,"Caducado",IF(EDATE(_xlfn.MAXIFS(Acuses!$D$5:$D$3004,Acuses!$A$5:$A$3004,$A37,Acuses!$B$5:$B$3004,AK$4,Acuses!$C$5:$C$3004,AK$5),AK$8)&lt;Resumen!$C$4+30,"Caduca pronto","OK"))))))</f>
        <v/>
      </c>
      <c r="AL37" s="26" t="str">
        <f aca="false">IF(OR($A37="",AL$4=""),"",IF(NOT(OR(AL$6="Toda la plantilla",ISNUMBER(SEARCH(";"&amp;SUBSTITUTE($C37," ","")&amp;";",";"&amp;SUBSTITUTE(AL$7," ","")&amp;";")))),"—",IF(_xlfn.MAXIFS(Acuses!$C$5:$C$3004,Acuses!$A$5:$A$3004,$A37,Acuses!$B$5:$B$3004,AL$4)&lt;AL$5,"Pendiente",IF(AL$8=0,"OK",IF(EDATE(_xlfn.MAXIFS(Acuses!$D$5:$D$3004,Acuses!$A$5:$A$3004,$A37,Acuses!$B$5:$B$3004,AL$4,Acuses!$C$5:$C$3004,AL$5),AL$8)&lt;Resumen!$C$4,"Caducado",IF(EDATE(_xlfn.MAXIFS(Acuses!$D$5:$D$3004,Acuses!$A$5:$A$3004,$A37,Acuses!$B$5:$B$3004,AL$4,Acuses!$C$5:$C$3004,AL$5),AL$8)&lt;Resumen!$C$4+30,"Caduca pronto","OK"))))))</f>
        <v/>
      </c>
      <c r="AM37" s="26" t="str">
        <f aca="false">IF(OR($A37="",AM$4=""),"",IF(NOT(OR(AM$6="Toda la plantilla",ISNUMBER(SEARCH(";"&amp;SUBSTITUTE($C37," ","")&amp;";",";"&amp;SUBSTITUTE(AM$7," ","")&amp;";")))),"—",IF(_xlfn.MAXIFS(Acuses!$C$5:$C$3004,Acuses!$A$5:$A$3004,$A37,Acuses!$B$5:$B$3004,AM$4)&lt;AM$5,"Pendiente",IF(AM$8=0,"OK",IF(EDATE(_xlfn.MAXIFS(Acuses!$D$5:$D$3004,Acuses!$A$5:$A$3004,$A37,Acuses!$B$5:$B$3004,AM$4,Acuses!$C$5:$C$3004,AM$5),AM$8)&lt;Resumen!$C$4,"Caducado",IF(EDATE(_xlfn.MAXIFS(Acuses!$D$5:$D$3004,Acuses!$A$5:$A$3004,$A37,Acuses!$B$5:$B$3004,AM$4,Acuses!$C$5:$C$3004,AM$5),AM$8)&lt;Resumen!$C$4+30,"Caduca pronto","OK"))))))</f>
        <v/>
      </c>
      <c r="AN37" s="26" t="str">
        <f aca="false">IF(OR($A37="",AN$4=""),"",IF(NOT(OR(AN$6="Toda la plantilla",ISNUMBER(SEARCH(";"&amp;SUBSTITUTE($C37," ","")&amp;";",";"&amp;SUBSTITUTE(AN$7," ","")&amp;";")))),"—",IF(_xlfn.MAXIFS(Acuses!$C$5:$C$3004,Acuses!$A$5:$A$3004,$A37,Acuses!$B$5:$B$3004,AN$4)&lt;AN$5,"Pendiente",IF(AN$8=0,"OK",IF(EDATE(_xlfn.MAXIFS(Acuses!$D$5:$D$3004,Acuses!$A$5:$A$3004,$A37,Acuses!$B$5:$B$3004,AN$4,Acuses!$C$5:$C$3004,AN$5),AN$8)&lt;Resumen!$C$4,"Caducado",IF(EDATE(_xlfn.MAXIFS(Acuses!$D$5:$D$3004,Acuses!$A$5:$A$3004,$A37,Acuses!$B$5:$B$3004,AN$4,Acuses!$C$5:$C$3004,AN$5),AN$8)&lt;Resumen!$C$4+30,"Caduca pronto","OK"))))))</f>
        <v/>
      </c>
      <c r="AO37" s="26" t="str">
        <f aca="false">IF(OR($A37="",AO$4=""),"",IF(NOT(OR(AO$6="Toda la plantilla",ISNUMBER(SEARCH(";"&amp;SUBSTITUTE($C37," ","")&amp;";",";"&amp;SUBSTITUTE(AO$7," ","")&amp;";")))),"—",IF(_xlfn.MAXIFS(Acuses!$C$5:$C$3004,Acuses!$A$5:$A$3004,$A37,Acuses!$B$5:$B$3004,AO$4)&lt;AO$5,"Pendiente",IF(AO$8=0,"OK",IF(EDATE(_xlfn.MAXIFS(Acuses!$D$5:$D$3004,Acuses!$A$5:$A$3004,$A37,Acuses!$B$5:$B$3004,AO$4,Acuses!$C$5:$C$3004,AO$5),AO$8)&lt;Resumen!$C$4,"Caducado",IF(EDATE(_xlfn.MAXIFS(Acuses!$D$5:$D$3004,Acuses!$A$5:$A$3004,$A37,Acuses!$B$5:$B$3004,AO$4,Acuses!$C$5:$C$3004,AO$5),AO$8)&lt;Resumen!$C$4+30,"Caduca pronto","OK"))))))</f>
        <v/>
      </c>
      <c r="AP37" s="26" t="str">
        <f aca="false">IF(OR($A37="",AP$4=""),"",IF(NOT(OR(AP$6="Toda la plantilla",ISNUMBER(SEARCH(";"&amp;SUBSTITUTE($C37," ","")&amp;";",";"&amp;SUBSTITUTE(AP$7," ","")&amp;";")))),"—",IF(_xlfn.MAXIFS(Acuses!$C$5:$C$3004,Acuses!$A$5:$A$3004,$A37,Acuses!$B$5:$B$3004,AP$4)&lt;AP$5,"Pendiente",IF(AP$8=0,"OK",IF(EDATE(_xlfn.MAXIFS(Acuses!$D$5:$D$3004,Acuses!$A$5:$A$3004,$A37,Acuses!$B$5:$B$3004,AP$4,Acuses!$C$5:$C$3004,AP$5),AP$8)&lt;Resumen!$C$4,"Caducado",IF(EDATE(_xlfn.MAXIFS(Acuses!$D$5:$D$3004,Acuses!$A$5:$A$3004,$A37,Acuses!$B$5:$B$3004,AP$4,Acuses!$C$5:$C$3004,AP$5),AP$8)&lt;Resumen!$C$4+30,"Caduca pronto","OK"))))))</f>
        <v/>
      </c>
      <c r="AQ37" s="26" t="str">
        <f aca="false">IF(OR($A37="",AQ$4=""),"",IF(NOT(OR(AQ$6="Toda la plantilla",ISNUMBER(SEARCH(";"&amp;SUBSTITUTE($C37," ","")&amp;";",";"&amp;SUBSTITUTE(AQ$7," ","")&amp;";")))),"—",IF(_xlfn.MAXIFS(Acuses!$C$5:$C$3004,Acuses!$A$5:$A$3004,$A37,Acuses!$B$5:$B$3004,AQ$4)&lt;AQ$5,"Pendiente",IF(AQ$8=0,"OK",IF(EDATE(_xlfn.MAXIFS(Acuses!$D$5:$D$3004,Acuses!$A$5:$A$3004,$A37,Acuses!$B$5:$B$3004,AQ$4,Acuses!$C$5:$C$3004,AQ$5),AQ$8)&lt;Resumen!$C$4,"Caducado",IF(EDATE(_xlfn.MAXIFS(Acuses!$D$5:$D$3004,Acuses!$A$5:$A$3004,$A37,Acuses!$B$5:$B$3004,AQ$4,Acuses!$C$5:$C$3004,AQ$5),AQ$8)&lt;Resumen!$C$4+30,"Caduca pronto","OK"))))))</f>
        <v/>
      </c>
    </row>
    <row r="38" customFormat="false" ht="15" hidden="false" customHeight="false" outlineLevel="0" collapsed="false">
      <c r="A38" s="25" t="str">
        <f aca="false">IF(AND(Trabajadores!$A$33&lt;&gt;"",Trabajadores!$G$33&lt;&gt;"No"),Trabajadores!$A$33,"")</f>
        <v/>
      </c>
      <c r="B38" s="25" t="str">
        <f aca="false">IF($A38="","",Trabajadores!$B$33)</f>
        <v/>
      </c>
      <c r="C38" s="25" t="str">
        <f aca="false">IF($A38="","",Trabajadores!$C$33)</f>
        <v/>
      </c>
      <c r="D38" s="26" t="str">
        <f aca="false">IF(OR($A38="",D$4=""),"",IF(NOT(OR(D$6="Toda la plantilla",ISNUMBER(SEARCH(";"&amp;SUBSTITUTE($C38," ","")&amp;";",";"&amp;SUBSTITUTE(D$7," ","")&amp;";")))),"—",IF(_xlfn.MAXIFS(Acuses!$C$5:$C$3004,Acuses!$A$5:$A$3004,$A38,Acuses!$B$5:$B$3004,D$4)&lt;D$5,"Pendiente",IF(D$8=0,"OK",IF(EDATE(_xlfn.MAXIFS(Acuses!$D$5:$D$3004,Acuses!$A$5:$A$3004,$A38,Acuses!$B$5:$B$3004,D$4,Acuses!$C$5:$C$3004,D$5),D$8)&lt;Resumen!$C$4,"Caducado",IF(EDATE(_xlfn.MAXIFS(Acuses!$D$5:$D$3004,Acuses!$A$5:$A$3004,$A38,Acuses!$B$5:$B$3004,D$4,Acuses!$C$5:$C$3004,D$5),D$8)&lt;Resumen!$C$4+30,"Caduca pronto","OK"))))))</f>
        <v/>
      </c>
      <c r="E38" s="26" t="str">
        <f aca="false">IF(OR($A38="",E$4=""),"",IF(NOT(OR(E$6="Toda la plantilla",ISNUMBER(SEARCH(";"&amp;SUBSTITUTE($C38," ","")&amp;";",";"&amp;SUBSTITUTE(E$7," ","")&amp;";")))),"—",IF(_xlfn.MAXIFS(Acuses!$C$5:$C$3004,Acuses!$A$5:$A$3004,$A38,Acuses!$B$5:$B$3004,E$4)&lt;E$5,"Pendiente",IF(E$8=0,"OK",IF(EDATE(_xlfn.MAXIFS(Acuses!$D$5:$D$3004,Acuses!$A$5:$A$3004,$A38,Acuses!$B$5:$B$3004,E$4,Acuses!$C$5:$C$3004,E$5),E$8)&lt;Resumen!$C$4,"Caducado",IF(EDATE(_xlfn.MAXIFS(Acuses!$D$5:$D$3004,Acuses!$A$5:$A$3004,$A38,Acuses!$B$5:$B$3004,E$4,Acuses!$C$5:$C$3004,E$5),E$8)&lt;Resumen!$C$4+30,"Caduca pronto","OK"))))))</f>
        <v/>
      </c>
      <c r="F38" s="26" t="str">
        <f aca="false">IF(OR($A38="",F$4=""),"",IF(NOT(OR(F$6="Toda la plantilla",ISNUMBER(SEARCH(";"&amp;SUBSTITUTE($C38," ","")&amp;";",";"&amp;SUBSTITUTE(F$7," ","")&amp;";")))),"—",IF(_xlfn.MAXIFS(Acuses!$C$5:$C$3004,Acuses!$A$5:$A$3004,$A38,Acuses!$B$5:$B$3004,F$4)&lt;F$5,"Pendiente",IF(F$8=0,"OK",IF(EDATE(_xlfn.MAXIFS(Acuses!$D$5:$D$3004,Acuses!$A$5:$A$3004,$A38,Acuses!$B$5:$B$3004,F$4,Acuses!$C$5:$C$3004,F$5),F$8)&lt;Resumen!$C$4,"Caducado",IF(EDATE(_xlfn.MAXIFS(Acuses!$D$5:$D$3004,Acuses!$A$5:$A$3004,$A38,Acuses!$B$5:$B$3004,F$4,Acuses!$C$5:$C$3004,F$5),F$8)&lt;Resumen!$C$4+30,"Caduca pronto","OK"))))))</f>
        <v/>
      </c>
      <c r="G38" s="26" t="str">
        <f aca="false">IF(OR($A38="",G$4=""),"",IF(NOT(OR(G$6="Toda la plantilla",ISNUMBER(SEARCH(";"&amp;SUBSTITUTE($C38," ","")&amp;";",";"&amp;SUBSTITUTE(G$7," ","")&amp;";")))),"—",IF(_xlfn.MAXIFS(Acuses!$C$5:$C$3004,Acuses!$A$5:$A$3004,$A38,Acuses!$B$5:$B$3004,G$4)&lt;G$5,"Pendiente",IF(G$8=0,"OK",IF(EDATE(_xlfn.MAXIFS(Acuses!$D$5:$D$3004,Acuses!$A$5:$A$3004,$A38,Acuses!$B$5:$B$3004,G$4,Acuses!$C$5:$C$3004,G$5),G$8)&lt;Resumen!$C$4,"Caducado",IF(EDATE(_xlfn.MAXIFS(Acuses!$D$5:$D$3004,Acuses!$A$5:$A$3004,$A38,Acuses!$B$5:$B$3004,G$4,Acuses!$C$5:$C$3004,G$5),G$8)&lt;Resumen!$C$4+30,"Caduca pronto","OK"))))))</f>
        <v/>
      </c>
      <c r="H38" s="26" t="str">
        <f aca="false">IF(OR($A38="",H$4=""),"",IF(NOT(OR(H$6="Toda la plantilla",ISNUMBER(SEARCH(";"&amp;SUBSTITUTE($C38," ","")&amp;";",";"&amp;SUBSTITUTE(H$7," ","")&amp;";")))),"—",IF(_xlfn.MAXIFS(Acuses!$C$5:$C$3004,Acuses!$A$5:$A$3004,$A38,Acuses!$B$5:$B$3004,H$4)&lt;H$5,"Pendiente",IF(H$8=0,"OK",IF(EDATE(_xlfn.MAXIFS(Acuses!$D$5:$D$3004,Acuses!$A$5:$A$3004,$A38,Acuses!$B$5:$B$3004,H$4,Acuses!$C$5:$C$3004,H$5),H$8)&lt;Resumen!$C$4,"Caducado",IF(EDATE(_xlfn.MAXIFS(Acuses!$D$5:$D$3004,Acuses!$A$5:$A$3004,$A38,Acuses!$B$5:$B$3004,H$4,Acuses!$C$5:$C$3004,H$5),H$8)&lt;Resumen!$C$4+30,"Caduca pronto","OK"))))))</f>
        <v/>
      </c>
      <c r="I38" s="26" t="str">
        <f aca="false">IF(OR($A38="",I$4=""),"",IF(NOT(OR(I$6="Toda la plantilla",ISNUMBER(SEARCH(";"&amp;SUBSTITUTE($C38," ","")&amp;";",";"&amp;SUBSTITUTE(I$7," ","")&amp;";")))),"—",IF(_xlfn.MAXIFS(Acuses!$C$5:$C$3004,Acuses!$A$5:$A$3004,$A38,Acuses!$B$5:$B$3004,I$4)&lt;I$5,"Pendiente",IF(I$8=0,"OK",IF(EDATE(_xlfn.MAXIFS(Acuses!$D$5:$D$3004,Acuses!$A$5:$A$3004,$A38,Acuses!$B$5:$B$3004,I$4,Acuses!$C$5:$C$3004,I$5),I$8)&lt;Resumen!$C$4,"Caducado",IF(EDATE(_xlfn.MAXIFS(Acuses!$D$5:$D$3004,Acuses!$A$5:$A$3004,$A38,Acuses!$B$5:$B$3004,I$4,Acuses!$C$5:$C$3004,I$5),I$8)&lt;Resumen!$C$4+30,"Caduca pronto","OK"))))))</f>
        <v/>
      </c>
      <c r="J38" s="26" t="str">
        <f aca="false">IF(OR($A38="",J$4=""),"",IF(NOT(OR(J$6="Toda la plantilla",ISNUMBER(SEARCH(";"&amp;SUBSTITUTE($C38," ","")&amp;";",";"&amp;SUBSTITUTE(J$7," ","")&amp;";")))),"—",IF(_xlfn.MAXIFS(Acuses!$C$5:$C$3004,Acuses!$A$5:$A$3004,$A38,Acuses!$B$5:$B$3004,J$4)&lt;J$5,"Pendiente",IF(J$8=0,"OK",IF(EDATE(_xlfn.MAXIFS(Acuses!$D$5:$D$3004,Acuses!$A$5:$A$3004,$A38,Acuses!$B$5:$B$3004,J$4,Acuses!$C$5:$C$3004,J$5),J$8)&lt;Resumen!$C$4,"Caducado",IF(EDATE(_xlfn.MAXIFS(Acuses!$D$5:$D$3004,Acuses!$A$5:$A$3004,$A38,Acuses!$B$5:$B$3004,J$4,Acuses!$C$5:$C$3004,J$5),J$8)&lt;Resumen!$C$4+30,"Caduca pronto","OK"))))))</f>
        <v/>
      </c>
      <c r="K38" s="26" t="str">
        <f aca="false">IF(OR($A38="",K$4=""),"",IF(NOT(OR(K$6="Toda la plantilla",ISNUMBER(SEARCH(";"&amp;SUBSTITUTE($C38," ","")&amp;";",";"&amp;SUBSTITUTE(K$7," ","")&amp;";")))),"—",IF(_xlfn.MAXIFS(Acuses!$C$5:$C$3004,Acuses!$A$5:$A$3004,$A38,Acuses!$B$5:$B$3004,K$4)&lt;K$5,"Pendiente",IF(K$8=0,"OK",IF(EDATE(_xlfn.MAXIFS(Acuses!$D$5:$D$3004,Acuses!$A$5:$A$3004,$A38,Acuses!$B$5:$B$3004,K$4,Acuses!$C$5:$C$3004,K$5),K$8)&lt;Resumen!$C$4,"Caducado",IF(EDATE(_xlfn.MAXIFS(Acuses!$D$5:$D$3004,Acuses!$A$5:$A$3004,$A38,Acuses!$B$5:$B$3004,K$4,Acuses!$C$5:$C$3004,K$5),K$8)&lt;Resumen!$C$4+30,"Caduca pronto","OK"))))))</f>
        <v/>
      </c>
      <c r="L38" s="26" t="str">
        <f aca="false">IF(OR($A38="",L$4=""),"",IF(NOT(OR(L$6="Toda la plantilla",ISNUMBER(SEARCH(";"&amp;SUBSTITUTE($C38," ","")&amp;";",";"&amp;SUBSTITUTE(L$7," ","")&amp;";")))),"—",IF(_xlfn.MAXIFS(Acuses!$C$5:$C$3004,Acuses!$A$5:$A$3004,$A38,Acuses!$B$5:$B$3004,L$4)&lt;L$5,"Pendiente",IF(L$8=0,"OK",IF(EDATE(_xlfn.MAXIFS(Acuses!$D$5:$D$3004,Acuses!$A$5:$A$3004,$A38,Acuses!$B$5:$B$3004,L$4,Acuses!$C$5:$C$3004,L$5),L$8)&lt;Resumen!$C$4,"Caducado",IF(EDATE(_xlfn.MAXIFS(Acuses!$D$5:$D$3004,Acuses!$A$5:$A$3004,$A38,Acuses!$B$5:$B$3004,L$4,Acuses!$C$5:$C$3004,L$5),L$8)&lt;Resumen!$C$4+30,"Caduca pronto","OK"))))))</f>
        <v/>
      </c>
      <c r="M38" s="26" t="str">
        <f aca="false">IF(OR($A38="",M$4=""),"",IF(NOT(OR(M$6="Toda la plantilla",ISNUMBER(SEARCH(";"&amp;SUBSTITUTE($C38," ","")&amp;";",";"&amp;SUBSTITUTE(M$7," ","")&amp;";")))),"—",IF(_xlfn.MAXIFS(Acuses!$C$5:$C$3004,Acuses!$A$5:$A$3004,$A38,Acuses!$B$5:$B$3004,M$4)&lt;M$5,"Pendiente",IF(M$8=0,"OK",IF(EDATE(_xlfn.MAXIFS(Acuses!$D$5:$D$3004,Acuses!$A$5:$A$3004,$A38,Acuses!$B$5:$B$3004,M$4,Acuses!$C$5:$C$3004,M$5),M$8)&lt;Resumen!$C$4,"Caducado",IF(EDATE(_xlfn.MAXIFS(Acuses!$D$5:$D$3004,Acuses!$A$5:$A$3004,$A38,Acuses!$B$5:$B$3004,M$4,Acuses!$C$5:$C$3004,M$5),M$8)&lt;Resumen!$C$4+30,"Caduca pronto","OK"))))))</f>
        <v/>
      </c>
      <c r="N38" s="26" t="str">
        <f aca="false">IF(OR($A38="",N$4=""),"",IF(NOT(OR(N$6="Toda la plantilla",ISNUMBER(SEARCH(";"&amp;SUBSTITUTE($C38," ","")&amp;";",";"&amp;SUBSTITUTE(N$7," ","")&amp;";")))),"—",IF(_xlfn.MAXIFS(Acuses!$C$5:$C$3004,Acuses!$A$5:$A$3004,$A38,Acuses!$B$5:$B$3004,N$4)&lt;N$5,"Pendiente",IF(N$8=0,"OK",IF(EDATE(_xlfn.MAXIFS(Acuses!$D$5:$D$3004,Acuses!$A$5:$A$3004,$A38,Acuses!$B$5:$B$3004,N$4,Acuses!$C$5:$C$3004,N$5),N$8)&lt;Resumen!$C$4,"Caducado",IF(EDATE(_xlfn.MAXIFS(Acuses!$D$5:$D$3004,Acuses!$A$5:$A$3004,$A38,Acuses!$B$5:$B$3004,N$4,Acuses!$C$5:$C$3004,N$5),N$8)&lt;Resumen!$C$4+30,"Caduca pronto","OK"))))))</f>
        <v/>
      </c>
      <c r="O38" s="26" t="str">
        <f aca="false">IF(OR($A38="",O$4=""),"",IF(NOT(OR(O$6="Toda la plantilla",ISNUMBER(SEARCH(";"&amp;SUBSTITUTE($C38," ","")&amp;";",";"&amp;SUBSTITUTE(O$7," ","")&amp;";")))),"—",IF(_xlfn.MAXIFS(Acuses!$C$5:$C$3004,Acuses!$A$5:$A$3004,$A38,Acuses!$B$5:$B$3004,O$4)&lt;O$5,"Pendiente",IF(O$8=0,"OK",IF(EDATE(_xlfn.MAXIFS(Acuses!$D$5:$D$3004,Acuses!$A$5:$A$3004,$A38,Acuses!$B$5:$B$3004,O$4,Acuses!$C$5:$C$3004,O$5),O$8)&lt;Resumen!$C$4,"Caducado",IF(EDATE(_xlfn.MAXIFS(Acuses!$D$5:$D$3004,Acuses!$A$5:$A$3004,$A38,Acuses!$B$5:$B$3004,O$4,Acuses!$C$5:$C$3004,O$5),O$8)&lt;Resumen!$C$4+30,"Caduca pronto","OK"))))))</f>
        <v/>
      </c>
      <c r="P38" s="26" t="str">
        <f aca="false">IF(OR($A38="",P$4=""),"",IF(NOT(OR(P$6="Toda la plantilla",ISNUMBER(SEARCH(";"&amp;SUBSTITUTE($C38," ","")&amp;";",";"&amp;SUBSTITUTE(P$7," ","")&amp;";")))),"—",IF(_xlfn.MAXIFS(Acuses!$C$5:$C$3004,Acuses!$A$5:$A$3004,$A38,Acuses!$B$5:$B$3004,P$4)&lt;P$5,"Pendiente",IF(P$8=0,"OK",IF(EDATE(_xlfn.MAXIFS(Acuses!$D$5:$D$3004,Acuses!$A$5:$A$3004,$A38,Acuses!$B$5:$B$3004,P$4,Acuses!$C$5:$C$3004,P$5),P$8)&lt;Resumen!$C$4,"Caducado",IF(EDATE(_xlfn.MAXIFS(Acuses!$D$5:$D$3004,Acuses!$A$5:$A$3004,$A38,Acuses!$B$5:$B$3004,P$4,Acuses!$C$5:$C$3004,P$5),P$8)&lt;Resumen!$C$4+30,"Caduca pronto","OK"))))))</f>
        <v/>
      </c>
      <c r="Q38" s="26" t="str">
        <f aca="false">IF(OR($A38="",Q$4=""),"",IF(NOT(OR(Q$6="Toda la plantilla",ISNUMBER(SEARCH(";"&amp;SUBSTITUTE($C38," ","")&amp;";",";"&amp;SUBSTITUTE(Q$7," ","")&amp;";")))),"—",IF(_xlfn.MAXIFS(Acuses!$C$5:$C$3004,Acuses!$A$5:$A$3004,$A38,Acuses!$B$5:$B$3004,Q$4)&lt;Q$5,"Pendiente",IF(Q$8=0,"OK",IF(EDATE(_xlfn.MAXIFS(Acuses!$D$5:$D$3004,Acuses!$A$5:$A$3004,$A38,Acuses!$B$5:$B$3004,Q$4,Acuses!$C$5:$C$3004,Q$5),Q$8)&lt;Resumen!$C$4,"Caducado",IF(EDATE(_xlfn.MAXIFS(Acuses!$D$5:$D$3004,Acuses!$A$5:$A$3004,$A38,Acuses!$B$5:$B$3004,Q$4,Acuses!$C$5:$C$3004,Q$5),Q$8)&lt;Resumen!$C$4+30,"Caduca pronto","OK"))))))</f>
        <v/>
      </c>
      <c r="R38" s="26" t="str">
        <f aca="false">IF(OR($A38="",R$4=""),"",IF(NOT(OR(R$6="Toda la plantilla",ISNUMBER(SEARCH(";"&amp;SUBSTITUTE($C38," ","")&amp;";",";"&amp;SUBSTITUTE(R$7," ","")&amp;";")))),"—",IF(_xlfn.MAXIFS(Acuses!$C$5:$C$3004,Acuses!$A$5:$A$3004,$A38,Acuses!$B$5:$B$3004,R$4)&lt;R$5,"Pendiente",IF(R$8=0,"OK",IF(EDATE(_xlfn.MAXIFS(Acuses!$D$5:$D$3004,Acuses!$A$5:$A$3004,$A38,Acuses!$B$5:$B$3004,R$4,Acuses!$C$5:$C$3004,R$5),R$8)&lt;Resumen!$C$4,"Caducado",IF(EDATE(_xlfn.MAXIFS(Acuses!$D$5:$D$3004,Acuses!$A$5:$A$3004,$A38,Acuses!$B$5:$B$3004,R$4,Acuses!$C$5:$C$3004,R$5),R$8)&lt;Resumen!$C$4+30,"Caduca pronto","OK"))))))</f>
        <v/>
      </c>
      <c r="S38" s="26" t="str">
        <f aca="false">IF(OR($A38="",S$4=""),"",IF(NOT(OR(S$6="Toda la plantilla",ISNUMBER(SEARCH(";"&amp;SUBSTITUTE($C38," ","")&amp;";",";"&amp;SUBSTITUTE(S$7," ","")&amp;";")))),"—",IF(_xlfn.MAXIFS(Acuses!$C$5:$C$3004,Acuses!$A$5:$A$3004,$A38,Acuses!$B$5:$B$3004,S$4)&lt;S$5,"Pendiente",IF(S$8=0,"OK",IF(EDATE(_xlfn.MAXIFS(Acuses!$D$5:$D$3004,Acuses!$A$5:$A$3004,$A38,Acuses!$B$5:$B$3004,S$4,Acuses!$C$5:$C$3004,S$5),S$8)&lt;Resumen!$C$4,"Caducado",IF(EDATE(_xlfn.MAXIFS(Acuses!$D$5:$D$3004,Acuses!$A$5:$A$3004,$A38,Acuses!$B$5:$B$3004,S$4,Acuses!$C$5:$C$3004,S$5),S$8)&lt;Resumen!$C$4+30,"Caduca pronto","OK"))))))</f>
        <v/>
      </c>
      <c r="T38" s="26" t="str">
        <f aca="false">IF(OR($A38="",T$4=""),"",IF(NOT(OR(T$6="Toda la plantilla",ISNUMBER(SEARCH(";"&amp;SUBSTITUTE($C38," ","")&amp;";",";"&amp;SUBSTITUTE(T$7," ","")&amp;";")))),"—",IF(_xlfn.MAXIFS(Acuses!$C$5:$C$3004,Acuses!$A$5:$A$3004,$A38,Acuses!$B$5:$B$3004,T$4)&lt;T$5,"Pendiente",IF(T$8=0,"OK",IF(EDATE(_xlfn.MAXIFS(Acuses!$D$5:$D$3004,Acuses!$A$5:$A$3004,$A38,Acuses!$B$5:$B$3004,T$4,Acuses!$C$5:$C$3004,T$5),T$8)&lt;Resumen!$C$4,"Caducado",IF(EDATE(_xlfn.MAXIFS(Acuses!$D$5:$D$3004,Acuses!$A$5:$A$3004,$A38,Acuses!$B$5:$B$3004,T$4,Acuses!$C$5:$C$3004,T$5),T$8)&lt;Resumen!$C$4+30,"Caduca pronto","OK"))))))</f>
        <v/>
      </c>
      <c r="U38" s="26" t="str">
        <f aca="false">IF(OR($A38="",U$4=""),"",IF(NOT(OR(U$6="Toda la plantilla",ISNUMBER(SEARCH(";"&amp;SUBSTITUTE($C38," ","")&amp;";",";"&amp;SUBSTITUTE(U$7," ","")&amp;";")))),"—",IF(_xlfn.MAXIFS(Acuses!$C$5:$C$3004,Acuses!$A$5:$A$3004,$A38,Acuses!$B$5:$B$3004,U$4)&lt;U$5,"Pendiente",IF(U$8=0,"OK",IF(EDATE(_xlfn.MAXIFS(Acuses!$D$5:$D$3004,Acuses!$A$5:$A$3004,$A38,Acuses!$B$5:$B$3004,U$4,Acuses!$C$5:$C$3004,U$5),U$8)&lt;Resumen!$C$4,"Caducado",IF(EDATE(_xlfn.MAXIFS(Acuses!$D$5:$D$3004,Acuses!$A$5:$A$3004,$A38,Acuses!$B$5:$B$3004,U$4,Acuses!$C$5:$C$3004,U$5),U$8)&lt;Resumen!$C$4+30,"Caduca pronto","OK"))))))</f>
        <v/>
      </c>
      <c r="V38" s="26" t="str">
        <f aca="false">IF(OR($A38="",V$4=""),"",IF(NOT(OR(V$6="Toda la plantilla",ISNUMBER(SEARCH(";"&amp;SUBSTITUTE($C38," ","")&amp;";",";"&amp;SUBSTITUTE(V$7," ","")&amp;";")))),"—",IF(_xlfn.MAXIFS(Acuses!$C$5:$C$3004,Acuses!$A$5:$A$3004,$A38,Acuses!$B$5:$B$3004,V$4)&lt;V$5,"Pendiente",IF(V$8=0,"OK",IF(EDATE(_xlfn.MAXIFS(Acuses!$D$5:$D$3004,Acuses!$A$5:$A$3004,$A38,Acuses!$B$5:$B$3004,V$4,Acuses!$C$5:$C$3004,V$5),V$8)&lt;Resumen!$C$4,"Caducado",IF(EDATE(_xlfn.MAXIFS(Acuses!$D$5:$D$3004,Acuses!$A$5:$A$3004,$A38,Acuses!$B$5:$B$3004,V$4,Acuses!$C$5:$C$3004,V$5),V$8)&lt;Resumen!$C$4+30,"Caduca pronto","OK"))))))</f>
        <v/>
      </c>
      <c r="W38" s="26" t="str">
        <f aca="false">IF(OR($A38="",W$4=""),"",IF(NOT(OR(W$6="Toda la plantilla",ISNUMBER(SEARCH(";"&amp;SUBSTITUTE($C38," ","")&amp;";",";"&amp;SUBSTITUTE(W$7," ","")&amp;";")))),"—",IF(_xlfn.MAXIFS(Acuses!$C$5:$C$3004,Acuses!$A$5:$A$3004,$A38,Acuses!$B$5:$B$3004,W$4)&lt;W$5,"Pendiente",IF(W$8=0,"OK",IF(EDATE(_xlfn.MAXIFS(Acuses!$D$5:$D$3004,Acuses!$A$5:$A$3004,$A38,Acuses!$B$5:$B$3004,W$4,Acuses!$C$5:$C$3004,W$5),W$8)&lt;Resumen!$C$4,"Caducado",IF(EDATE(_xlfn.MAXIFS(Acuses!$D$5:$D$3004,Acuses!$A$5:$A$3004,$A38,Acuses!$B$5:$B$3004,W$4,Acuses!$C$5:$C$3004,W$5),W$8)&lt;Resumen!$C$4+30,"Caduca pronto","OK"))))))</f>
        <v/>
      </c>
      <c r="X38" s="26" t="str">
        <f aca="false">IF(OR($A38="",X$4=""),"",IF(NOT(OR(X$6="Toda la plantilla",ISNUMBER(SEARCH(";"&amp;SUBSTITUTE($C38," ","")&amp;";",";"&amp;SUBSTITUTE(X$7," ","")&amp;";")))),"—",IF(_xlfn.MAXIFS(Acuses!$C$5:$C$3004,Acuses!$A$5:$A$3004,$A38,Acuses!$B$5:$B$3004,X$4)&lt;X$5,"Pendiente",IF(X$8=0,"OK",IF(EDATE(_xlfn.MAXIFS(Acuses!$D$5:$D$3004,Acuses!$A$5:$A$3004,$A38,Acuses!$B$5:$B$3004,X$4,Acuses!$C$5:$C$3004,X$5),X$8)&lt;Resumen!$C$4,"Caducado",IF(EDATE(_xlfn.MAXIFS(Acuses!$D$5:$D$3004,Acuses!$A$5:$A$3004,$A38,Acuses!$B$5:$B$3004,X$4,Acuses!$C$5:$C$3004,X$5),X$8)&lt;Resumen!$C$4+30,"Caduca pronto","OK"))))))</f>
        <v/>
      </c>
      <c r="Y38" s="26" t="str">
        <f aca="false">IF(OR($A38="",Y$4=""),"",IF(NOT(OR(Y$6="Toda la plantilla",ISNUMBER(SEARCH(";"&amp;SUBSTITUTE($C38," ","")&amp;";",";"&amp;SUBSTITUTE(Y$7," ","")&amp;";")))),"—",IF(_xlfn.MAXIFS(Acuses!$C$5:$C$3004,Acuses!$A$5:$A$3004,$A38,Acuses!$B$5:$B$3004,Y$4)&lt;Y$5,"Pendiente",IF(Y$8=0,"OK",IF(EDATE(_xlfn.MAXIFS(Acuses!$D$5:$D$3004,Acuses!$A$5:$A$3004,$A38,Acuses!$B$5:$B$3004,Y$4,Acuses!$C$5:$C$3004,Y$5),Y$8)&lt;Resumen!$C$4,"Caducado",IF(EDATE(_xlfn.MAXIFS(Acuses!$D$5:$D$3004,Acuses!$A$5:$A$3004,$A38,Acuses!$B$5:$B$3004,Y$4,Acuses!$C$5:$C$3004,Y$5),Y$8)&lt;Resumen!$C$4+30,"Caduca pronto","OK"))))))</f>
        <v/>
      </c>
      <c r="Z38" s="26" t="str">
        <f aca="false">IF(OR($A38="",Z$4=""),"",IF(NOT(OR(Z$6="Toda la plantilla",ISNUMBER(SEARCH(";"&amp;SUBSTITUTE($C38," ","")&amp;";",";"&amp;SUBSTITUTE(Z$7," ","")&amp;";")))),"—",IF(_xlfn.MAXIFS(Acuses!$C$5:$C$3004,Acuses!$A$5:$A$3004,$A38,Acuses!$B$5:$B$3004,Z$4)&lt;Z$5,"Pendiente",IF(Z$8=0,"OK",IF(EDATE(_xlfn.MAXIFS(Acuses!$D$5:$D$3004,Acuses!$A$5:$A$3004,$A38,Acuses!$B$5:$B$3004,Z$4,Acuses!$C$5:$C$3004,Z$5),Z$8)&lt;Resumen!$C$4,"Caducado",IF(EDATE(_xlfn.MAXIFS(Acuses!$D$5:$D$3004,Acuses!$A$5:$A$3004,$A38,Acuses!$B$5:$B$3004,Z$4,Acuses!$C$5:$C$3004,Z$5),Z$8)&lt;Resumen!$C$4+30,"Caduca pronto","OK"))))))</f>
        <v/>
      </c>
      <c r="AA38" s="26" t="str">
        <f aca="false">IF(OR($A38="",AA$4=""),"",IF(NOT(OR(AA$6="Toda la plantilla",ISNUMBER(SEARCH(";"&amp;SUBSTITUTE($C38," ","")&amp;";",";"&amp;SUBSTITUTE(AA$7," ","")&amp;";")))),"—",IF(_xlfn.MAXIFS(Acuses!$C$5:$C$3004,Acuses!$A$5:$A$3004,$A38,Acuses!$B$5:$B$3004,AA$4)&lt;AA$5,"Pendiente",IF(AA$8=0,"OK",IF(EDATE(_xlfn.MAXIFS(Acuses!$D$5:$D$3004,Acuses!$A$5:$A$3004,$A38,Acuses!$B$5:$B$3004,AA$4,Acuses!$C$5:$C$3004,AA$5),AA$8)&lt;Resumen!$C$4,"Caducado",IF(EDATE(_xlfn.MAXIFS(Acuses!$D$5:$D$3004,Acuses!$A$5:$A$3004,$A38,Acuses!$B$5:$B$3004,AA$4,Acuses!$C$5:$C$3004,AA$5),AA$8)&lt;Resumen!$C$4+30,"Caduca pronto","OK"))))))</f>
        <v/>
      </c>
      <c r="AB38" s="26" t="str">
        <f aca="false">IF(OR($A38="",AB$4=""),"",IF(NOT(OR(AB$6="Toda la plantilla",ISNUMBER(SEARCH(";"&amp;SUBSTITUTE($C38," ","")&amp;";",";"&amp;SUBSTITUTE(AB$7," ","")&amp;";")))),"—",IF(_xlfn.MAXIFS(Acuses!$C$5:$C$3004,Acuses!$A$5:$A$3004,$A38,Acuses!$B$5:$B$3004,AB$4)&lt;AB$5,"Pendiente",IF(AB$8=0,"OK",IF(EDATE(_xlfn.MAXIFS(Acuses!$D$5:$D$3004,Acuses!$A$5:$A$3004,$A38,Acuses!$B$5:$B$3004,AB$4,Acuses!$C$5:$C$3004,AB$5),AB$8)&lt;Resumen!$C$4,"Caducado",IF(EDATE(_xlfn.MAXIFS(Acuses!$D$5:$D$3004,Acuses!$A$5:$A$3004,$A38,Acuses!$B$5:$B$3004,AB$4,Acuses!$C$5:$C$3004,AB$5),AB$8)&lt;Resumen!$C$4+30,"Caduca pronto","OK"))))))</f>
        <v/>
      </c>
      <c r="AC38" s="26" t="str">
        <f aca="false">IF(OR($A38="",AC$4=""),"",IF(NOT(OR(AC$6="Toda la plantilla",ISNUMBER(SEARCH(";"&amp;SUBSTITUTE($C38," ","")&amp;";",";"&amp;SUBSTITUTE(AC$7," ","")&amp;";")))),"—",IF(_xlfn.MAXIFS(Acuses!$C$5:$C$3004,Acuses!$A$5:$A$3004,$A38,Acuses!$B$5:$B$3004,AC$4)&lt;AC$5,"Pendiente",IF(AC$8=0,"OK",IF(EDATE(_xlfn.MAXIFS(Acuses!$D$5:$D$3004,Acuses!$A$5:$A$3004,$A38,Acuses!$B$5:$B$3004,AC$4,Acuses!$C$5:$C$3004,AC$5),AC$8)&lt;Resumen!$C$4,"Caducado",IF(EDATE(_xlfn.MAXIFS(Acuses!$D$5:$D$3004,Acuses!$A$5:$A$3004,$A38,Acuses!$B$5:$B$3004,AC$4,Acuses!$C$5:$C$3004,AC$5),AC$8)&lt;Resumen!$C$4+30,"Caduca pronto","OK"))))))</f>
        <v/>
      </c>
      <c r="AD38" s="26" t="str">
        <f aca="false">IF(OR($A38="",AD$4=""),"",IF(NOT(OR(AD$6="Toda la plantilla",ISNUMBER(SEARCH(";"&amp;SUBSTITUTE($C38," ","")&amp;";",";"&amp;SUBSTITUTE(AD$7," ","")&amp;";")))),"—",IF(_xlfn.MAXIFS(Acuses!$C$5:$C$3004,Acuses!$A$5:$A$3004,$A38,Acuses!$B$5:$B$3004,AD$4)&lt;AD$5,"Pendiente",IF(AD$8=0,"OK",IF(EDATE(_xlfn.MAXIFS(Acuses!$D$5:$D$3004,Acuses!$A$5:$A$3004,$A38,Acuses!$B$5:$B$3004,AD$4,Acuses!$C$5:$C$3004,AD$5),AD$8)&lt;Resumen!$C$4,"Caducado",IF(EDATE(_xlfn.MAXIFS(Acuses!$D$5:$D$3004,Acuses!$A$5:$A$3004,$A38,Acuses!$B$5:$B$3004,AD$4,Acuses!$C$5:$C$3004,AD$5),AD$8)&lt;Resumen!$C$4+30,"Caduca pronto","OK"))))))</f>
        <v/>
      </c>
      <c r="AE38" s="26" t="str">
        <f aca="false">IF(OR($A38="",AE$4=""),"",IF(NOT(OR(AE$6="Toda la plantilla",ISNUMBER(SEARCH(";"&amp;SUBSTITUTE($C38," ","")&amp;";",";"&amp;SUBSTITUTE(AE$7," ","")&amp;";")))),"—",IF(_xlfn.MAXIFS(Acuses!$C$5:$C$3004,Acuses!$A$5:$A$3004,$A38,Acuses!$B$5:$B$3004,AE$4)&lt;AE$5,"Pendiente",IF(AE$8=0,"OK",IF(EDATE(_xlfn.MAXIFS(Acuses!$D$5:$D$3004,Acuses!$A$5:$A$3004,$A38,Acuses!$B$5:$B$3004,AE$4,Acuses!$C$5:$C$3004,AE$5),AE$8)&lt;Resumen!$C$4,"Caducado",IF(EDATE(_xlfn.MAXIFS(Acuses!$D$5:$D$3004,Acuses!$A$5:$A$3004,$A38,Acuses!$B$5:$B$3004,AE$4,Acuses!$C$5:$C$3004,AE$5),AE$8)&lt;Resumen!$C$4+30,"Caduca pronto","OK"))))))</f>
        <v/>
      </c>
      <c r="AF38" s="26" t="str">
        <f aca="false">IF(OR($A38="",AF$4=""),"",IF(NOT(OR(AF$6="Toda la plantilla",ISNUMBER(SEARCH(";"&amp;SUBSTITUTE($C38," ","")&amp;";",";"&amp;SUBSTITUTE(AF$7," ","")&amp;";")))),"—",IF(_xlfn.MAXIFS(Acuses!$C$5:$C$3004,Acuses!$A$5:$A$3004,$A38,Acuses!$B$5:$B$3004,AF$4)&lt;AF$5,"Pendiente",IF(AF$8=0,"OK",IF(EDATE(_xlfn.MAXIFS(Acuses!$D$5:$D$3004,Acuses!$A$5:$A$3004,$A38,Acuses!$B$5:$B$3004,AF$4,Acuses!$C$5:$C$3004,AF$5),AF$8)&lt;Resumen!$C$4,"Caducado",IF(EDATE(_xlfn.MAXIFS(Acuses!$D$5:$D$3004,Acuses!$A$5:$A$3004,$A38,Acuses!$B$5:$B$3004,AF$4,Acuses!$C$5:$C$3004,AF$5),AF$8)&lt;Resumen!$C$4+30,"Caduca pronto","OK"))))))</f>
        <v/>
      </c>
      <c r="AG38" s="26" t="str">
        <f aca="false">IF(OR($A38="",AG$4=""),"",IF(NOT(OR(AG$6="Toda la plantilla",ISNUMBER(SEARCH(";"&amp;SUBSTITUTE($C38," ","")&amp;";",";"&amp;SUBSTITUTE(AG$7," ","")&amp;";")))),"—",IF(_xlfn.MAXIFS(Acuses!$C$5:$C$3004,Acuses!$A$5:$A$3004,$A38,Acuses!$B$5:$B$3004,AG$4)&lt;AG$5,"Pendiente",IF(AG$8=0,"OK",IF(EDATE(_xlfn.MAXIFS(Acuses!$D$5:$D$3004,Acuses!$A$5:$A$3004,$A38,Acuses!$B$5:$B$3004,AG$4,Acuses!$C$5:$C$3004,AG$5),AG$8)&lt;Resumen!$C$4,"Caducado",IF(EDATE(_xlfn.MAXIFS(Acuses!$D$5:$D$3004,Acuses!$A$5:$A$3004,$A38,Acuses!$B$5:$B$3004,AG$4,Acuses!$C$5:$C$3004,AG$5),AG$8)&lt;Resumen!$C$4+30,"Caduca pronto","OK"))))))</f>
        <v/>
      </c>
      <c r="AH38" s="26" t="str">
        <f aca="false">IF(OR($A38="",AH$4=""),"",IF(NOT(OR(AH$6="Toda la plantilla",ISNUMBER(SEARCH(";"&amp;SUBSTITUTE($C38," ","")&amp;";",";"&amp;SUBSTITUTE(AH$7," ","")&amp;";")))),"—",IF(_xlfn.MAXIFS(Acuses!$C$5:$C$3004,Acuses!$A$5:$A$3004,$A38,Acuses!$B$5:$B$3004,AH$4)&lt;AH$5,"Pendiente",IF(AH$8=0,"OK",IF(EDATE(_xlfn.MAXIFS(Acuses!$D$5:$D$3004,Acuses!$A$5:$A$3004,$A38,Acuses!$B$5:$B$3004,AH$4,Acuses!$C$5:$C$3004,AH$5),AH$8)&lt;Resumen!$C$4,"Caducado",IF(EDATE(_xlfn.MAXIFS(Acuses!$D$5:$D$3004,Acuses!$A$5:$A$3004,$A38,Acuses!$B$5:$B$3004,AH$4,Acuses!$C$5:$C$3004,AH$5),AH$8)&lt;Resumen!$C$4+30,"Caduca pronto","OK"))))))</f>
        <v/>
      </c>
      <c r="AI38" s="26" t="str">
        <f aca="false">IF(OR($A38="",AI$4=""),"",IF(NOT(OR(AI$6="Toda la plantilla",ISNUMBER(SEARCH(";"&amp;SUBSTITUTE($C38," ","")&amp;";",";"&amp;SUBSTITUTE(AI$7," ","")&amp;";")))),"—",IF(_xlfn.MAXIFS(Acuses!$C$5:$C$3004,Acuses!$A$5:$A$3004,$A38,Acuses!$B$5:$B$3004,AI$4)&lt;AI$5,"Pendiente",IF(AI$8=0,"OK",IF(EDATE(_xlfn.MAXIFS(Acuses!$D$5:$D$3004,Acuses!$A$5:$A$3004,$A38,Acuses!$B$5:$B$3004,AI$4,Acuses!$C$5:$C$3004,AI$5),AI$8)&lt;Resumen!$C$4,"Caducado",IF(EDATE(_xlfn.MAXIFS(Acuses!$D$5:$D$3004,Acuses!$A$5:$A$3004,$A38,Acuses!$B$5:$B$3004,AI$4,Acuses!$C$5:$C$3004,AI$5),AI$8)&lt;Resumen!$C$4+30,"Caduca pronto","OK"))))))</f>
        <v/>
      </c>
      <c r="AJ38" s="26" t="str">
        <f aca="false">IF(OR($A38="",AJ$4=""),"",IF(NOT(OR(AJ$6="Toda la plantilla",ISNUMBER(SEARCH(";"&amp;SUBSTITUTE($C38," ","")&amp;";",";"&amp;SUBSTITUTE(AJ$7," ","")&amp;";")))),"—",IF(_xlfn.MAXIFS(Acuses!$C$5:$C$3004,Acuses!$A$5:$A$3004,$A38,Acuses!$B$5:$B$3004,AJ$4)&lt;AJ$5,"Pendiente",IF(AJ$8=0,"OK",IF(EDATE(_xlfn.MAXIFS(Acuses!$D$5:$D$3004,Acuses!$A$5:$A$3004,$A38,Acuses!$B$5:$B$3004,AJ$4,Acuses!$C$5:$C$3004,AJ$5),AJ$8)&lt;Resumen!$C$4,"Caducado",IF(EDATE(_xlfn.MAXIFS(Acuses!$D$5:$D$3004,Acuses!$A$5:$A$3004,$A38,Acuses!$B$5:$B$3004,AJ$4,Acuses!$C$5:$C$3004,AJ$5),AJ$8)&lt;Resumen!$C$4+30,"Caduca pronto","OK"))))))</f>
        <v/>
      </c>
      <c r="AK38" s="26" t="str">
        <f aca="false">IF(OR($A38="",AK$4=""),"",IF(NOT(OR(AK$6="Toda la plantilla",ISNUMBER(SEARCH(";"&amp;SUBSTITUTE($C38," ","")&amp;";",";"&amp;SUBSTITUTE(AK$7," ","")&amp;";")))),"—",IF(_xlfn.MAXIFS(Acuses!$C$5:$C$3004,Acuses!$A$5:$A$3004,$A38,Acuses!$B$5:$B$3004,AK$4)&lt;AK$5,"Pendiente",IF(AK$8=0,"OK",IF(EDATE(_xlfn.MAXIFS(Acuses!$D$5:$D$3004,Acuses!$A$5:$A$3004,$A38,Acuses!$B$5:$B$3004,AK$4,Acuses!$C$5:$C$3004,AK$5),AK$8)&lt;Resumen!$C$4,"Caducado",IF(EDATE(_xlfn.MAXIFS(Acuses!$D$5:$D$3004,Acuses!$A$5:$A$3004,$A38,Acuses!$B$5:$B$3004,AK$4,Acuses!$C$5:$C$3004,AK$5),AK$8)&lt;Resumen!$C$4+30,"Caduca pronto","OK"))))))</f>
        <v/>
      </c>
      <c r="AL38" s="26" t="str">
        <f aca="false">IF(OR($A38="",AL$4=""),"",IF(NOT(OR(AL$6="Toda la plantilla",ISNUMBER(SEARCH(";"&amp;SUBSTITUTE($C38," ","")&amp;";",";"&amp;SUBSTITUTE(AL$7," ","")&amp;";")))),"—",IF(_xlfn.MAXIFS(Acuses!$C$5:$C$3004,Acuses!$A$5:$A$3004,$A38,Acuses!$B$5:$B$3004,AL$4)&lt;AL$5,"Pendiente",IF(AL$8=0,"OK",IF(EDATE(_xlfn.MAXIFS(Acuses!$D$5:$D$3004,Acuses!$A$5:$A$3004,$A38,Acuses!$B$5:$B$3004,AL$4,Acuses!$C$5:$C$3004,AL$5),AL$8)&lt;Resumen!$C$4,"Caducado",IF(EDATE(_xlfn.MAXIFS(Acuses!$D$5:$D$3004,Acuses!$A$5:$A$3004,$A38,Acuses!$B$5:$B$3004,AL$4,Acuses!$C$5:$C$3004,AL$5),AL$8)&lt;Resumen!$C$4+30,"Caduca pronto","OK"))))))</f>
        <v/>
      </c>
      <c r="AM38" s="26" t="str">
        <f aca="false">IF(OR($A38="",AM$4=""),"",IF(NOT(OR(AM$6="Toda la plantilla",ISNUMBER(SEARCH(";"&amp;SUBSTITUTE($C38," ","")&amp;";",";"&amp;SUBSTITUTE(AM$7," ","")&amp;";")))),"—",IF(_xlfn.MAXIFS(Acuses!$C$5:$C$3004,Acuses!$A$5:$A$3004,$A38,Acuses!$B$5:$B$3004,AM$4)&lt;AM$5,"Pendiente",IF(AM$8=0,"OK",IF(EDATE(_xlfn.MAXIFS(Acuses!$D$5:$D$3004,Acuses!$A$5:$A$3004,$A38,Acuses!$B$5:$B$3004,AM$4,Acuses!$C$5:$C$3004,AM$5),AM$8)&lt;Resumen!$C$4,"Caducado",IF(EDATE(_xlfn.MAXIFS(Acuses!$D$5:$D$3004,Acuses!$A$5:$A$3004,$A38,Acuses!$B$5:$B$3004,AM$4,Acuses!$C$5:$C$3004,AM$5),AM$8)&lt;Resumen!$C$4+30,"Caduca pronto","OK"))))))</f>
        <v/>
      </c>
      <c r="AN38" s="26" t="str">
        <f aca="false">IF(OR($A38="",AN$4=""),"",IF(NOT(OR(AN$6="Toda la plantilla",ISNUMBER(SEARCH(";"&amp;SUBSTITUTE($C38," ","")&amp;";",";"&amp;SUBSTITUTE(AN$7," ","")&amp;";")))),"—",IF(_xlfn.MAXIFS(Acuses!$C$5:$C$3004,Acuses!$A$5:$A$3004,$A38,Acuses!$B$5:$B$3004,AN$4)&lt;AN$5,"Pendiente",IF(AN$8=0,"OK",IF(EDATE(_xlfn.MAXIFS(Acuses!$D$5:$D$3004,Acuses!$A$5:$A$3004,$A38,Acuses!$B$5:$B$3004,AN$4,Acuses!$C$5:$C$3004,AN$5),AN$8)&lt;Resumen!$C$4,"Caducado",IF(EDATE(_xlfn.MAXIFS(Acuses!$D$5:$D$3004,Acuses!$A$5:$A$3004,$A38,Acuses!$B$5:$B$3004,AN$4,Acuses!$C$5:$C$3004,AN$5),AN$8)&lt;Resumen!$C$4+30,"Caduca pronto","OK"))))))</f>
        <v/>
      </c>
      <c r="AO38" s="26" t="str">
        <f aca="false">IF(OR($A38="",AO$4=""),"",IF(NOT(OR(AO$6="Toda la plantilla",ISNUMBER(SEARCH(";"&amp;SUBSTITUTE($C38," ","")&amp;";",";"&amp;SUBSTITUTE(AO$7," ","")&amp;";")))),"—",IF(_xlfn.MAXIFS(Acuses!$C$5:$C$3004,Acuses!$A$5:$A$3004,$A38,Acuses!$B$5:$B$3004,AO$4)&lt;AO$5,"Pendiente",IF(AO$8=0,"OK",IF(EDATE(_xlfn.MAXIFS(Acuses!$D$5:$D$3004,Acuses!$A$5:$A$3004,$A38,Acuses!$B$5:$B$3004,AO$4,Acuses!$C$5:$C$3004,AO$5),AO$8)&lt;Resumen!$C$4,"Caducado",IF(EDATE(_xlfn.MAXIFS(Acuses!$D$5:$D$3004,Acuses!$A$5:$A$3004,$A38,Acuses!$B$5:$B$3004,AO$4,Acuses!$C$5:$C$3004,AO$5),AO$8)&lt;Resumen!$C$4+30,"Caduca pronto","OK"))))))</f>
        <v/>
      </c>
      <c r="AP38" s="26" t="str">
        <f aca="false">IF(OR($A38="",AP$4=""),"",IF(NOT(OR(AP$6="Toda la plantilla",ISNUMBER(SEARCH(";"&amp;SUBSTITUTE($C38," ","")&amp;";",";"&amp;SUBSTITUTE(AP$7," ","")&amp;";")))),"—",IF(_xlfn.MAXIFS(Acuses!$C$5:$C$3004,Acuses!$A$5:$A$3004,$A38,Acuses!$B$5:$B$3004,AP$4)&lt;AP$5,"Pendiente",IF(AP$8=0,"OK",IF(EDATE(_xlfn.MAXIFS(Acuses!$D$5:$D$3004,Acuses!$A$5:$A$3004,$A38,Acuses!$B$5:$B$3004,AP$4,Acuses!$C$5:$C$3004,AP$5),AP$8)&lt;Resumen!$C$4,"Caducado",IF(EDATE(_xlfn.MAXIFS(Acuses!$D$5:$D$3004,Acuses!$A$5:$A$3004,$A38,Acuses!$B$5:$B$3004,AP$4,Acuses!$C$5:$C$3004,AP$5),AP$8)&lt;Resumen!$C$4+30,"Caduca pronto","OK"))))))</f>
        <v/>
      </c>
      <c r="AQ38" s="26" t="str">
        <f aca="false">IF(OR($A38="",AQ$4=""),"",IF(NOT(OR(AQ$6="Toda la plantilla",ISNUMBER(SEARCH(";"&amp;SUBSTITUTE($C38," ","")&amp;";",";"&amp;SUBSTITUTE(AQ$7," ","")&amp;";")))),"—",IF(_xlfn.MAXIFS(Acuses!$C$5:$C$3004,Acuses!$A$5:$A$3004,$A38,Acuses!$B$5:$B$3004,AQ$4)&lt;AQ$5,"Pendiente",IF(AQ$8=0,"OK",IF(EDATE(_xlfn.MAXIFS(Acuses!$D$5:$D$3004,Acuses!$A$5:$A$3004,$A38,Acuses!$B$5:$B$3004,AQ$4,Acuses!$C$5:$C$3004,AQ$5),AQ$8)&lt;Resumen!$C$4,"Caducado",IF(EDATE(_xlfn.MAXIFS(Acuses!$D$5:$D$3004,Acuses!$A$5:$A$3004,$A38,Acuses!$B$5:$B$3004,AQ$4,Acuses!$C$5:$C$3004,AQ$5),AQ$8)&lt;Resumen!$C$4+30,"Caduca pronto","OK"))))))</f>
        <v/>
      </c>
    </row>
    <row r="39" customFormat="false" ht="15" hidden="false" customHeight="false" outlineLevel="0" collapsed="false">
      <c r="A39" s="25" t="str">
        <f aca="false">IF(AND(Trabajadores!$A$34&lt;&gt;"",Trabajadores!$G$34&lt;&gt;"No"),Trabajadores!$A$34,"")</f>
        <v/>
      </c>
      <c r="B39" s="25" t="str">
        <f aca="false">IF($A39="","",Trabajadores!$B$34)</f>
        <v/>
      </c>
      <c r="C39" s="25" t="str">
        <f aca="false">IF($A39="","",Trabajadores!$C$34)</f>
        <v/>
      </c>
      <c r="D39" s="26" t="str">
        <f aca="false">IF(OR($A39="",D$4=""),"",IF(NOT(OR(D$6="Toda la plantilla",ISNUMBER(SEARCH(";"&amp;SUBSTITUTE($C39," ","")&amp;";",";"&amp;SUBSTITUTE(D$7," ","")&amp;";")))),"—",IF(_xlfn.MAXIFS(Acuses!$C$5:$C$3004,Acuses!$A$5:$A$3004,$A39,Acuses!$B$5:$B$3004,D$4)&lt;D$5,"Pendiente",IF(D$8=0,"OK",IF(EDATE(_xlfn.MAXIFS(Acuses!$D$5:$D$3004,Acuses!$A$5:$A$3004,$A39,Acuses!$B$5:$B$3004,D$4,Acuses!$C$5:$C$3004,D$5),D$8)&lt;Resumen!$C$4,"Caducado",IF(EDATE(_xlfn.MAXIFS(Acuses!$D$5:$D$3004,Acuses!$A$5:$A$3004,$A39,Acuses!$B$5:$B$3004,D$4,Acuses!$C$5:$C$3004,D$5),D$8)&lt;Resumen!$C$4+30,"Caduca pronto","OK"))))))</f>
        <v/>
      </c>
      <c r="E39" s="26" t="str">
        <f aca="false">IF(OR($A39="",E$4=""),"",IF(NOT(OR(E$6="Toda la plantilla",ISNUMBER(SEARCH(";"&amp;SUBSTITUTE($C39," ","")&amp;";",";"&amp;SUBSTITUTE(E$7," ","")&amp;";")))),"—",IF(_xlfn.MAXIFS(Acuses!$C$5:$C$3004,Acuses!$A$5:$A$3004,$A39,Acuses!$B$5:$B$3004,E$4)&lt;E$5,"Pendiente",IF(E$8=0,"OK",IF(EDATE(_xlfn.MAXIFS(Acuses!$D$5:$D$3004,Acuses!$A$5:$A$3004,$A39,Acuses!$B$5:$B$3004,E$4,Acuses!$C$5:$C$3004,E$5),E$8)&lt;Resumen!$C$4,"Caducado",IF(EDATE(_xlfn.MAXIFS(Acuses!$D$5:$D$3004,Acuses!$A$5:$A$3004,$A39,Acuses!$B$5:$B$3004,E$4,Acuses!$C$5:$C$3004,E$5),E$8)&lt;Resumen!$C$4+30,"Caduca pronto","OK"))))))</f>
        <v/>
      </c>
      <c r="F39" s="26" t="str">
        <f aca="false">IF(OR($A39="",F$4=""),"",IF(NOT(OR(F$6="Toda la plantilla",ISNUMBER(SEARCH(";"&amp;SUBSTITUTE($C39," ","")&amp;";",";"&amp;SUBSTITUTE(F$7," ","")&amp;";")))),"—",IF(_xlfn.MAXIFS(Acuses!$C$5:$C$3004,Acuses!$A$5:$A$3004,$A39,Acuses!$B$5:$B$3004,F$4)&lt;F$5,"Pendiente",IF(F$8=0,"OK",IF(EDATE(_xlfn.MAXIFS(Acuses!$D$5:$D$3004,Acuses!$A$5:$A$3004,$A39,Acuses!$B$5:$B$3004,F$4,Acuses!$C$5:$C$3004,F$5),F$8)&lt;Resumen!$C$4,"Caducado",IF(EDATE(_xlfn.MAXIFS(Acuses!$D$5:$D$3004,Acuses!$A$5:$A$3004,$A39,Acuses!$B$5:$B$3004,F$4,Acuses!$C$5:$C$3004,F$5),F$8)&lt;Resumen!$C$4+30,"Caduca pronto","OK"))))))</f>
        <v/>
      </c>
      <c r="G39" s="26" t="str">
        <f aca="false">IF(OR($A39="",G$4=""),"",IF(NOT(OR(G$6="Toda la plantilla",ISNUMBER(SEARCH(";"&amp;SUBSTITUTE($C39," ","")&amp;";",";"&amp;SUBSTITUTE(G$7," ","")&amp;";")))),"—",IF(_xlfn.MAXIFS(Acuses!$C$5:$C$3004,Acuses!$A$5:$A$3004,$A39,Acuses!$B$5:$B$3004,G$4)&lt;G$5,"Pendiente",IF(G$8=0,"OK",IF(EDATE(_xlfn.MAXIFS(Acuses!$D$5:$D$3004,Acuses!$A$5:$A$3004,$A39,Acuses!$B$5:$B$3004,G$4,Acuses!$C$5:$C$3004,G$5),G$8)&lt;Resumen!$C$4,"Caducado",IF(EDATE(_xlfn.MAXIFS(Acuses!$D$5:$D$3004,Acuses!$A$5:$A$3004,$A39,Acuses!$B$5:$B$3004,G$4,Acuses!$C$5:$C$3004,G$5),G$8)&lt;Resumen!$C$4+30,"Caduca pronto","OK"))))))</f>
        <v/>
      </c>
      <c r="H39" s="26" t="str">
        <f aca="false">IF(OR($A39="",H$4=""),"",IF(NOT(OR(H$6="Toda la plantilla",ISNUMBER(SEARCH(";"&amp;SUBSTITUTE($C39," ","")&amp;";",";"&amp;SUBSTITUTE(H$7," ","")&amp;";")))),"—",IF(_xlfn.MAXIFS(Acuses!$C$5:$C$3004,Acuses!$A$5:$A$3004,$A39,Acuses!$B$5:$B$3004,H$4)&lt;H$5,"Pendiente",IF(H$8=0,"OK",IF(EDATE(_xlfn.MAXIFS(Acuses!$D$5:$D$3004,Acuses!$A$5:$A$3004,$A39,Acuses!$B$5:$B$3004,H$4,Acuses!$C$5:$C$3004,H$5),H$8)&lt;Resumen!$C$4,"Caducado",IF(EDATE(_xlfn.MAXIFS(Acuses!$D$5:$D$3004,Acuses!$A$5:$A$3004,$A39,Acuses!$B$5:$B$3004,H$4,Acuses!$C$5:$C$3004,H$5),H$8)&lt;Resumen!$C$4+30,"Caduca pronto","OK"))))))</f>
        <v/>
      </c>
      <c r="I39" s="26" t="str">
        <f aca="false">IF(OR($A39="",I$4=""),"",IF(NOT(OR(I$6="Toda la plantilla",ISNUMBER(SEARCH(";"&amp;SUBSTITUTE($C39," ","")&amp;";",";"&amp;SUBSTITUTE(I$7," ","")&amp;";")))),"—",IF(_xlfn.MAXIFS(Acuses!$C$5:$C$3004,Acuses!$A$5:$A$3004,$A39,Acuses!$B$5:$B$3004,I$4)&lt;I$5,"Pendiente",IF(I$8=0,"OK",IF(EDATE(_xlfn.MAXIFS(Acuses!$D$5:$D$3004,Acuses!$A$5:$A$3004,$A39,Acuses!$B$5:$B$3004,I$4,Acuses!$C$5:$C$3004,I$5),I$8)&lt;Resumen!$C$4,"Caducado",IF(EDATE(_xlfn.MAXIFS(Acuses!$D$5:$D$3004,Acuses!$A$5:$A$3004,$A39,Acuses!$B$5:$B$3004,I$4,Acuses!$C$5:$C$3004,I$5),I$8)&lt;Resumen!$C$4+30,"Caduca pronto","OK"))))))</f>
        <v/>
      </c>
      <c r="J39" s="26" t="str">
        <f aca="false">IF(OR($A39="",J$4=""),"",IF(NOT(OR(J$6="Toda la plantilla",ISNUMBER(SEARCH(";"&amp;SUBSTITUTE($C39," ","")&amp;";",";"&amp;SUBSTITUTE(J$7," ","")&amp;";")))),"—",IF(_xlfn.MAXIFS(Acuses!$C$5:$C$3004,Acuses!$A$5:$A$3004,$A39,Acuses!$B$5:$B$3004,J$4)&lt;J$5,"Pendiente",IF(J$8=0,"OK",IF(EDATE(_xlfn.MAXIFS(Acuses!$D$5:$D$3004,Acuses!$A$5:$A$3004,$A39,Acuses!$B$5:$B$3004,J$4,Acuses!$C$5:$C$3004,J$5),J$8)&lt;Resumen!$C$4,"Caducado",IF(EDATE(_xlfn.MAXIFS(Acuses!$D$5:$D$3004,Acuses!$A$5:$A$3004,$A39,Acuses!$B$5:$B$3004,J$4,Acuses!$C$5:$C$3004,J$5),J$8)&lt;Resumen!$C$4+30,"Caduca pronto","OK"))))))</f>
        <v/>
      </c>
      <c r="K39" s="26" t="str">
        <f aca="false">IF(OR($A39="",K$4=""),"",IF(NOT(OR(K$6="Toda la plantilla",ISNUMBER(SEARCH(";"&amp;SUBSTITUTE($C39," ","")&amp;";",";"&amp;SUBSTITUTE(K$7," ","")&amp;";")))),"—",IF(_xlfn.MAXIFS(Acuses!$C$5:$C$3004,Acuses!$A$5:$A$3004,$A39,Acuses!$B$5:$B$3004,K$4)&lt;K$5,"Pendiente",IF(K$8=0,"OK",IF(EDATE(_xlfn.MAXIFS(Acuses!$D$5:$D$3004,Acuses!$A$5:$A$3004,$A39,Acuses!$B$5:$B$3004,K$4,Acuses!$C$5:$C$3004,K$5),K$8)&lt;Resumen!$C$4,"Caducado",IF(EDATE(_xlfn.MAXIFS(Acuses!$D$5:$D$3004,Acuses!$A$5:$A$3004,$A39,Acuses!$B$5:$B$3004,K$4,Acuses!$C$5:$C$3004,K$5),K$8)&lt;Resumen!$C$4+30,"Caduca pronto","OK"))))))</f>
        <v/>
      </c>
      <c r="L39" s="26" t="str">
        <f aca="false">IF(OR($A39="",L$4=""),"",IF(NOT(OR(L$6="Toda la plantilla",ISNUMBER(SEARCH(";"&amp;SUBSTITUTE($C39," ","")&amp;";",";"&amp;SUBSTITUTE(L$7," ","")&amp;";")))),"—",IF(_xlfn.MAXIFS(Acuses!$C$5:$C$3004,Acuses!$A$5:$A$3004,$A39,Acuses!$B$5:$B$3004,L$4)&lt;L$5,"Pendiente",IF(L$8=0,"OK",IF(EDATE(_xlfn.MAXIFS(Acuses!$D$5:$D$3004,Acuses!$A$5:$A$3004,$A39,Acuses!$B$5:$B$3004,L$4,Acuses!$C$5:$C$3004,L$5),L$8)&lt;Resumen!$C$4,"Caducado",IF(EDATE(_xlfn.MAXIFS(Acuses!$D$5:$D$3004,Acuses!$A$5:$A$3004,$A39,Acuses!$B$5:$B$3004,L$4,Acuses!$C$5:$C$3004,L$5),L$8)&lt;Resumen!$C$4+30,"Caduca pronto","OK"))))))</f>
        <v/>
      </c>
      <c r="M39" s="26" t="str">
        <f aca="false">IF(OR($A39="",M$4=""),"",IF(NOT(OR(M$6="Toda la plantilla",ISNUMBER(SEARCH(";"&amp;SUBSTITUTE($C39," ","")&amp;";",";"&amp;SUBSTITUTE(M$7," ","")&amp;";")))),"—",IF(_xlfn.MAXIFS(Acuses!$C$5:$C$3004,Acuses!$A$5:$A$3004,$A39,Acuses!$B$5:$B$3004,M$4)&lt;M$5,"Pendiente",IF(M$8=0,"OK",IF(EDATE(_xlfn.MAXIFS(Acuses!$D$5:$D$3004,Acuses!$A$5:$A$3004,$A39,Acuses!$B$5:$B$3004,M$4,Acuses!$C$5:$C$3004,M$5),M$8)&lt;Resumen!$C$4,"Caducado",IF(EDATE(_xlfn.MAXIFS(Acuses!$D$5:$D$3004,Acuses!$A$5:$A$3004,$A39,Acuses!$B$5:$B$3004,M$4,Acuses!$C$5:$C$3004,M$5),M$8)&lt;Resumen!$C$4+30,"Caduca pronto","OK"))))))</f>
        <v/>
      </c>
      <c r="N39" s="26" t="str">
        <f aca="false">IF(OR($A39="",N$4=""),"",IF(NOT(OR(N$6="Toda la plantilla",ISNUMBER(SEARCH(";"&amp;SUBSTITUTE($C39," ","")&amp;";",";"&amp;SUBSTITUTE(N$7," ","")&amp;";")))),"—",IF(_xlfn.MAXIFS(Acuses!$C$5:$C$3004,Acuses!$A$5:$A$3004,$A39,Acuses!$B$5:$B$3004,N$4)&lt;N$5,"Pendiente",IF(N$8=0,"OK",IF(EDATE(_xlfn.MAXIFS(Acuses!$D$5:$D$3004,Acuses!$A$5:$A$3004,$A39,Acuses!$B$5:$B$3004,N$4,Acuses!$C$5:$C$3004,N$5),N$8)&lt;Resumen!$C$4,"Caducado",IF(EDATE(_xlfn.MAXIFS(Acuses!$D$5:$D$3004,Acuses!$A$5:$A$3004,$A39,Acuses!$B$5:$B$3004,N$4,Acuses!$C$5:$C$3004,N$5),N$8)&lt;Resumen!$C$4+30,"Caduca pronto","OK"))))))</f>
        <v/>
      </c>
      <c r="O39" s="26" t="str">
        <f aca="false">IF(OR($A39="",O$4=""),"",IF(NOT(OR(O$6="Toda la plantilla",ISNUMBER(SEARCH(";"&amp;SUBSTITUTE($C39," ","")&amp;";",";"&amp;SUBSTITUTE(O$7," ","")&amp;";")))),"—",IF(_xlfn.MAXIFS(Acuses!$C$5:$C$3004,Acuses!$A$5:$A$3004,$A39,Acuses!$B$5:$B$3004,O$4)&lt;O$5,"Pendiente",IF(O$8=0,"OK",IF(EDATE(_xlfn.MAXIFS(Acuses!$D$5:$D$3004,Acuses!$A$5:$A$3004,$A39,Acuses!$B$5:$B$3004,O$4,Acuses!$C$5:$C$3004,O$5),O$8)&lt;Resumen!$C$4,"Caducado",IF(EDATE(_xlfn.MAXIFS(Acuses!$D$5:$D$3004,Acuses!$A$5:$A$3004,$A39,Acuses!$B$5:$B$3004,O$4,Acuses!$C$5:$C$3004,O$5),O$8)&lt;Resumen!$C$4+30,"Caduca pronto","OK"))))))</f>
        <v/>
      </c>
      <c r="P39" s="26" t="str">
        <f aca="false">IF(OR($A39="",P$4=""),"",IF(NOT(OR(P$6="Toda la plantilla",ISNUMBER(SEARCH(";"&amp;SUBSTITUTE($C39," ","")&amp;";",";"&amp;SUBSTITUTE(P$7," ","")&amp;";")))),"—",IF(_xlfn.MAXIFS(Acuses!$C$5:$C$3004,Acuses!$A$5:$A$3004,$A39,Acuses!$B$5:$B$3004,P$4)&lt;P$5,"Pendiente",IF(P$8=0,"OK",IF(EDATE(_xlfn.MAXIFS(Acuses!$D$5:$D$3004,Acuses!$A$5:$A$3004,$A39,Acuses!$B$5:$B$3004,P$4,Acuses!$C$5:$C$3004,P$5),P$8)&lt;Resumen!$C$4,"Caducado",IF(EDATE(_xlfn.MAXIFS(Acuses!$D$5:$D$3004,Acuses!$A$5:$A$3004,$A39,Acuses!$B$5:$B$3004,P$4,Acuses!$C$5:$C$3004,P$5),P$8)&lt;Resumen!$C$4+30,"Caduca pronto","OK"))))))</f>
        <v/>
      </c>
      <c r="Q39" s="26" t="str">
        <f aca="false">IF(OR($A39="",Q$4=""),"",IF(NOT(OR(Q$6="Toda la plantilla",ISNUMBER(SEARCH(";"&amp;SUBSTITUTE($C39," ","")&amp;";",";"&amp;SUBSTITUTE(Q$7," ","")&amp;";")))),"—",IF(_xlfn.MAXIFS(Acuses!$C$5:$C$3004,Acuses!$A$5:$A$3004,$A39,Acuses!$B$5:$B$3004,Q$4)&lt;Q$5,"Pendiente",IF(Q$8=0,"OK",IF(EDATE(_xlfn.MAXIFS(Acuses!$D$5:$D$3004,Acuses!$A$5:$A$3004,$A39,Acuses!$B$5:$B$3004,Q$4,Acuses!$C$5:$C$3004,Q$5),Q$8)&lt;Resumen!$C$4,"Caducado",IF(EDATE(_xlfn.MAXIFS(Acuses!$D$5:$D$3004,Acuses!$A$5:$A$3004,$A39,Acuses!$B$5:$B$3004,Q$4,Acuses!$C$5:$C$3004,Q$5),Q$8)&lt;Resumen!$C$4+30,"Caduca pronto","OK"))))))</f>
        <v/>
      </c>
      <c r="R39" s="26" t="str">
        <f aca="false">IF(OR($A39="",R$4=""),"",IF(NOT(OR(R$6="Toda la plantilla",ISNUMBER(SEARCH(";"&amp;SUBSTITUTE($C39," ","")&amp;";",";"&amp;SUBSTITUTE(R$7," ","")&amp;";")))),"—",IF(_xlfn.MAXIFS(Acuses!$C$5:$C$3004,Acuses!$A$5:$A$3004,$A39,Acuses!$B$5:$B$3004,R$4)&lt;R$5,"Pendiente",IF(R$8=0,"OK",IF(EDATE(_xlfn.MAXIFS(Acuses!$D$5:$D$3004,Acuses!$A$5:$A$3004,$A39,Acuses!$B$5:$B$3004,R$4,Acuses!$C$5:$C$3004,R$5),R$8)&lt;Resumen!$C$4,"Caducado",IF(EDATE(_xlfn.MAXIFS(Acuses!$D$5:$D$3004,Acuses!$A$5:$A$3004,$A39,Acuses!$B$5:$B$3004,R$4,Acuses!$C$5:$C$3004,R$5),R$8)&lt;Resumen!$C$4+30,"Caduca pronto","OK"))))))</f>
        <v/>
      </c>
      <c r="S39" s="26" t="str">
        <f aca="false">IF(OR($A39="",S$4=""),"",IF(NOT(OR(S$6="Toda la plantilla",ISNUMBER(SEARCH(";"&amp;SUBSTITUTE($C39," ","")&amp;";",";"&amp;SUBSTITUTE(S$7," ","")&amp;";")))),"—",IF(_xlfn.MAXIFS(Acuses!$C$5:$C$3004,Acuses!$A$5:$A$3004,$A39,Acuses!$B$5:$B$3004,S$4)&lt;S$5,"Pendiente",IF(S$8=0,"OK",IF(EDATE(_xlfn.MAXIFS(Acuses!$D$5:$D$3004,Acuses!$A$5:$A$3004,$A39,Acuses!$B$5:$B$3004,S$4,Acuses!$C$5:$C$3004,S$5),S$8)&lt;Resumen!$C$4,"Caducado",IF(EDATE(_xlfn.MAXIFS(Acuses!$D$5:$D$3004,Acuses!$A$5:$A$3004,$A39,Acuses!$B$5:$B$3004,S$4,Acuses!$C$5:$C$3004,S$5),S$8)&lt;Resumen!$C$4+30,"Caduca pronto","OK"))))))</f>
        <v/>
      </c>
      <c r="T39" s="26" t="str">
        <f aca="false">IF(OR($A39="",T$4=""),"",IF(NOT(OR(T$6="Toda la plantilla",ISNUMBER(SEARCH(";"&amp;SUBSTITUTE($C39," ","")&amp;";",";"&amp;SUBSTITUTE(T$7," ","")&amp;";")))),"—",IF(_xlfn.MAXIFS(Acuses!$C$5:$C$3004,Acuses!$A$5:$A$3004,$A39,Acuses!$B$5:$B$3004,T$4)&lt;T$5,"Pendiente",IF(T$8=0,"OK",IF(EDATE(_xlfn.MAXIFS(Acuses!$D$5:$D$3004,Acuses!$A$5:$A$3004,$A39,Acuses!$B$5:$B$3004,T$4,Acuses!$C$5:$C$3004,T$5),T$8)&lt;Resumen!$C$4,"Caducado",IF(EDATE(_xlfn.MAXIFS(Acuses!$D$5:$D$3004,Acuses!$A$5:$A$3004,$A39,Acuses!$B$5:$B$3004,T$4,Acuses!$C$5:$C$3004,T$5),T$8)&lt;Resumen!$C$4+30,"Caduca pronto","OK"))))))</f>
        <v/>
      </c>
      <c r="U39" s="26" t="str">
        <f aca="false">IF(OR($A39="",U$4=""),"",IF(NOT(OR(U$6="Toda la plantilla",ISNUMBER(SEARCH(";"&amp;SUBSTITUTE($C39," ","")&amp;";",";"&amp;SUBSTITUTE(U$7," ","")&amp;";")))),"—",IF(_xlfn.MAXIFS(Acuses!$C$5:$C$3004,Acuses!$A$5:$A$3004,$A39,Acuses!$B$5:$B$3004,U$4)&lt;U$5,"Pendiente",IF(U$8=0,"OK",IF(EDATE(_xlfn.MAXIFS(Acuses!$D$5:$D$3004,Acuses!$A$5:$A$3004,$A39,Acuses!$B$5:$B$3004,U$4,Acuses!$C$5:$C$3004,U$5),U$8)&lt;Resumen!$C$4,"Caducado",IF(EDATE(_xlfn.MAXIFS(Acuses!$D$5:$D$3004,Acuses!$A$5:$A$3004,$A39,Acuses!$B$5:$B$3004,U$4,Acuses!$C$5:$C$3004,U$5),U$8)&lt;Resumen!$C$4+30,"Caduca pronto","OK"))))))</f>
        <v/>
      </c>
      <c r="V39" s="26" t="str">
        <f aca="false">IF(OR($A39="",V$4=""),"",IF(NOT(OR(V$6="Toda la plantilla",ISNUMBER(SEARCH(";"&amp;SUBSTITUTE($C39," ","")&amp;";",";"&amp;SUBSTITUTE(V$7," ","")&amp;";")))),"—",IF(_xlfn.MAXIFS(Acuses!$C$5:$C$3004,Acuses!$A$5:$A$3004,$A39,Acuses!$B$5:$B$3004,V$4)&lt;V$5,"Pendiente",IF(V$8=0,"OK",IF(EDATE(_xlfn.MAXIFS(Acuses!$D$5:$D$3004,Acuses!$A$5:$A$3004,$A39,Acuses!$B$5:$B$3004,V$4,Acuses!$C$5:$C$3004,V$5),V$8)&lt;Resumen!$C$4,"Caducado",IF(EDATE(_xlfn.MAXIFS(Acuses!$D$5:$D$3004,Acuses!$A$5:$A$3004,$A39,Acuses!$B$5:$B$3004,V$4,Acuses!$C$5:$C$3004,V$5),V$8)&lt;Resumen!$C$4+30,"Caduca pronto","OK"))))))</f>
        <v/>
      </c>
      <c r="W39" s="26" t="str">
        <f aca="false">IF(OR($A39="",W$4=""),"",IF(NOT(OR(W$6="Toda la plantilla",ISNUMBER(SEARCH(";"&amp;SUBSTITUTE($C39," ","")&amp;";",";"&amp;SUBSTITUTE(W$7," ","")&amp;";")))),"—",IF(_xlfn.MAXIFS(Acuses!$C$5:$C$3004,Acuses!$A$5:$A$3004,$A39,Acuses!$B$5:$B$3004,W$4)&lt;W$5,"Pendiente",IF(W$8=0,"OK",IF(EDATE(_xlfn.MAXIFS(Acuses!$D$5:$D$3004,Acuses!$A$5:$A$3004,$A39,Acuses!$B$5:$B$3004,W$4,Acuses!$C$5:$C$3004,W$5),W$8)&lt;Resumen!$C$4,"Caducado",IF(EDATE(_xlfn.MAXIFS(Acuses!$D$5:$D$3004,Acuses!$A$5:$A$3004,$A39,Acuses!$B$5:$B$3004,W$4,Acuses!$C$5:$C$3004,W$5),W$8)&lt;Resumen!$C$4+30,"Caduca pronto","OK"))))))</f>
        <v/>
      </c>
      <c r="X39" s="26" t="str">
        <f aca="false">IF(OR($A39="",X$4=""),"",IF(NOT(OR(X$6="Toda la plantilla",ISNUMBER(SEARCH(";"&amp;SUBSTITUTE($C39," ","")&amp;";",";"&amp;SUBSTITUTE(X$7," ","")&amp;";")))),"—",IF(_xlfn.MAXIFS(Acuses!$C$5:$C$3004,Acuses!$A$5:$A$3004,$A39,Acuses!$B$5:$B$3004,X$4)&lt;X$5,"Pendiente",IF(X$8=0,"OK",IF(EDATE(_xlfn.MAXIFS(Acuses!$D$5:$D$3004,Acuses!$A$5:$A$3004,$A39,Acuses!$B$5:$B$3004,X$4,Acuses!$C$5:$C$3004,X$5),X$8)&lt;Resumen!$C$4,"Caducado",IF(EDATE(_xlfn.MAXIFS(Acuses!$D$5:$D$3004,Acuses!$A$5:$A$3004,$A39,Acuses!$B$5:$B$3004,X$4,Acuses!$C$5:$C$3004,X$5),X$8)&lt;Resumen!$C$4+30,"Caduca pronto","OK"))))))</f>
        <v/>
      </c>
      <c r="Y39" s="26" t="str">
        <f aca="false">IF(OR($A39="",Y$4=""),"",IF(NOT(OR(Y$6="Toda la plantilla",ISNUMBER(SEARCH(";"&amp;SUBSTITUTE($C39," ","")&amp;";",";"&amp;SUBSTITUTE(Y$7," ","")&amp;";")))),"—",IF(_xlfn.MAXIFS(Acuses!$C$5:$C$3004,Acuses!$A$5:$A$3004,$A39,Acuses!$B$5:$B$3004,Y$4)&lt;Y$5,"Pendiente",IF(Y$8=0,"OK",IF(EDATE(_xlfn.MAXIFS(Acuses!$D$5:$D$3004,Acuses!$A$5:$A$3004,$A39,Acuses!$B$5:$B$3004,Y$4,Acuses!$C$5:$C$3004,Y$5),Y$8)&lt;Resumen!$C$4,"Caducado",IF(EDATE(_xlfn.MAXIFS(Acuses!$D$5:$D$3004,Acuses!$A$5:$A$3004,$A39,Acuses!$B$5:$B$3004,Y$4,Acuses!$C$5:$C$3004,Y$5),Y$8)&lt;Resumen!$C$4+30,"Caduca pronto","OK"))))))</f>
        <v/>
      </c>
      <c r="Z39" s="26" t="str">
        <f aca="false">IF(OR($A39="",Z$4=""),"",IF(NOT(OR(Z$6="Toda la plantilla",ISNUMBER(SEARCH(";"&amp;SUBSTITUTE($C39," ","")&amp;";",";"&amp;SUBSTITUTE(Z$7," ","")&amp;";")))),"—",IF(_xlfn.MAXIFS(Acuses!$C$5:$C$3004,Acuses!$A$5:$A$3004,$A39,Acuses!$B$5:$B$3004,Z$4)&lt;Z$5,"Pendiente",IF(Z$8=0,"OK",IF(EDATE(_xlfn.MAXIFS(Acuses!$D$5:$D$3004,Acuses!$A$5:$A$3004,$A39,Acuses!$B$5:$B$3004,Z$4,Acuses!$C$5:$C$3004,Z$5),Z$8)&lt;Resumen!$C$4,"Caducado",IF(EDATE(_xlfn.MAXIFS(Acuses!$D$5:$D$3004,Acuses!$A$5:$A$3004,$A39,Acuses!$B$5:$B$3004,Z$4,Acuses!$C$5:$C$3004,Z$5),Z$8)&lt;Resumen!$C$4+30,"Caduca pronto","OK"))))))</f>
        <v/>
      </c>
      <c r="AA39" s="26" t="str">
        <f aca="false">IF(OR($A39="",AA$4=""),"",IF(NOT(OR(AA$6="Toda la plantilla",ISNUMBER(SEARCH(";"&amp;SUBSTITUTE($C39," ","")&amp;";",";"&amp;SUBSTITUTE(AA$7," ","")&amp;";")))),"—",IF(_xlfn.MAXIFS(Acuses!$C$5:$C$3004,Acuses!$A$5:$A$3004,$A39,Acuses!$B$5:$B$3004,AA$4)&lt;AA$5,"Pendiente",IF(AA$8=0,"OK",IF(EDATE(_xlfn.MAXIFS(Acuses!$D$5:$D$3004,Acuses!$A$5:$A$3004,$A39,Acuses!$B$5:$B$3004,AA$4,Acuses!$C$5:$C$3004,AA$5),AA$8)&lt;Resumen!$C$4,"Caducado",IF(EDATE(_xlfn.MAXIFS(Acuses!$D$5:$D$3004,Acuses!$A$5:$A$3004,$A39,Acuses!$B$5:$B$3004,AA$4,Acuses!$C$5:$C$3004,AA$5),AA$8)&lt;Resumen!$C$4+30,"Caduca pronto","OK"))))))</f>
        <v/>
      </c>
      <c r="AB39" s="26" t="str">
        <f aca="false">IF(OR($A39="",AB$4=""),"",IF(NOT(OR(AB$6="Toda la plantilla",ISNUMBER(SEARCH(";"&amp;SUBSTITUTE($C39," ","")&amp;";",";"&amp;SUBSTITUTE(AB$7," ","")&amp;";")))),"—",IF(_xlfn.MAXIFS(Acuses!$C$5:$C$3004,Acuses!$A$5:$A$3004,$A39,Acuses!$B$5:$B$3004,AB$4)&lt;AB$5,"Pendiente",IF(AB$8=0,"OK",IF(EDATE(_xlfn.MAXIFS(Acuses!$D$5:$D$3004,Acuses!$A$5:$A$3004,$A39,Acuses!$B$5:$B$3004,AB$4,Acuses!$C$5:$C$3004,AB$5),AB$8)&lt;Resumen!$C$4,"Caducado",IF(EDATE(_xlfn.MAXIFS(Acuses!$D$5:$D$3004,Acuses!$A$5:$A$3004,$A39,Acuses!$B$5:$B$3004,AB$4,Acuses!$C$5:$C$3004,AB$5),AB$8)&lt;Resumen!$C$4+30,"Caduca pronto","OK"))))))</f>
        <v/>
      </c>
      <c r="AC39" s="26" t="str">
        <f aca="false">IF(OR($A39="",AC$4=""),"",IF(NOT(OR(AC$6="Toda la plantilla",ISNUMBER(SEARCH(";"&amp;SUBSTITUTE($C39," ","")&amp;";",";"&amp;SUBSTITUTE(AC$7," ","")&amp;";")))),"—",IF(_xlfn.MAXIFS(Acuses!$C$5:$C$3004,Acuses!$A$5:$A$3004,$A39,Acuses!$B$5:$B$3004,AC$4)&lt;AC$5,"Pendiente",IF(AC$8=0,"OK",IF(EDATE(_xlfn.MAXIFS(Acuses!$D$5:$D$3004,Acuses!$A$5:$A$3004,$A39,Acuses!$B$5:$B$3004,AC$4,Acuses!$C$5:$C$3004,AC$5),AC$8)&lt;Resumen!$C$4,"Caducado",IF(EDATE(_xlfn.MAXIFS(Acuses!$D$5:$D$3004,Acuses!$A$5:$A$3004,$A39,Acuses!$B$5:$B$3004,AC$4,Acuses!$C$5:$C$3004,AC$5),AC$8)&lt;Resumen!$C$4+30,"Caduca pronto","OK"))))))</f>
        <v/>
      </c>
      <c r="AD39" s="26" t="str">
        <f aca="false">IF(OR($A39="",AD$4=""),"",IF(NOT(OR(AD$6="Toda la plantilla",ISNUMBER(SEARCH(";"&amp;SUBSTITUTE($C39," ","")&amp;";",";"&amp;SUBSTITUTE(AD$7," ","")&amp;";")))),"—",IF(_xlfn.MAXIFS(Acuses!$C$5:$C$3004,Acuses!$A$5:$A$3004,$A39,Acuses!$B$5:$B$3004,AD$4)&lt;AD$5,"Pendiente",IF(AD$8=0,"OK",IF(EDATE(_xlfn.MAXIFS(Acuses!$D$5:$D$3004,Acuses!$A$5:$A$3004,$A39,Acuses!$B$5:$B$3004,AD$4,Acuses!$C$5:$C$3004,AD$5),AD$8)&lt;Resumen!$C$4,"Caducado",IF(EDATE(_xlfn.MAXIFS(Acuses!$D$5:$D$3004,Acuses!$A$5:$A$3004,$A39,Acuses!$B$5:$B$3004,AD$4,Acuses!$C$5:$C$3004,AD$5),AD$8)&lt;Resumen!$C$4+30,"Caduca pronto","OK"))))))</f>
        <v/>
      </c>
      <c r="AE39" s="26" t="str">
        <f aca="false">IF(OR($A39="",AE$4=""),"",IF(NOT(OR(AE$6="Toda la plantilla",ISNUMBER(SEARCH(";"&amp;SUBSTITUTE($C39," ","")&amp;";",";"&amp;SUBSTITUTE(AE$7," ","")&amp;";")))),"—",IF(_xlfn.MAXIFS(Acuses!$C$5:$C$3004,Acuses!$A$5:$A$3004,$A39,Acuses!$B$5:$B$3004,AE$4)&lt;AE$5,"Pendiente",IF(AE$8=0,"OK",IF(EDATE(_xlfn.MAXIFS(Acuses!$D$5:$D$3004,Acuses!$A$5:$A$3004,$A39,Acuses!$B$5:$B$3004,AE$4,Acuses!$C$5:$C$3004,AE$5),AE$8)&lt;Resumen!$C$4,"Caducado",IF(EDATE(_xlfn.MAXIFS(Acuses!$D$5:$D$3004,Acuses!$A$5:$A$3004,$A39,Acuses!$B$5:$B$3004,AE$4,Acuses!$C$5:$C$3004,AE$5),AE$8)&lt;Resumen!$C$4+30,"Caduca pronto","OK"))))))</f>
        <v/>
      </c>
      <c r="AF39" s="26" t="str">
        <f aca="false">IF(OR($A39="",AF$4=""),"",IF(NOT(OR(AF$6="Toda la plantilla",ISNUMBER(SEARCH(";"&amp;SUBSTITUTE($C39," ","")&amp;";",";"&amp;SUBSTITUTE(AF$7," ","")&amp;";")))),"—",IF(_xlfn.MAXIFS(Acuses!$C$5:$C$3004,Acuses!$A$5:$A$3004,$A39,Acuses!$B$5:$B$3004,AF$4)&lt;AF$5,"Pendiente",IF(AF$8=0,"OK",IF(EDATE(_xlfn.MAXIFS(Acuses!$D$5:$D$3004,Acuses!$A$5:$A$3004,$A39,Acuses!$B$5:$B$3004,AF$4,Acuses!$C$5:$C$3004,AF$5),AF$8)&lt;Resumen!$C$4,"Caducado",IF(EDATE(_xlfn.MAXIFS(Acuses!$D$5:$D$3004,Acuses!$A$5:$A$3004,$A39,Acuses!$B$5:$B$3004,AF$4,Acuses!$C$5:$C$3004,AF$5),AF$8)&lt;Resumen!$C$4+30,"Caduca pronto","OK"))))))</f>
        <v/>
      </c>
      <c r="AG39" s="26" t="str">
        <f aca="false">IF(OR($A39="",AG$4=""),"",IF(NOT(OR(AG$6="Toda la plantilla",ISNUMBER(SEARCH(";"&amp;SUBSTITUTE($C39," ","")&amp;";",";"&amp;SUBSTITUTE(AG$7," ","")&amp;";")))),"—",IF(_xlfn.MAXIFS(Acuses!$C$5:$C$3004,Acuses!$A$5:$A$3004,$A39,Acuses!$B$5:$B$3004,AG$4)&lt;AG$5,"Pendiente",IF(AG$8=0,"OK",IF(EDATE(_xlfn.MAXIFS(Acuses!$D$5:$D$3004,Acuses!$A$5:$A$3004,$A39,Acuses!$B$5:$B$3004,AG$4,Acuses!$C$5:$C$3004,AG$5),AG$8)&lt;Resumen!$C$4,"Caducado",IF(EDATE(_xlfn.MAXIFS(Acuses!$D$5:$D$3004,Acuses!$A$5:$A$3004,$A39,Acuses!$B$5:$B$3004,AG$4,Acuses!$C$5:$C$3004,AG$5),AG$8)&lt;Resumen!$C$4+30,"Caduca pronto","OK"))))))</f>
        <v/>
      </c>
      <c r="AH39" s="26" t="str">
        <f aca="false">IF(OR($A39="",AH$4=""),"",IF(NOT(OR(AH$6="Toda la plantilla",ISNUMBER(SEARCH(";"&amp;SUBSTITUTE($C39," ","")&amp;";",";"&amp;SUBSTITUTE(AH$7," ","")&amp;";")))),"—",IF(_xlfn.MAXIFS(Acuses!$C$5:$C$3004,Acuses!$A$5:$A$3004,$A39,Acuses!$B$5:$B$3004,AH$4)&lt;AH$5,"Pendiente",IF(AH$8=0,"OK",IF(EDATE(_xlfn.MAXIFS(Acuses!$D$5:$D$3004,Acuses!$A$5:$A$3004,$A39,Acuses!$B$5:$B$3004,AH$4,Acuses!$C$5:$C$3004,AH$5),AH$8)&lt;Resumen!$C$4,"Caducado",IF(EDATE(_xlfn.MAXIFS(Acuses!$D$5:$D$3004,Acuses!$A$5:$A$3004,$A39,Acuses!$B$5:$B$3004,AH$4,Acuses!$C$5:$C$3004,AH$5),AH$8)&lt;Resumen!$C$4+30,"Caduca pronto","OK"))))))</f>
        <v/>
      </c>
      <c r="AI39" s="26" t="str">
        <f aca="false">IF(OR($A39="",AI$4=""),"",IF(NOT(OR(AI$6="Toda la plantilla",ISNUMBER(SEARCH(";"&amp;SUBSTITUTE($C39," ","")&amp;";",";"&amp;SUBSTITUTE(AI$7," ","")&amp;";")))),"—",IF(_xlfn.MAXIFS(Acuses!$C$5:$C$3004,Acuses!$A$5:$A$3004,$A39,Acuses!$B$5:$B$3004,AI$4)&lt;AI$5,"Pendiente",IF(AI$8=0,"OK",IF(EDATE(_xlfn.MAXIFS(Acuses!$D$5:$D$3004,Acuses!$A$5:$A$3004,$A39,Acuses!$B$5:$B$3004,AI$4,Acuses!$C$5:$C$3004,AI$5),AI$8)&lt;Resumen!$C$4,"Caducado",IF(EDATE(_xlfn.MAXIFS(Acuses!$D$5:$D$3004,Acuses!$A$5:$A$3004,$A39,Acuses!$B$5:$B$3004,AI$4,Acuses!$C$5:$C$3004,AI$5),AI$8)&lt;Resumen!$C$4+30,"Caduca pronto","OK"))))))</f>
        <v/>
      </c>
      <c r="AJ39" s="26" t="str">
        <f aca="false">IF(OR($A39="",AJ$4=""),"",IF(NOT(OR(AJ$6="Toda la plantilla",ISNUMBER(SEARCH(";"&amp;SUBSTITUTE($C39," ","")&amp;";",";"&amp;SUBSTITUTE(AJ$7," ","")&amp;";")))),"—",IF(_xlfn.MAXIFS(Acuses!$C$5:$C$3004,Acuses!$A$5:$A$3004,$A39,Acuses!$B$5:$B$3004,AJ$4)&lt;AJ$5,"Pendiente",IF(AJ$8=0,"OK",IF(EDATE(_xlfn.MAXIFS(Acuses!$D$5:$D$3004,Acuses!$A$5:$A$3004,$A39,Acuses!$B$5:$B$3004,AJ$4,Acuses!$C$5:$C$3004,AJ$5),AJ$8)&lt;Resumen!$C$4,"Caducado",IF(EDATE(_xlfn.MAXIFS(Acuses!$D$5:$D$3004,Acuses!$A$5:$A$3004,$A39,Acuses!$B$5:$B$3004,AJ$4,Acuses!$C$5:$C$3004,AJ$5),AJ$8)&lt;Resumen!$C$4+30,"Caduca pronto","OK"))))))</f>
        <v/>
      </c>
      <c r="AK39" s="26" t="str">
        <f aca="false">IF(OR($A39="",AK$4=""),"",IF(NOT(OR(AK$6="Toda la plantilla",ISNUMBER(SEARCH(";"&amp;SUBSTITUTE($C39," ","")&amp;";",";"&amp;SUBSTITUTE(AK$7," ","")&amp;";")))),"—",IF(_xlfn.MAXIFS(Acuses!$C$5:$C$3004,Acuses!$A$5:$A$3004,$A39,Acuses!$B$5:$B$3004,AK$4)&lt;AK$5,"Pendiente",IF(AK$8=0,"OK",IF(EDATE(_xlfn.MAXIFS(Acuses!$D$5:$D$3004,Acuses!$A$5:$A$3004,$A39,Acuses!$B$5:$B$3004,AK$4,Acuses!$C$5:$C$3004,AK$5),AK$8)&lt;Resumen!$C$4,"Caducado",IF(EDATE(_xlfn.MAXIFS(Acuses!$D$5:$D$3004,Acuses!$A$5:$A$3004,$A39,Acuses!$B$5:$B$3004,AK$4,Acuses!$C$5:$C$3004,AK$5),AK$8)&lt;Resumen!$C$4+30,"Caduca pronto","OK"))))))</f>
        <v/>
      </c>
      <c r="AL39" s="26" t="str">
        <f aca="false">IF(OR($A39="",AL$4=""),"",IF(NOT(OR(AL$6="Toda la plantilla",ISNUMBER(SEARCH(";"&amp;SUBSTITUTE($C39," ","")&amp;";",";"&amp;SUBSTITUTE(AL$7," ","")&amp;";")))),"—",IF(_xlfn.MAXIFS(Acuses!$C$5:$C$3004,Acuses!$A$5:$A$3004,$A39,Acuses!$B$5:$B$3004,AL$4)&lt;AL$5,"Pendiente",IF(AL$8=0,"OK",IF(EDATE(_xlfn.MAXIFS(Acuses!$D$5:$D$3004,Acuses!$A$5:$A$3004,$A39,Acuses!$B$5:$B$3004,AL$4,Acuses!$C$5:$C$3004,AL$5),AL$8)&lt;Resumen!$C$4,"Caducado",IF(EDATE(_xlfn.MAXIFS(Acuses!$D$5:$D$3004,Acuses!$A$5:$A$3004,$A39,Acuses!$B$5:$B$3004,AL$4,Acuses!$C$5:$C$3004,AL$5),AL$8)&lt;Resumen!$C$4+30,"Caduca pronto","OK"))))))</f>
        <v/>
      </c>
      <c r="AM39" s="26" t="str">
        <f aca="false">IF(OR($A39="",AM$4=""),"",IF(NOT(OR(AM$6="Toda la plantilla",ISNUMBER(SEARCH(";"&amp;SUBSTITUTE($C39," ","")&amp;";",";"&amp;SUBSTITUTE(AM$7," ","")&amp;";")))),"—",IF(_xlfn.MAXIFS(Acuses!$C$5:$C$3004,Acuses!$A$5:$A$3004,$A39,Acuses!$B$5:$B$3004,AM$4)&lt;AM$5,"Pendiente",IF(AM$8=0,"OK",IF(EDATE(_xlfn.MAXIFS(Acuses!$D$5:$D$3004,Acuses!$A$5:$A$3004,$A39,Acuses!$B$5:$B$3004,AM$4,Acuses!$C$5:$C$3004,AM$5),AM$8)&lt;Resumen!$C$4,"Caducado",IF(EDATE(_xlfn.MAXIFS(Acuses!$D$5:$D$3004,Acuses!$A$5:$A$3004,$A39,Acuses!$B$5:$B$3004,AM$4,Acuses!$C$5:$C$3004,AM$5),AM$8)&lt;Resumen!$C$4+30,"Caduca pronto","OK"))))))</f>
        <v/>
      </c>
      <c r="AN39" s="26" t="str">
        <f aca="false">IF(OR($A39="",AN$4=""),"",IF(NOT(OR(AN$6="Toda la plantilla",ISNUMBER(SEARCH(";"&amp;SUBSTITUTE($C39," ","")&amp;";",";"&amp;SUBSTITUTE(AN$7," ","")&amp;";")))),"—",IF(_xlfn.MAXIFS(Acuses!$C$5:$C$3004,Acuses!$A$5:$A$3004,$A39,Acuses!$B$5:$B$3004,AN$4)&lt;AN$5,"Pendiente",IF(AN$8=0,"OK",IF(EDATE(_xlfn.MAXIFS(Acuses!$D$5:$D$3004,Acuses!$A$5:$A$3004,$A39,Acuses!$B$5:$B$3004,AN$4,Acuses!$C$5:$C$3004,AN$5),AN$8)&lt;Resumen!$C$4,"Caducado",IF(EDATE(_xlfn.MAXIFS(Acuses!$D$5:$D$3004,Acuses!$A$5:$A$3004,$A39,Acuses!$B$5:$B$3004,AN$4,Acuses!$C$5:$C$3004,AN$5),AN$8)&lt;Resumen!$C$4+30,"Caduca pronto","OK"))))))</f>
        <v/>
      </c>
      <c r="AO39" s="26" t="str">
        <f aca="false">IF(OR($A39="",AO$4=""),"",IF(NOT(OR(AO$6="Toda la plantilla",ISNUMBER(SEARCH(";"&amp;SUBSTITUTE($C39," ","")&amp;";",";"&amp;SUBSTITUTE(AO$7," ","")&amp;";")))),"—",IF(_xlfn.MAXIFS(Acuses!$C$5:$C$3004,Acuses!$A$5:$A$3004,$A39,Acuses!$B$5:$B$3004,AO$4)&lt;AO$5,"Pendiente",IF(AO$8=0,"OK",IF(EDATE(_xlfn.MAXIFS(Acuses!$D$5:$D$3004,Acuses!$A$5:$A$3004,$A39,Acuses!$B$5:$B$3004,AO$4,Acuses!$C$5:$C$3004,AO$5),AO$8)&lt;Resumen!$C$4,"Caducado",IF(EDATE(_xlfn.MAXIFS(Acuses!$D$5:$D$3004,Acuses!$A$5:$A$3004,$A39,Acuses!$B$5:$B$3004,AO$4,Acuses!$C$5:$C$3004,AO$5),AO$8)&lt;Resumen!$C$4+30,"Caduca pronto","OK"))))))</f>
        <v/>
      </c>
      <c r="AP39" s="26" t="str">
        <f aca="false">IF(OR($A39="",AP$4=""),"",IF(NOT(OR(AP$6="Toda la plantilla",ISNUMBER(SEARCH(";"&amp;SUBSTITUTE($C39," ","")&amp;";",";"&amp;SUBSTITUTE(AP$7," ","")&amp;";")))),"—",IF(_xlfn.MAXIFS(Acuses!$C$5:$C$3004,Acuses!$A$5:$A$3004,$A39,Acuses!$B$5:$B$3004,AP$4)&lt;AP$5,"Pendiente",IF(AP$8=0,"OK",IF(EDATE(_xlfn.MAXIFS(Acuses!$D$5:$D$3004,Acuses!$A$5:$A$3004,$A39,Acuses!$B$5:$B$3004,AP$4,Acuses!$C$5:$C$3004,AP$5),AP$8)&lt;Resumen!$C$4,"Caducado",IF(EDATE(_xlfn.MAXIFS(Acuses!$D$5:$D$3004,Acuses!$A$5:$A$3004,$A39,Acuses!$B$5:$B$3004,AP$4,Acuses!$C$5:$C$3004,AP$5),AP$8)&lt;Resumen!$C$4+30,"Caduca pronto","OK"))))))</f>
        <v/>
      </c>
      <c r="AQ39" s="26" t="str">
        <f aca="false">IF(OR($A39="",AQ$4=""),"",IF(NOT(OR(AQ$6="Toda la plantilla",ISNUMBER(SEARCH(";"&amp;SUBSTITUTE($C39," ","")&amp;";",";"&amp;SUBSTITUTE(AQ$7," ","")&amp;";")))),"—",IF(_xlfn.MAXIFS(Acuses!$C$5:$C$3004,Acuses!$A$5:$A$3004,$A39,Acuses!$B$5:$B$3004,AQ$4)&lt;AQ$5,"Pendiente",IF(AQ$8=0,"OK",IF(EDATE(_xlfn.MAXIFS(Acuses!$D$5:$D$3004,Acuses!$A$5:$A$3004,$A39,Acuses!$B$5:$B$3004,AQ$4,Acuses!$C$5:$C$3004,AQ$5),AQ$8)&lt;Resumen!$C$4,"Caducado",IF(EDATE(_xlfn.MAXIFS(Acuses!$D$5:$D$3004,Acuses!$A$5:$A$3004,$A39,Acuses!$B$5:$B$3004,AQ$4,Acuses!$C$5:$C$3004,AQ$5),AQ$8)&lt;Resumen!$C$4+30,"Caduca pronto","OK"))))))</f>
        <v/>
      </c>
    </row>
    <row r="40" customFormat="false" ht="15" hidden="false" customHeight="false" outlineLevel="0" collapsed="false">
      <c r="A40" s="25" t="str">
        <f aca="false">IF(AND(Trabajadores!$A$35&lt;&gt;"",Trabajadores!$G$35&lt;&gt;"No"),Trabajadores!$A$35,"")</f>
        <v/>
      </c>
      <c r="B40" s="25" t="str">
        <f aca="false">IF($A40="","",Trabajadores!$B$35)</f>
        <v/>
      </c>
      <c r="C40" s="25" t="str">
        <f aca="false">IF($A40="","",Trabajadores!$C$35)</f>
        <v/>
      </c>
      <c r="D40" s="26" t="str">
        <f aca="false">IF(OR($A40="",D$4=""),"",IF(NOT(OR(D$6="Toda la plantilla",ISNUMBER(SEARCH(";"&amp;SUBSTITUTE($C40," ","")&amp;";",";"&amp;SUBSTITUTE(D$7," ","")&amp;";")))),"—",IF(_xlfn.MAXIFS(Acuses!$C$5:$C$3004,Acuses!$A$5:$A$3004,$A40,Acuses!$B$5:$B$3004,D$4)&lt;D$5,"Pendiente",IF(D$8=0,"OK",IF(EDATE(_xlfn.MAXIFS(Acuses!$D$5:$D$3004,Acuses!$A$5:$A$3004,$A40,Acuses!$B$5:$B$3004,D$4,Acuses!$C$5:$C$3004,D$5),D$8)&lt;Resumen!$C$4,"Caducado",IF(EDATE(_xlfn.MAXIFS(Acuses!$D$5:$D$3004,Acuses!$A$5:$A$3004,$A40,Acuses!$B$5:$B$3004,D$4,Acuses!$C$5:$C$3004,D$5),D$8)&lt;Resumen!$C$4+30,"Caduca pronto","OK"))))))</f>
        <v/>
      </c>
      <c r="E40" s="26" t="str">
        <f aca="false">IF(OR($A40="",E$4=""),"",IF(NOT(OR(E$6="Toda la plantilla",ISNUMBER(SEARCH(";"&amp;SUBSTITUTE($C40," ","")&amp;";",";"&amp;SUBSTITUTE(E$7," ","")&amp;";")))),"—",IF(_xlfn.MAXIFS(Acuses!$C$5:$C$3004,Acuses!$A$5:$A$3004,$A40,Acuses!$B$5:$B$3004,E$4)&lt;E$5,"Pendiente",IF(E$8=0,"OK",IF(EDATE(_xlfn.MAXIFS(Acuses!$D$5:$D$3004,Acuses!$A$5:$A$3004,$A40,Acuses!$B$5:$B$3004,E$4,Acuses!$C$5:$C$3004,E$5),E$8)&lt;Resumen!$C$4,"Caducado",IF(EDATE(_xlfn.MAXIFS(Acuses!$D$5:$D$3004,Acuses!$A$5:$A$3004,$A40,Acuses!$B$5:$B$3004,E$4,Acuses!$C$5:$C$3004,E$5),E$8)&lt;Resumen!$C$4+30,"Caduca pronto","OK"))))))</f>
        <v/>
      </c>
      <c r="F40" s="26" t="str">
        <f aca="false">IF(OR($A40="",F$4=""),"",IF(NOT(OR(F$6="Toda la plantilla",ISNUMBER(SEARCH(";"&amp;SUBSTITUTE($C40," ","")&amp;";",";"&amp;SUBSTITUTE(F$7," ","")&amp;";")))),"—",IF(_xlfn.MAXIFS(Acuses!$C$5:$C$3004,Acuses!$A$5:$A$3004,$A40,Acuses!$B$5:$B$3004,F$4)&lt;F$5,"Pendiente",IF(F$8=0,"OK",IF(EDATE(_xlfn.MAXIFS(Acuses!$D$5:$D$3004,Acuses!$A$5:$A$3004,$A40,Acuses!$B$5:$B$3004,F$4,Acuses!$C$5:$C$3004,F$5),F$8)&lt;Resumen!$C$4,"Caducado",IF(EDATE(_xlfn.MAXIFS(Acuses!$D$5:$D$3004,Acuses!$A$5:$A$3004,$A40,Acuses!$B$5:$B$3004,F$4,Acuses!$C$5:$C$3004,F$5),F$8)&lt;Resumen!$C$4+30,"Caduca pronto","OK"))))))</f>
        <v/>
      </c>
      <c r="G40" s="26" t="str">
        <f aca="false">IF(OR($A40="",G$4=""),"",IF(NOT(OR(G$6="Toda la plantilla",ISNUMBER(SEARCH(";"&amp;SUBSTITUTE($C40," ","")&amp;";",";"&amp;SUBSTITUTE(G$7," ","")&amp;";")))),"—",IF(_xlfn.MAXIFS(Acuses!$C$5:$C$3004,Acuses!$A$5:$A$3004,$A40,Acuses!$B$5:$B$3004,G$4)&lt;G$5,"Pendiente",IF(G$8=0,"OK",IF(EDATE(_xlfn.MAXIFS(Acuses!$D$5:$D$3004,Acuses!$A$5:$A$3004,$A40,Acuses!$B$5:$B$3004,G$4,Acuses!$C$5:$C$3004,G$5),G$8)&lt;Resumen!$C$4,"Caducado",IF(EDATE(_xlfn.MAXIFS(Acuses!$D$5:$D$3004,Acuses!$A$5:$A$3004,$A40,Acuses!$B$5:$B$3004,G$4,Acuses!$C$5:$C$3004,G$5),G$8)&lt;Resumen!$C$4+30,"Caduca pronto","OK"))))))</f>
        <v/>
      </c>
      <c r="H40" s="26" t="str">
        <f aca="false">IF(OR($A40="",H$4=""),"",IF(NOT(OR(H$6="Toda la plantilla",ISNUMBER(SEARCH(";"&amp;SUBSTITUTE($C40," ","")&amp;";",";"&amp;SUBSTITUTE(H$7," ","")&amp;";")))),"—",IF(_xlfn.MAXIFS(Acuses!$C$5:$C$3004,Acuses!$A$5:$A$3004,$A40,Acuses!$B$5:$B$3004,H$4)&lt;H$5,"Pendiente",IF(H$8=0,"OK",IF(EDATE(_xlfn.MAXIFS(Acuses!$D$5:$D$3004,Acuses!$A$5:$A$3004,$A40,Acuses!$B$5:$B$3004,H$4,Acuses!$C$5:$C$3004,H$5),H$8)&lt;Resumen!$C$4,"Caducado",IF(EDATE(_xlfn.MAXIFS(Acuses!$D$5:$D$3004,Acuses!$A$5:$A$3004,$A40,Acuses!$B$5:$B$3004,H$4,Acuses!$C$5:$C$3004,H$5),H$8)&lt;Resumen!$C$4+30,"Caduca pronto","OK"))))))</f>
        <v/>
      </c>
      <c r="I40" s="26" t="str">
        <f aca="false">IF(OR($A40="",I$4=""),"",IF(NOT(OR(I$6="Toda la plantilla",ISNUMBER(SEARCH(";"&amp;SUBSTITUTE($C40," ","")&amp;";",";"&amp;SUBSTITUTE(I$7," ","")&amp;";")))),"—",IF(_xlfn.MAXIFS(Acuses!$C$5:$C$3004,Acuses!$A$5:$A$3004,$A40,Acuses!$B$5:$B$3004,I$4)&lt;I$5,"Pendiente",IF(I$8=0,"OK",IF(EDATE(_xlfn.MAXIFS(Acuses!$D$5:$D$3004,Acuses!$A$5:$A$3004,$A40,Acuses!$B$5:$B$3004,I$4,Acuses!$C$5:$C$3004,I$5),I$8)&lt;Resumen!$C$4,"Caducado",IF(EDATE(_xlfn.MAXIFS(Acuses!$D$5:$D$3004,Acuses!$A$5:$A$3004,$A40,Acuses!$B$5:$B$3004,I$4,Acuses!$C$5:$C$3004,I$5),I$8)&lt;Resumen!$C$4+30,"Caduca pronto","OK"))))))</f>
        <v/>
      </c>
      <c r="J40" s="26" t="str">
        <f aca="false">IF(OR($A40="",J$4=""),"",IF(NOT(OR(J$6="Toda la plantilla",ISNUMBER(SEARCH(";"&amp;SUBSTITUTE($C40," ","")&amp;";",";"&amp;SUBSTITUTE(J$7," ","")&amp;";")))),"—",IF(_xlfn.MAXIFS(Acuses!$C$5:$C$3004,Acuses!$A$5:$A$3004,$A40,Acuses!$B$5:$B$3004,J$4)&lt;J$5,"Pendiente",IF(J$8=0,"OK",IF(EDATE(_xlfn.MAXIFS(Acuses!$D$5:$D$3004,Acuses!$A$5:$A$3004,$A40,Acuses!$B$5:$B$3004,J$4,Acuses!$C$5:$C$3004,J$5),J$8)&lt;Resumen!$C$4,"Caducado",IF(EDATE(_xlfn.MAXIFS(Acuses!$D$5:$D$3004,Acuses!$A$5:$A$3004,$A40,Acuses!$B$5:$B$3004,J$4,Acuses!$C$5:$C$3004,J$5),J$8)&lt;Resumen!$C$4+30,"Caduca pronto","OK"))))))</f>
        <v/>
      </c>
      <c r="K40" s="26" t="str">
        <f aca="false">IF(OR($A40="",K$4=""),"",IF(NOT(OR(K$6="Toda la plantilla",ISNUMBER(SEARCH(";"&amp;SUBSTITUTE($C40," ","")&amp;";",";"&amp;SUBSTITUTE(K$7," ","")&amp;";")))),"—",IF(_xlfn.MAXIFS(Acuses!$C$5:$C$3004,Acuses!$A$5:$A$3004,$A40,Acuses!$B$5:$B$3004,K$4)&lt;K$5,"Pendiente",IF(K$8=0,"OK",IF(EDATE(_xlfn.MAXIFS(Acuses!$D$5:$D$3004,Acuses!$A$5:$A$3004,$A40,Acuses!$B$5:$B$3004,K$4,Acuses!$C$5:$C$3004,K$5),K$8)&lt;Resumen!$C$4,"Caducado",IF(EDATE(_xlfn.MAXIFS(Acuses!$D$5:$D$3004,Acuses!$A$5:$A$3004,$A40,Acuses!$B$5:$B$3004,K$4,Acuses!$C$5:$C$3004,K$5),K$8)&lt;Resumen!$C$4+30,"Caduca pronto","OK"))))))</f>
        <v/>
      </c>
      <c r="L40" s="26" t="str">
        <f aca="false">IF(OR($A40="",L$4=""),"",IF(NOT(OR(L$6="Toda la plantilla",ISNUMBER(SEARCH(";"&amp;SUBSTITUTE($C40," ","")&amp;";",";"&amp;SUBSTITUTE(L$7," ","")&amp;";")))),"—",IF(_xlfn.MAXIFS(Acuses!$C$5:$C$3004,Acuses!$A$5:$A$3004,$A40,Acuses!$B$5:$B$3004,L$4)&lt;L$5,"Pendiente",IF(L$8=0,"OK",IF(EDATE(_xlfn.MAXIFS(Acuses!$D$5:$D$3004,Acuses!$A$5:$A$3004,$A40,Acuses!$B$5:$B$3004,L$4,Acuses!$C$5:$C$3004,L$5),L$8)&lt;Resumen!$C$4,"Caducado",IF(EDATE(_xlfn.MAXIFS(Acuses!$D$5:$D$3004,Acuses!$A$5:$A$3004,$A40,Acuses!$B$5:$B$3004,L$4,Acuses!$C$5:$C$3004,L$5),L$8)&lt;Resumen!$C$4+30,"Caduca pronto","OK"))))))</f>
        <v/>
      </c>
      <c r="M40" s="26" t="str">
        <f aca="false">IF(OR($A40="",M$4=""),"",IF(NOT(OR(M$6="Toda la plantilla",ISNUMBER(SEARCH(";"&amp;SUBSTITUTE($C40," ","")&amp;";",";"&amp;SUBSTITUTE(M$7," ","")&amp;";")))),"—",IF(_xlfn.MAXIFS(Acuses!$C$5:$C$3004,Acuses!$A$5:$A$3004,$A40,Acuses!$B$5:$B$3004,M$4)&lt;M$5,"Pendiente",IF(M$8=0,"OK",IF(EDATE(_xlfn.MAXIFS(Acuses!$D$5:$D$3004,Acuses!$A$5:$A$3004,$A40,Acuses!$B$5:$B$3004,M$4,Acuses!$C$5:$C$3004,M$5),M$8)&lt;Resumen!$C$4,"Caducado",IF(EDATE(_xlfn.MAXIFS(Acuses!$D$5:$D$3004,Acuses!$A$5:$A$3004,$A40,Acuses!$B$5:$B$3004,M$4,Acuses!$C$5:$C$3004,M$5),M$8)&lt;Resumen!$C$4+30,"Caduca pronto","OK"))))))</f>
        <v/>
      </c>
      <c r="N40" s="26" t="str">
        <f aca="false">IF(OR($A40="",N$4=""),"",IF(NOT(OR(N$6="Toda la plantilla",ISNUMBER(SEARCH(";"&amp;SUBSTITUTE($C40," ","")&amp;";",";"&amp;SUBSTITUTE(N$7," ","")&amp;";")))),"—",IF(_xlfn.MAXIFS(Acuses!$C$5:$C$3004,Acuses!$A$5:$A$3004,$A40,Acuses!$B$5:$B$3004,N$4)&lt;N$5,"Pendiente",IF(N$8=0,"OK",IF(EDATE(_xlfn.MAXIFS(Acuses!$D$5:$D$3004,Acuses!$A$5:$A$3004,$A40,Acuses!$B$5:$B$3004,N$4,Acuses!$C$5:$C$3004,N$5),N$8)&lt;Resumen!$C$4,"Caducado",IF(EDATE(_xlfn.MAXIFS(Acuses!$D$5:$D$3004,Acuses!$A$5:$A$3004,$A40,Acuses!$B$5:$B$3004,N$4,Acuses!$C$5:$C$3004,N$5),N$8)&lt;Resumen!$C$4+30,"Caduca pronto","OK"))))))</f>
        <v/>
      </c>
      <c r="O40" s="26" t="str">
        <f aca="false">IF(OR($A40="",O$4=""),"",IF(NOT(OR(O$6="Toda la plantilla",ISNUMBER(SEARCH(";"&amp;SUBSTITUTE($C40," ","")&amp;";",";"&amp;SUBSTITUTE(O$7," ","")&amp;";")))),"—",IF(_xlfn.MAXIFS(Acuses!$C$5:$C$3004,Acuses!$A$5:$A$3004,$A40,Acuses!$B$5:$B$3004,O$4)&lt;O$5,"Pendiente",IF(O$8=0,"OK",IF(EDATE(_xlfn.MAXIFS(Acuses!$D$5:$D$3004,Acuses!$A$5:$A$3004,$A40,Acuses!$B$5:$B$3004,O$4,Acuses!$C$5:$C$3004,O$5),O$8)&lt;Resumen!$C$4,"Caducado",IF(EDATE(_xlfn.MAXIFS(Acuses!$D$5:$D$3004,Acuses!$A$5:$A$3004,$A40,Acuses!$B$5:$B$3004,O$4,Acuses!$C$5:$C$3004,O$5),O$8)&lt;Resumen!$C$4+30,"Caduca pronto","OK"))))))</f>
        <v/>
      </c>
      <c r="P40" s="26" t="str">
        <f aca="false">IF(OR($A40="",P$4=""),"",IF(NOT(OR(P$6="Toda la plantilla",ISNUMBER(SEARCH(";"&amp;SUBSTITUTE($C40," ","")&amp;";",";"&amp;SUBSTITUTE(P$7," ","")&amp;";")))),"—",IF(_xlfn.MAXIFS(Acuses!$C$5:$C$3004,Acuses!$A$5:$A$3004,$A40,Acuses!$B$5:$B$3004,P$4)&lt;P$5,"Pendiente",IF(P$8=0,"OK",IF(EDATE(_xlfn.MAXIFS(Acuses!$D$5:$D$3004,Acuses!$A$5:$A$3004,$A40,Acuses!$B$5:$B$3004,P$4,Acuses!$C$5:$C$3004,P$5),P$8)&lt;Resumen!$C$4,"Caducado",IF(EDATE(_xlfn.MAXIFS(Acuses!$D$5:$D$3004,Acuses!$A$5:$A$3004,$A40,Acuses!$B$5:$B$3004,P$4,Acuses!$C$5:$C$3004,P$5),P$8)&lt;Resumen!$C$4+30,"Caduca pronto","OK"))))))</f>
        <v/>
      </c>
      <c r="Q40" s="26" t="str">
        <f aca="false">IF(OR($A40="",Q$4=""),"",IF(NOT(OR(Q$6="Toda la plantilla",ISNUMBER(SEARCH(";"&amp;SUBSTITUTE($C40," ","")&amp;";",";"&amp;SUBSTITUTE(Q$7," ","")&amp;";")))),"—",IF(_xlfn.MAXIFS(Acuses!$C$5:$C$3004,Acuses!$A$5:$A$3004,$A40,Acuses!$B$5:$B$3004,Q$4)&lt;Q$5,"Pendiente",IF(Q$8=0,"OK",IF(EDATE(_xlfn.MAXIFS(Acuses!$D$5:$D$3004,Acuses!$A$5:$A$3004,$A40,Acuses!$B$5:$B$3004,Q$4,Acuses!$C$5:$C$3004,Q$5),Q$8)&lt;Resumen!$C$4,"Caducado",IF(EDATE(_xlfn.MAXIFS(Acuses!$D$5:$D$3004,Acuses!$A$5:$A$3004,$A40,Acuses!$B$5:$B$3004,Q$4,Acuses!$C$5:$C$3004,Q$5),Q$8)&lt;Resumen!$C$4+30,"Caduca pronto","OK"))))))</f>
        <v/>
      </c>
      <c r="R40" s="26" t="str">
        <f aca="false">IF(OR($A40="",R$4=""),"",IF(NOT(OR(R$6="Toda la plantilla",ISNUMBER(SEARCH(";"&amp;SUBSTITUTE($C40," ","")&amp;";",";"&amp;SUBSTITUTE(R$7," ","")&amp;";")))),"—",IF(_xlfn.MAXIFS(Acuses!$C$5:$C$3004,Acuses!$A$5:$A$3004,$A40,Acuses!$B$5:$B$3004,R$4)&lt;R$5,"Pendiente",IF(R$8=0,"OK",IF(EDATE(_xlfn.MAXIFS(Acuses!$D$5:$D$3004,Acuses!$A$5:$A$3004,$A40,Acuses!$B$5:$B$3004,R$4,Acuses!$C$5:$C$3004,R$5),R$8)&lt;Resumen!$C$4,"Caducado",IF(EDATE(_xlfn.MAXIFS(Acuses!$D$5:$D$3004,Acuses!$A$5:$A$3004,$A40,Acuses!$B$5:$B$3004,R$4,Acuses!$C$5:$C$3004,R$5),R$8)&lt;Resumen!$C$4+30,"Caduca pronto","OK"))))))</f>
        <v/>
      </c>
      <c r="S40" s="26" t="str">
        <f aca="false">IF(OR($A40="",S$4=""),"",IF(NOT(OR(S$6="Toda la plantilla",ISNUMBER(SEARCH(";"&amp;SUBSTITUTE($C40," ","")&amp;";",";"&amp;SUBSTITUTE(S$7," ","")&amp;";")))),"—",IF(_xlfn.MAXIFS(Acuses!$C$5:$C$3004,Acuses!$A$5:$A$3004,$A40,Acuses!$B$5:$B$3004,S$4)&lt;S$5,"Pendiente",IF(S$8=0,"OK",IF(EDATE(_xlfn.MAXIFS(Acuses!$D$5:$D$3004,Acuses!$A$5:$A$3004,$A40,Acuses!$B$5:$B$3004,S$4,Acuses!$C$5:$C$3004,S$5),S$8)&lt;Resumen!$C$4,"Caducado",IF(EDATE(_xlfn.MAXIFS(Acuses!$D$5:$D$3004,Acuses!$A$5:$A$3004,$A40,Acuses!$B$5:$B$3004,S$4,Acuses!$C$5:$C$3004,S$5),S$8)&lt;Resumen!$C$4+30,"Caduca pronto","OK"))))))</f>
        <v/>
      </c>
      <c r="T40" s="26" t="str">
        <f aca="false">IF(OR($A40="",T$4=""),"",IF(NOT(OR(T$6="Toda la plantilla",ISNUMBER(SEARCH(";"&amp;SUBSTITUTE($C40," ","")&amp;";",";"&amp;SUBSTITUTE(T$7," ","")&amp;";")))),"—",IF(_xlfn.MAXIFS(Acuses!$C$5:$C$3004,Acuses!$A$5:$A$3004,$A40,Acuses!$B$5:$B$3004,T$4)&lt;T$5,"Pendiente",IF(T$8=0,"OK",IF(EDATE(_xlfn.MAXIFS(Acuses!$D$5:$D$3004,Acuses!$A$5:$A$3004,$A40,Acuses!$B$5:$B$3004,T$4,Acuses!$C$5:$C$3004,T$5),T$8)&lt;Resumen!$C$4,"Caducado",IF(EDATE(_xlfn.MAXIFS(Acuses!$D$5:$D$3004,Acuses!$A$5:$A$3004,$A40,Acuses!$B$5:$B$3004,T$4,Acuses!$C$5:$C$3004,T$5),T$8)&lt;Resumen!$C$4+30,"Caduca pronto","OK"))))))</f>
        <v/>
      </c>
      <c r="U40" s="26" t="str">
        <f aca="false">IF(OR($A40="",U$4=""),"",IF(NOT(OR(U$6="Toda la plantilla",ISNUMBER(SEARCH(";"&amp;SUBSTITUTE($C40," ","")&amp;";",";"&amp;SUBSTITUTE(U$7," ","")&amp;";")))),"—",IF(_xlfn.MAXIFS(Acuses!$C$5:$C$3004,Acuses!$A$5:$A$3004,$A40,Acuses!$B$5:$B$3004,U$4)&lt;U$5,"Pendiente",IF(U$8=0,"OK",IF(EDATE(_xlfn.MAXIFS(Acuses!$D$5:$D$3004,Acuses!$A$5:$A$3004,$A40,Acuses!$B$5:$B$3004,U$4,Acuses!$C$5:$C$3004,U$5),U$8)&lt;Resumen!$C$4,"Caducado",IF(EDATE(_xlfn.MAXIFS(Acuses!$D$5:$D$3004,Acuses!$A$5:$A$3004,$A40,Acuses!$B$5:$B$3004,U$4,Acuses!$C$5:$C$3004,U$5),U$8)&lt;Resumen!$C$4+30,"Caduca pronto","OK"))))))</f>
        <v/>
      </c>
      <c r="V40" s="26" t="str">
        <f aca="false">IF(OR($A40="",V$4=""),"",IF(NOT(OR(V$6="Toda la plantilla",ISNUMBER(SEARCH(";"&amp;SUBSTITUTE($C40," ","")&amp;";",";"&amp;SUBSTITUTE(V$7," ","")&amp;";")))),"—",IF(_xlfn.MAXIFS(Acuses!$C$5:$C$3004,Acuses!$A$5:$A$3004,$A40,Acuses!$B$5:$B$3004,V$4)&lt;V$5,"Pendiente",IF(V$8=0,"OK",IF(EDATE(_xlfn.MAXIFS(Acuses!$D$5:$D$3004,Acuses!$A$5:$A$3004,$A40,Acuses!$B$5:$B$3004,V$4,Acuses!$C$5:$C$3004,V$5),V$8)&lt;Resumen!$C$4,"Caducado",IF(EDATE(_xlfn.MAXIFS(Acuses!$D$5:$D$3004,Acuses!$A$5:$A$3004,$A40,Acuses!$B$5:$B$3004,V$4,Acuses!$C$5:$C$3004,V$5),V$8)&lt;Resumen!$C$4+30,"Caduca pronto","OK"))))))</f>
        <v/>
      </c>
      <c r="W40" s="26" t="str">
        <f aca="false">IF(OR($A40="",W$4=""),"",IF(NOT(OR(W$6="Toda la plantilla",ISNUMBER(SEARCH(";"&amp;SUBSTITUTE($C40," ","")&amp;";",";"&amp;SUBSTITUTE(W$7," ","")&amp;";")))),"—",IF(_xlfn.MAXIFS(Acuses!$C$5:$C$3004,Acuses!$A$5:$A$3004,$A40,Acuses!$B$5:$B$3004,W$4)&lt;W$5,"Pendiente",IF(W$8=0,"OK",IF(EDATE(_xlfn.MAXIFS(Acuses!$D$5:$D$3004,Acuses!$A$5:$A$3004,$A40,Acuses!$B$5:$B$3004,W$4,Acuses!$C$5:$C$3004,W$5),W$8)&lt;Resumen!$C$4,"Caducado",IF(EDATE(_xlfn.MAXIFS(Acuses!$D$5:$D$3004,Acuses!$A$5:$A$3004,$A40,Acuses!$B$5:$B$3004,W$4,Acuses!$C$5:$C$3004,W$5),W$8)&lt;Resumen!$C$4+30,"Caduca pronto","OK"))))))</f>
        <v/>
      </c>
      <c r="X40" s="26" t="str">
        <f aca="false">IF(OR($A40="",X$4=""),"",IF(NOT(OR(X$6="Toda la plantilla",ISNUMBER(SEARCH(";"&amp;SUBSTITUTE($C40," ","")&amp;";",";"&amp;SUBSTITUTE(X$7," ","")&amp;";")))),"—",IF(_xlfn.MAXIFS(Acuses!$C$5:$C$3004,Acuses!$A$5:$A$3004,$A40,Acuses!$B$5:$B$3004,X$4)&lt;X$5,"Pendiente",IF(X$8=0,"OK",IF(EDATE(_xlfn.MAXIFS(Acuses!$D$5:$D$3004,Acuses!$A$5:$A$3004,$A40,Acuses!$B$5:$B$3004,X$4,Acuses!$C$5:$C$3004,X$5),X$8)&lt;Resumen!$C$4,"Caducado",IF(EDATE(_xlfn.MAXIFS(Acuses!$D$5:$D$3004,Acuses!$A$5:$A$3004,$A40,Acuses!$B$5:$B$3004,X$4,Acuses!$C$5:$C$3004,X$5),X$8)&lt;Resumen!$C$4+30,"Caduca pronto","OK"))))))</f>
        <v/>
      </c>
      <c r="Y40" s="26" t="str">
        <f aca="false">IF(OR($A40="",Y$4=""),"",IF(NOT(OR(Y$6="Toda la plantilla",ISNUMBER(SEARCH(";"&amp;SUBSTITUTE($C40," ","")&amp;";",";"&amp;SUBSTITUTE(Y$7," ","")&amp;";")))),"—",IF(_xlfn.MAXIFS(Acuses!$C$5:$C$3004,Acuses!$A$5:$A$3004,$A40,Acuses!$B$5:$B$3004,Y$4)&lt;Y$5,"Pendiente",IF(Y$8=0,"OK",IF(EDATE(_xlfn.MAXIFS(Acuses!$D$5:$D$3004,Acuses!$A$5:$A$3004,$A40,Acuses!$B$5:$B$3004,Y$4,Acuses!$C$5:$C$3004,Y$5),Y$8)&lt;Resumen!$C$4,"Caducado",IF(EDATE(_xlfn.MAXIFS(Acuses!$D$5:$D$3004,Acuses!$A$5:$A$3004,$A40,Acuses!$B$5:$B$3004,Y$4,Acuses!$C$5:$C$3004,Y$5),Y$8)&lt;Resumen!$C$4+30,"Caduca pronto","OK"))))))</f>
        <v/>
      </c>
      <c r="Z40" s="26" t="str">
        <f aca="false">IF(OR($A40="",Z$4=""),"",IF(NOT(OR(Z$6="Toda la plantilla",ISNUMBER(SEARCH(";"&amp;SUBSTITUTE($C40," ","")&amp;";",";"&amp;SUBSTITUTE(Z$7," ","")&amp;";")))),"—",IF(_xlfn.MAXIFS(Acuses!$C$5:$C$3004,Acuses!$A$5:$A$3004,$A40,Acuses!$B$5:$B$3004,Z$4)&lt;Z$5,"Pendiente",IF(Z$8=0,"OK",IF(EDATE(_xlfn.MAXIFS(Acuses!$D$5:$D$3004,Acuses!$A$5:$A$3004,$A40,Acuses!$B$5:$B$3004,Z$4,Acuses!$C$5:$C$3004,Z$5),Z$8)&lt;Resumen!$C$4,"Caducado",IF(EDATE(_xlfn.MAXIFS(Acuses!$D$5:$D$3004,Acuses!$A$5:$A$3004,$A40,Acuses!$B$5:$B$3004,Z$4,Acuses!$C$5:$C$3004,Z$5),Z$8)&lt;Resumen!$C$4+30,"Caduca pronto","OK"))))))</f>
        <v/>
      </c>
      <c r="AA40" s="26" t="str">
        <f aca="false">IF(OR($A40="",AA$4=""),"",IF(NOT(OR(AA$6="Toda la plantilla",ISNUMBER(SEARCH(";"&amp;SUBSTITUTE($C40," ","")&amp;";",";"&amp;SUBSTITUTE(AA$7," ","")&amp;";")))),"—",IF(_xlfn.MAXIFS(Acuses!$C$5:$C$3004,Acuses!$A$5:$A$3004,$A40,Acuses!$B$5:$B$3004,AA$4)&lt;AA$5,"Pendiente",IF(AA$8=0,"OK",IF(EDATE(_xlfn.MAXIFS(Acuses!$D$5:$D$3004,Acuses!$A$5:$A$3004,$A40,Acuses!$B$5:$B$3004,AA$4,Acuses!$C$5:$C$3004,AA$5),AA$8)&lt;Resumen!$C$4,"Caducado",IF(EDATE(_xlfn.MAXIFS(Acuses!$D$5:$D$3004,Acuses!$A$5:$A$3004,$A40,Acuses!$B$5:$B$3004,AA$4,Acuses!$C$5:$C$3004,AA$5),AA$8)&lt;Resumen!$C$4+30,"Caduca pronto","OK"))))))</f>
        <v/>
      </c>
      <c r="AB40" s="26" t="str">
        <f aca="false">IF(OR($A40="",AB$4=""),"",IF(NOT(OR(AB$6="Toda la plantilla",ISNUMBER(SEARCH(";"&amp;SUBSTITUTE($C40," ","")&amp;";",";"&amp;SUBSTITUTE(AB$7," ","")&amp;";")))),"—",IF(_xlfn.MAXIFS(Acuses!$C$5:$C$3004,Acuses!$A$5:$A$3004,$A40,Acuses!$B$5:$B$3004,AB$4)&lt;AB$5,"Pendiente",IF(AB$8=0,"OK",IF(EDATE(_xlfn.MAXIFS(Acuses!$D$5:$D$3004,Acuses!$A$5:$A$3004,$A40,Acuses!$B$5:$B$3004,AB$4,Acuses!$C$5:$C$3004,AB$5),AB$8)&lt;Resumen!$C$4,"Caducado",IF(EDATE(_xlfn.MAXIFS(Acuses!$D$5:$D$3004,Acuses!$A$5:$A$3004,$A40,Acuses!$B$5:$B$3004,AB$4,Acuses!$C$5:$C$3004,AB$5),AB$8)&lt;Resumen!$C$4+30,"Caduca pronto","OK"))))))</f>
        <v/>
      </c>
      <c r="AC40" s="26" t="str">
        <f aca="false">IF(OR($A40="",AC$4=""),"",IF(NOT(OR(AC$6="Toda la plantilla",ISNUMBER(SEARCH(";"&amp;SUBSTITUTE($C40," ","")&amp;";",";"&amp;SUBSTITUTE(AC$7," ","")&amp;";")))),"—",IF(_xlfn.MAXIFS(Acuses!$C$5:$C$3004,Acuses!$A$5:$A$3004,$A40,Acuses!$B$5:$B$3004,AC$4)&lt;AC$5,"Pendiente",IF(AC$8=0,"OK",IF(EDATE(_xlfn.MAXIFS(Acuses!$D$5:$D$3004,Acuses!$A$5:$A$3004,$A40,Acuses!$B$5:$B$3004,AC$4,Acuses!$C$5:$C$3004,AC$5),AC$8)&lt;Resumen!$C$4,"Caducado",IF(EDATE(_xlfn.MAXIFS(Acuses!$D$5:$D$3004,Acuses!$A$5:$A$3004,$A40,Acuses!$B$5:$B$3004,AC$4,Acuses!$C$5:$C$3004,AC$5),AC$8)&lt;Resumen!$C$4+30,"Caduca pronto","OK"))))))</f>
        <v/>
      </c>
      <c r="AD40" s="26" t="str">
        <f aca="false">IF(OR($A40="",AD$4=""),"",IF(NOT(OR(AD$6="Toda la plantilla",ISNUMBER(SEARCH(";"&amp;SUBSTITUTE($C40," ","")&amp;";",";"&amp;SUBSTITUTE(AD$7," ","")&amp;";")))),"—",IF(_xlfn.MAXIFS(Acuses!$C$5:$C$3004,Acuses!$A$5:$A$3004,$A40,Acuses!$B$5:$B$3004,AD$4)&lt;AD$5,"Pendiente",IF(AD$8=0,"OK",IF(EDATE(_xlfn.MAXIFS(Acuses!$D$5:$D$3004,Acuses!$A$5:$A$3004,$A40,Acuses!$B$5:$B$3004,AD$4,Acuses!$C$5:$C$3004,AD$5),AD$8)&lt;Resumen!$C$4,"Caducado",IF(EDATE(_xlfn.MAXIFS(Acuses!$D$5:$D$3004,Acuses!$A$5:$A$3004,$A40,Acuses!$B$5:$B$3004,AD$4,Acuses!$C$5:$C$3004,AD$5),AD$8)&lt;Resumen!$C$4+30,"Caduca pronto","OK"))))))</f>
        <v/>
      </c>
      <c r="AE40" s="26" t="str">
        <f aca="false">IF(OR($A40="",AE$4=""),"",IF(NOT(OR(AE$6="Toda la plantilla",ISNUMBER(SEARCH(";"&amp;SUBSTITUTE($C40," ","")&amp;";",";"&amp;SUBSTITUTE(AE$7," ","")&amp;";")))),"—",IF(_xlfn.MAXIFS(Acuses!$C$5:$C$3004,Acuses!$A$5:$A$3004,$A40,Acuses!$B$5:$B$3004,AE$4)&lt;AE$5,"Pendiente",IF(AE$8=0,"OK",IF(EDATE(_xlfn.MAXIFS(Acuses!$D$5:$D$3004,Acuses!$A$5:$A$3004,$A40,Acuses!$B$5:$B$3004,AE$4,Acuses!$C$5:$C$3004,AE$5),AE$8)&lt;Resumen!$C$4,"Caducado",IF(EDATE(_xlfn.MAXIFS(Acuses!$D$5:$D$3004,Acuses!$A$5:$A$3004,$A40,Acuses!$B$5:$B$3004,AE$4,Acuses!$C$5:$C$3004,AE$5),AE$8)&lt;Resumen!$C$4+30,"Caduca pronto","OK"))))))</f>
        <v/>
      </c>
      <c r="AF40" s="26" t="str">
        <f aca="false">IF(OR($A40="",AF$4=""),"",IF(NOT(OR(AF$6="Toda la plantilla",ISNUMBER(SEARCH(";"&amp;SUBSTITUTE($C40," ","")&amp;";",";"&amp;SUBSTITUTE(AF$7," ","")&amp;";")))),"—",IF(_xlfn.MAXIFS(Acuses!$C$5:$C$3004,Acuses!$A$5:$A$3004,$A40,Acuses!$B$5:$B$3004,AF$4)&lt;AF$5,"Pendiente",IF(AF$8=0,"OK",IF(EDATE(_xlfn.MAXIFS(Acuses!$D$5:$D$3004,Acuses!$A$5:$A$3004,$A40,Acuses!$B$5:$B$3004,AF$4,Acuses!$C$5:$C$3004,AF$5),AF$8)&lt;Resumen!$C$4,"Caducado",IF(EDATE(_xlfn.MAXIFS(Acuses!$D$5:$D$3004,Acuses!$A$5:$A$3004,$A40,Acuses!$B$5:$B$3004,AF$4,Acuses!$C$5:$C$3004,AF$5),AF$8)&lt;Resumen!$C$4+30,"Caduca pronto","OK"))))))</f>
        <v/>
      </c>
      <c r="AG40" s="26" t="str">
        <f aca="false">IF(OR($A40="",AG$4=""),"",IF(NOT(OR(AG$6="Toda la plantilla",ISNUMBER(SEARCH(";"&amp;SUBSTITUTE($C40," ","")&amp;";",";"&amp;SUBSTITUTE(AG$7," ","")&amp;";")))),"—",IF(_xlfn.MAXIFS(Acuses!$C$5:$C$3004,Acuses!$A$5:$A$3004,$A40,Acuses!$B$5:$B$3004,AG$4)&lt;AG$5,"Pendiente",IF(AG$8=0,"OK",IF(EDATE(_xlfn.MAXIFS(Acuses!$D$5:$D$3004,Acuses!$A$5:$A$3004,$A40,Acuses!$B$5:$B$3004,AG$4,Acuses!$C$5:$C$3004,AG$5),AG$8)&lt;Resumen!$C$4,"Caducado",IF(EDATE(_xlfn.MAXIFS(Acuses!$D$5:$D$3004,Acuses!$A$5:$A$3004,$A40,Acuses!$B$5:$B$3004,AG$4,Acuses!$C$5:$C$3004,AG$5),AG$8)&lt;Resumen!$C$4+30,"Caduca pronto","OK"))))))</f>
        <v/>
      </c>
      <c r="AH40" s="26" t="str">
        <f aca="false">IF(OR($A40="",AH$4=""),"",IF(NOT(OR(AH$6="Toda la plantilla",ISNUMBER(SEARCH(";"&amp;SUBSTITUTE($C40," ","")&amp;";",";"&amp;SUBSTITUTE(AH$7," ","")&amp;";")))),"—",IF(_xlfn.MAXIFS(Acuses!$C$5:$C$3004,Acuses!$A$5:$A$3004,$A40,Acuses!$B$5:$B$3004,AH$4)&lt;AH$5,"Pendiente",IF(AH$8=0,"OK",IF(EDATE(_xlfn.MAXIFS(Acuses!$D$5:$D$3004,Acuses!$A$5:$A$3004,$A40,Acuses!$B$5:$B$3004,AH$4,Acuses!$C$5:$C$3004,AH$5),AH$8)&lt;Resumen!$C$4,"Caducado",IF(EDATE(_xlfn.MAXIFS(Acuses!$D$5:$D$3004,Acuses!$A$5:$A$3004,$A40,Acuses!$B$5:$B$3004,AH$4,Acuses!$C$5:$C$3004,AH$5),AH$8)&lt;Resumen!$C$4+30,"Caduca pronto","OK"))))))</f>
        <v/>
      </c>
      <c r="AI40" s="26" t="str">
        <f aca="false">IF(OR($A40="",AI$4=""),"",IF(NOT(OR(AI$6="Toda la plantilla",ISNUMBER(SEARCH(";"&amp;SUBSTITUTE($C40," ","")&amp;";",";"&amp;SUBSTITUTE(AI$7," ","")&amp;";")))),"—",IF(_xlfn.MAXIFS(Acuses!$C$5:$C$3004,Acuses!$A$5:$A$3004,$A40,Acuses!$B$5:$B$3004,AI$4)&lt;AI$5,"Pendiente",IF(AI$8=0,"OK",IF(EDATE(_xlfn.MAXIFS(Acuses!$D$5:$D$3004,Acuses!$A$5:$A$3004,$A40,Acuses!$B$5:$B$3004,AI$4,Acuses!$C$5:$C$3004,AI$5),AI$8)&lt;Resumen!$C$4,"Caducado",IF(EDATE(_xlfn.MAXIFS(Acuses!$D$5:$D$3004,Acuses!$A$5:$A$3004,$A40,Acuses!$B$5:$B$3004,AI$4,Acuses!$C$5:$C$3004,AI$5),AI$8)&lt;Resumen!$C$4+30,"Caduca pronto","OK"))))))</f>
        <v/>
      </c>
      <c r="AJ40" s="26" t="str">
        <f aca="false">IF(OR($A40="",AJ$4=""),"",IF(NOT(OR(AJ$6="Toda la plantilla",ISNUMBER(SEARCH(";"&amp;SUBSTITUTE($C40," ","")&amp;";",";"&amp;SUBSTITUTE(AJ$7," ","")&amp;";")))),"—",IF(_xlfn.MAXIFS(Acuses!$C$5:$C$3004,Acuses!$A$5:$A$3004,$A40,Acuses!$B$5:$B$3004,AJ$4)&lt;AJ$5,"Pendiente",IF(AJ$8=0,"OK",IF(EDATE(_xlfn.MAXIFS(Acuses!$D$5:$D$3004,Acuses!$A$5:$A$3004,$A40,Acuses!$B$5:$B$3004,AJ$4,Acuses!$C$5:$C$3004,AJ$5),AJ$8)&lt;Resumen!$C$4,"Caducado",IF(EDATE(_xlfn.MAXIFS(Acuses!$D$5:$D$3004,Acuses!$A$5:$A$3004,$A40,Acuses!$B$5:$B$3004,AJ$4,Acuses!$C$5:$C$3004,AJ$5),AJ$8)&lt;Resumen!$C$4+30,"Caduca pronto","OK"))))))</f>
        <v/>
      </c>
      <c r="AK40" s="26" t="str">
        <f aca="false">IF(OR($A40="",AK$4=""),"",IF(NOT(OR(AK$6="Toda la plantilla",ISNUMBER(SEARCH(";"&amp;SUBSTITUTE($C40," ","")&amp;";",";"&amp;SUBSTITUTE(AK$7," ","")&amp;";")))),"—",IF(_xlfn.MAXIFS(Acuses!$C$5:$C$3004,Acuses!$A$5:$A$3004,$A40,Acuses!$B$5:$B$3004,AK$4)&lt;AK$5,"Pendiente",IF(AK$8=0,"OK",IF(EDATE(_xlfn.MAXIFS(Acuses!$D$5:$D$3004,Acuses!$A$5:$A$3004,$A40,Acuses!$B$5:$B$3004,AK$4,Acuses!$C$5:$C$3004,AK$5),AK$8)&lt;Resumen!$C$4,"Caducado",IF(EDATE(_xlfn.MAXIFS(Acuses!$D$5:$D$3004,Acuses!$A$5:$A$3004,$A40,Acuses!$B$5:$B$3004,AK$4,Acuses!$C$5:$C$3004,AK$5),AK$8)&lt;Resumen!$C$4+30,"Caduca pronto","OK"))))))</f>
        <v/>
      </c>
      <c r="AL40" s="26" t="str">
        <f aca="false">IF(OR($A40="",AL$4=""),"",IF(NOT(OR(AL$6="Toda la plantilla",ISNUMBER(SEARCH(";"&amp;SUBSTITUTE($C40," ","")&amp;";",";"&amp;SUBSTITUTE(AL$7," ","")&amp;";")))),"—",IF(_xlfn.MAXIFS(Acuses!$C$5:$C$3004,Acuses!$A$5:$A$3004,$A40,Acuses!$B$5:$B$3004,AL$4)&lt;AL$5,"Pendiente",IF(AL$8=0,"OK",IF(EDATE(_xlfn.MAXIFS(Acuses!$D$5:$D$3004,Acuses!$A$5:$A$3004,$A40,Acuses!$B$5:$B$3004,AL$4,Acuses!$C$5:$C$3004,AL$5),AL$8)&lt;Resumen!$C$4,"Caducado",IF(EDATE(_xlfn.MAXIFS(Acuses!$D$5:$D$3004,Acuses!$A$5:$A$3004,$A40,Acuses!$B$5:$B$3004,AL$4,Acuses!$C$5:$C$3004,AL$5),AL$8)&lt;Resumen!$C$4+30,"Caduca pronto","OK"))))))</f>
        <v/>
      </c>
      <c r="AM40" s="26" t="str">
        <f aca="false">IF(OR($A40="",AM$4=""),"",IF(NOT(OR(AM$6="Toda la plantilla",ISNUMBER(SEARCH(";"&amp;SUBSTITUTE($C40," ","")&amp;";",";"&amp;SUBSTITUTE(AM$7," ","")&amp;";")))),"—",IF(_xlfn.MAXIFS(Acuses!$C$5:$C$3004,Acuses!$A$5:$A$3004,$A40,Acuses!$B$5:$B$3004,AM$4)&lt;AM$5,"Pendiente",IF(AM$8=0,"OK",IF(EDATE(_xlfn.MAXIFS(Acuses!$D$5:$D$3004,Acuses!$A$5:$A$3004,$A40,Acuses!$B$5:$B$3004,AM$4,Acuses!$C$5:$C$3004,AM$5),AM$8)&lt;Resumen!$C$4,"Caducado",IF(EDATE(_xlfn.MAXIFS(Acuses!$D$5:$D$3004,Acuses!$A$5:$A$3004,$A40,Acuses!$B$5:$B$3004,AM$4,Acuses!$C$5:$C$3004,AM$5),AM$8)&lt;Resumen!$C$4+30,"Caduca pronto","OK"))))))</f>
        <v/>
      </c>
      <c r="AN40" s="26" t="str">
        <f aca="false">IF(OR($A40="",AN$4=""),"",IF(NOT(OR(AN$6="Toda la plantilla",ISNUMBER(SEARCH(";"&amp;SUBSTITUTE($C40," ","")&amp;";",";"&amp;SUBSTITUTE(AN$7," ","")&amp;";")))),"—",IF(_xlfn.MAXIFS(Acuses!$C$5:$C$3004,Acuses!$A$5:$A$3004,$A40,Acuses!$B$5:$B$3004,AN$4)&lt;AN$5,"Pendiente",IF(AN$8=0,"OK",IF(EDATE(_xlfn.MAXIFS(Acuses!$D$5:$D$3004,Acuses!$A$5:$A$3004,$A40,Acuses!$B$5:$B$3004,AN$4,Acuses!$C$5:$C$3004,AN$5),AN$8)&lt;Resumen!$C$4,"Caducado",IF(EDATE(_xlfn.MAXIFS(Acuses!$D$5:$D$3004,Acuses!$A$5:$A$3004,$A40,Acuses!$B$5:$B$3004,AN$4,Acuses!$C$5:$C$3004,AN$5),AN$8)&lt;Resumen!$C$4+30,"Caduca pronto","OK"))))))</f>
        <v/>
      </c>
      <c r="AO40" s="26" t="str">
        <f aca="false">IF(OR($A40="",AO$4=""),"",IF(NOT(OR(AO$6="Toda la plantilla",ISNUMBER(SEARCH(";"&amp;SUBSTITUTE($C40," ","")&amp;";",";"&amp;SUBSTITUTE(AO$7," ","")&amp;";")))),"—",IF(_xlfn.MAXIFS(Acuses!$C$5:$C$3004,Acuses!$A$5:$A$3004,$A40,Acuses!$B$5:$B$3004,AO$4)&lt;AO$5,"Pendiente",IF(AO$8=0,"OK",IF(EDATE(_xlfn.MAXIFS(Acuses!$D$5:$D$3004,Acuses!$A$5:$A$3004,$A40,Acuses!$B$5:$B$3004,AO$4,Acuses!$C$5:$C$3004,AO$5),AO$8)&lt;Resumen!$C$4,"Caducado",IF(EDATE(_xlfn.MAXIFS(Acuses!$D$5:$D$3004,Acuses!$A$5:$A$3004,$A40,Acuses!$B$5:$B$3004,AO$4,Acuses!$C$5:$C$3004,AO$5),AO$8)&lt;Resumen!$C$4+30,"Caduca pronto","OK"))))))</f>
        <v/>
      </c>
      <c r="AP40" s="26" t="str">
        <f aca="false">IF(OR($A40="",AP$4=""),"",IF(NOT(OR(AP$6="Toda la plantilla",ISNUMBER(SEARCH(";"&amp;SUBSTITUTE($C40," ","")&amp;";",";"&amp;SUBSTITUTE(AP$7," ","")&amp;";")))),"—",IF(_xlfn.MAXIFS(Acuses!$C$5:$C$3004,Acuses!$A$5:$A$3004,$A40,Acuses!$B$5:$B$3004,AP$4)&lt;AP$5,"Pendiente",IF(AP$8=0,"OK",IF(EDATE(_xlfn.MAXIFS(Acuses!$D$5:$D$3004,Acuses!$A$5:$A$3004,$A40,Acuses!$B$5:$B$3004,AP$4,Acuses!$C$5:$C$3004,AP$5),AP$8)&lt;Resumen!$C$4,"Caducado",IF(EDATE(_xlfn.MAXIFS(Acuses!$D$5:$D$3004,Acuses!$A$5:$A$3004,$A40,Acuses!$B$5:$B$3004,AP$4,Acuses!$C$5:$C$3004,AP$5),AP$8)&lt;Resumen!$C$4+30,"Caduca pronto","OK"))))))</f>
        <v/>
      </c>
      <c r="AQ40" s="26" t="str">
        <f aca="false">IF(OR($A40="",AQ$4=""),"",IF(NOT(OR(AQ$6="Toda la plantilla",ISNUMBER(SEARCH(";"&amp;SUBSTITUTE($C40," ","")&amp;";",";"&amp;SUBSTITUTE(AQ$7," ","")&amp;";")))),"—",IF(_xlfn.MAXIFS(Acuses!$C$5:$C$3004,Acuses!$A$5:$A$3004,$A40,Acuses!$B$5:$B$3004,AQ$4)&lt;AQ$5,"Pendiente",IF(AQ$8=0,"OK",IF(EDATE(_xlfn.MAXIFS(Acuses!$D$5:$D$3004,Acuses!$A$5:$A$3004,$A40,Acuses!$B$5:$B$3004,AQ$4,Acuses!$C$5:$C$3004,AQ$5),AQ$8)&lt;Resumen!$C$4,"Caducado",IF(EDATE(_xlfn.MAXIFS(Acuses!$D$5:$D$3004,Acuses!$A$5:$A$3004,$A40,Acuses!$B$5:$B$3004,AQ$4,Acuses!$C$5:$C$3004,AQ$5),AQ$8)&lt;Resumen!$C$4+30,"Caduca pronto","OK"))))))</f>
        <v/>
      </c>
    </row>
    <row r="41" customFormat="false" ht="15" hidden="false" customHeight="false" outlineLevel="0" collapsed="false">
      <c r="A41" s="25" t="str">
        <f aca="false">IF(AND(Trabajadores!$A$36&lt;&gt;"",Trabajadores!$G$36&lt;&gt;"No"),Trabajadores!$A$36,"")</f>
        <v/>
      </c>
      <c r="B41" s="25" t="str">
        <f aca="false">IF($A41="","",Trabajadores!$B$36)</f>
        <v/>
      </c>
      <c r="C41" s="25" t="str">
        <f aca="false">IF($A41="","",Trabajadores!$C$36)</f>
        <v/>
      </c>
      <c r="D41" s="26" t="str">
        <f aca="false">IF(OR($A41="",D$4=""),"",IF(NOT(OR(D$6="Toda la plantilla",ISNUMBER(SEARCH(";"&amp;SUBSTITUTE($C41," ","")&amp;";",";"&amp;SUBSTITUTE(D$7," ","")&amp;";")))),"—",IF(_xlfn.MAXIFS(Acuses!$C$5:$C$3004,Acuses!$A$5:$A$3004,$A41,Acuses!$B$5:$B$3004,D$4)&lt;D$5,"Pendiente",IF(D$8=0,"OK",IF(EDATE(_xlfn.MAXIFS(Acuses!$D$5:$D$3004,Acuses!$A$5:$A$3004,$A41,Acuses!$B$5:$B$3004,D$4,Acuses!$C$5:$C$3004,D$5),D$8)&lt;Resumen!$C$4,"Caducado",IF(EDATE(_xlfn.MAXIFS(Acuses!$D$5:$D$3004,Acuses!$A$5:$A$3004,$A41,Acuses!$B$5:$B$3004,D$4,Acuses!$C$5:$C$3004,D$5),D$8)&lt;Resumen!$C$4+30,"Caduca pronto","OK"))))))</f>
        <v/>
      </c>
      <c r="E41" s="26" t="str">
        <f aca="false">IF(OR($A41="",E$4=""),"",IF(NOT(OR(E$6="Toda la plantilla",ISNUMBER(SEARCH(";"&amp;SUBSTITUTE($C41," ","")&amp;";",";"&amp;SUBSTITUTE(E$7," ","")&amp;";")))),"—",IF(_xlfn.MAXIFS(Acuses!$C$5:$C$3004,Acuses!$A$5:$A$3004,$A41,Acuses!$B$5:$B$3004,E$4)&lt;E$5,"Pendiente",IF(E$8=0,"OK",IF(EDATE(_xlfn.MAXIFS(Acuses!$D$5:$D$3004,Acuses!$A$5:$A$3004,$A41,Acuses!$B$5:$B$3004,E$4,Acuses!$C$5:$C$3004,E$5),E$8)&lt;Resumen!$C$4,"Caducado",IF(EDATE(_xlfn.MAXIFS(Acuses!$D$5:$D$3004,Acuses!$A$5:$A$3004,$A41,Acuses!$B$5:$B$3004,E$4,Acuses!$C$5:$C$3004,E$5),E$8)&lt;Resumen!$C$4+30,"Caduca pronto","OK"))))))</f>
        <v/>
      </c>
      <c r="F41" s="26" t="str">
        <f aca="false">IF(OR($A41="",F$4=""),"",IF(NOT(OR(F$6="Toda la plantilla",ISNUMBER(SEARCH(";"&amp;SUBSTITUTE($C41," ","")&amp;";",";"&amp;SUBSTITUTE(F$7," ","")&amp;";")))),"—",IF(_xlfn.MAXIFS(Acuses!$C$5:$C$3004,Acuses!$A$5:$A$3004,$A41,Acuses!$B$5:$B$3004,F$4)&lt;F$5,"Pendiente",IF(F$8=0,"OK",IF(EDATE(_xlfn.MAXIFS(Acuses!$D$5:$D$3004,Acuses!$A$5:$A$3004,$A41,Acuses!$B$5:$B$3004,F$4,Acuses!$C$5:$C$3004,F$5),F$8)&lt;Resumen!$C$4,"Caducado",IF(EDATE(_xlfn.MAXIFS(Acuses!$D$5:$D$3004,Acuses!$A$5:$A$3004,$A41,Acuses!$B$5:$B$3004,F$4,Acuses!$C$5:$C$3004,F$5),F$8)&lt;Resumen!$C$4+30,"Caduca pronto","OK"))))))</f>
        <v/>
      </c>
      <c r="G41" s="26" t="str">
        <f aca="false">IF(OR($A41="",G$4=""),"",IF(NOT(OR(G$6="Toda la plantilla",ISNUMBER(SEARCH(";"&amp;SUBSTITUTE($C41," ","")&amp;";",";"&amp;SUBSTITUTE(G$7," ","")&amp;";")))),"—",IF(_xlfn.MAXIFS(Acuses!$C$5:$C$3004,Acuses!$A$5:$A$3004,$A41,Acuses!$B$5:$B$3004,G$4)&lt;G$5,"Pendiente",IF(G$8=0,"OK",IF(EDATE(_xlfn.MAXIFS(Acuses!$D$5:$D$3004,Acuses!$A$5:$A$3004,$A41,Acuses!$B$5:$B$3004,G$4,Acuses!$C$5:$C$3004,G$5),G$8)&lt;Resumen!$C$4,"Caducado",IF(EDATE(_xlfn.MAXIFS(Acuses!$D$5:$D$3004,Acuses!$A$5:$A$3004,$A41,Acuses!$B$5:$B$3004,G$4,Acuses!$C$5:$C$3004,G$5),G$8)&lt;Resumen!$C$4+30,"Caduca pronto","OK"))))))</f>
        <v/>
      </c>
      <c r="H41" s="26" t="str">
        <f aca="false">IF(OR($A41="",H$4=""),"",IF(NOT(OR(H$6="Toda la plantilla",ISNUMBER(SEARCH(";"&amp;SUBSTITUTE($C41," ","")&amp;";",";"&amp;SUBSTITUTE(H$7," ","")&amp;";")))),"—",IF(_xlfn.MAXIFS(Acuses!$C$5:$C$3004,Acuses!$A$5:$A$3004,$A41,Acuses!$B$5:$B$3004,H$4)&lt;H$5,"Pendiente",IF(H$8=0,"OK",IF(EDATE(_xlfn.MAXIFS(Acuses!$D$5:$D$3004,Acuses!$A$5:$A$3004,$A41,Acuses!$B$5:$B$3004,H$4,Acuses!$C$5:$C$3004,H$5),H$8)&lt;Resumen!$C$4,"Caducado",IF(EDATE(_xlfn.MAXIFS(Acuses!$D$5:$D$3004,Acuses!$A$5:$A$3004,$A41,Acuses!$B$5:$B$3004,H$4,Acuses!$C$5:$C$3004,H$5),H$8)&lt;Resumen!$C$4+30,"Caduca pronto","OK"))))))</f>
        <v/>
      </c>
      <c r="I41" s="26" t="str">
        <f aca="false">IF(OR($A41="",I$4=""),"",IF(NOT(OR(I$6="Toda la plantilla",ISNUMBER(SEARCH(";"&amp;SUBSTITUTE($C41," ","")&amp;";",";"&amp;SUBSTITUTE(I$7," ","")&amp;";")))),"—",IF(_xlfn.MAXIFS(Acuses!$C$5:$C$3004,Acuses!$A$5:$A$3004,$A41,Acuses!$B$5:$B$3004,I$4)&lt;I$5,"Pendiente",IF(I$8=0,"OK",IF(EDATE(_xlfn.MAXIFS(Acuses!$D$5:$D$3004,Acuses!$A$5:$A$3004,$A41,Acuses!$B$5:$B$3004,I$4,Acuses!$C$5:$C$3004,I$5),I$8)&lt;Resumen!$C$4,"Caducado",IF(EDATE(_xlfn.MAXIFS(Acuses!$D$5:$D$3004,Acuses!$A$5:$A$3004,$A41,Acuses!$B$5:$B$3004,I$4,Acuses!$C$5:$C$3004,I$5),I$8)&lt;Resumen!$C$4+30,"Caduca pronto","OK"))))))</f>
        <v/>
      </c>
      <c r="J41" s="26" t="str">
        <f aca="false">IF(OR($A41="",J$4=""),"",IF(NOT(OR(J$6="Toda la plantilla",ISNUMBER(SEARCH(";"&amp;SUBSTITUTE($C41," ","")&amp;";",";"&amp;SUBSTITUTE(J$7," ","")&amp;";")))),"—",IF(_xlfn.MAXIFS(Acuses!$C$5:$C$3004,Acuses!$A$5:$A$3004,$A41,Acuses!$B$5:$B$3004,J$4)&lt;J$5,"Pendiente",IF(J$8=0,"OK",IF(EDATE(_xlfn.MAXIFS(Acuses!$D$5:$D$3004,Acuses!$A$5:$A$3004,$A41,Acuses!$B$5:$B$3004,J$4,Acuses!$C$5:$C$3004,J$5),J$8)&lt;Resumen!$C$4,"Caducado",IF(EDATE(_xlfn.MAXIFS(Acuses!$D$5:$D$3004,Acuses!$A$5:$A$3004,$A41,Acuses!$B$5:$B$3004,J$4,Acuses!$C$5:$C$3004,J$5),J$8)&lt;Resumen!$C$4+30,"Caduca pronto","OK"))))))</f>
        <v/>
      </c>
      <c r="K41" s="26" t="str">
        <f aca="false">IF(OR($A41="",K$4=""),"",IF(NOT(OR(K$6="Toda la plantilla",ISNUMBER(SEARCH(";"&amp;SUBSTITUTE($C41," ","")&amp;";",";"&amp;SUBSTITUTE(K$7," ","")&amp;";")))),"—",IF(_xlfn.MAXIFS(Acuses!$C$5:$C$3004,Acuses!$A$5:$A$3004,$A41,Acuses!$B$5:$B$3004,K$4)&lt;K$5,"Pendiente",IF(K$8=0,"OK",IF(EDATE(_xlfn.MAXIFS(Acuses!$D$5:$D$3004,Acuses!$A$5:$A$3004,$A41,Acuses!$B$5:$B$3004,K$4,Acuses!$C$5:$C$3004,K$5),K$8)&lt;Resumen!$C$4,"Caducado",IF(EDATE(_xlfn.MAXIFS(Acuses!$D$5:$D$3004,Acuses!$A$5:$A$3004,$A41,Acuses!$B$5:$B$3004,K$4,Acuses!$C$5:$C$3004,K$5),K$8)&lt;Resumen!$C$4+30,"Caduca pronto","OK"))))))</f>
        <v/>
      </c>
      <c r="L41" s="26" t="str">
        <f aca="false">IF(OR($A41="",L$4=""),"",IF(NOT(OR(L$6="Toda la plantilla",ISNUMBER(SEARCH(";"&amp;SUBSTITUTE($C41," ","")&amp;";",";"&amp;SUBSTITUTE(L$7," ","")&amp;";")))),"—",IF(_xlfn.MAXIFS(Acuses!$C$5:$C$3004,Acuses!$A$5:$A$3004,$A41,Acuses!$B$5:$B$3004,L$4)&lt;L$5,"Pendiente",IF(L$8=0,"OK",IF(EDATE(_xlfn.MAXIFS(Acuses!$D$5:$D$3004,Acuses!$A$5:$A$3004,$A41,Acuses!$B$5:$B$3004,L$4,Acuses!$C$5:$C$3004,L$5),L$8)&lt;Resumen!$C$4,"Caducado",IF(EDATE(_xlfn.MAXIFS(Acuses!$D$5:$D$3004,Acuses!$A$5:$A$3004,$A41,Acuses!$B$5:$B$3004,L$4,Acuses!$C$5:$C$3004,L$5),L$8)&lt;Resumen!$C$4+30,"Caduca pronto","OK"))))))</f>
        <v/>
      </c>
      <c r="M41" s="26" t="str">
        <f aca="false">IF(OR($A41="",M$4=""),"",IF(NOT(OR(M$6="Toda la plantilla",ISNUMBER(SEARCH(";"&amp;SUBSTITUTE($C41," ","")&amp;";",";"&amp;SUBSTITUTE(M$7," ","")&amp;";")))),"—",IF(_xlfn.MAXIFS(Acuses!$C$5:$C$3004,Acuses!$A$5:$A$3004,$A41,Acuses!$B$5:$B$3004,M$4)&lt;M$5,"Pendiente",IF(M$8=0,"OK",IF(EDATE(_xlfn.MAXIFS(Acuses!$D$5:$D$3004,Acuses!$A$5:$A$3004,$A41,Acuses!$B$5:$B$3004,M$4,Acuses!$C$5:$C$3004,M$5),M$8)&lt;Resumen!$C$4,"Caducado",IF(EDATE(_xlfn.MAXIFS(Acuses!$D$5:$D$3004,Acuses!$A$5:$A$3004,$A41,Acuses!$B$5:$B$3004,M$4,Acuses!$C$5:$C$3004,M$5),M$8)&lt;Resumen!$C$4+30,"Caduca pronto","OK"))))))</f>
        <v/>
      </c>
      <c r="N41" s="26" t="str">
        <f aca="false">IF(OR($A41="",N$4=""),"",IF(NOT(OR(N$6="Toda la plantilla",ISNUMBER(SEARCH(";"&amp;SUBSTITUTE($C41," ","")&amp;";",";"&amp;SUBSTITUTE(N$7," ","")&amp;";")))),"—",IF(_xlfn.MAXIFS(Acuses!$C$5:$C$3004,Acuses!$A$5:$A$3004,$A41,Acuses!$B$5:$B$3004,N$4)&lt;N$5,"Pendiente",IF(N$8=0,"OK",IF(EDATE(_xlfn.MAXIFS(Acuses!$D$5:$D$3004,Acuses!$A$5:$A$3004,$A41,Acuses!$B$5:$B$3004,N$4,Acuses!$C$5:$C$3004,N$5),N$8)&lt;Resumen!$C$4,"Caducado",IF(EDATE(_xlfn.MAXIFS(Acuses!$D$5:$D$3004,Acuses!$A$5:$A$3004,$A41,Acuses!$B$5:$B$3004,N$4,Acuses!$C$5:$C$3004,N$5),N$8)&lt;Resumen!$C$4+30,"Caduca pronto","OK"))))))</f>
        <v/>
      </c>
      <c r="O41" s="26" t="str">
        <f aca="false">IF(OR($A41="",O$4=""),"",IF(NOT(OR(O$6="Toda la plantilla",ISNUMBER(SEARCH(";"&amp;SUBSTITUTE($C41," ","")&amp;";",";"&amp;SUBSTITUTE(O$7," ","")&amp;";")))),"—",IF(_xlfn.MAXIFS(Acuses!$C$5:$C$3004,Acuses!$A$5:$A$3004,$A41,Acuses!$B$5:$B$3004,O$4)&lt;O$5,"Pendiente",IF(O$8=0,"OK",IF(EDATE(_xlfn.MAXIFS(Acuses!$D$5:$D$3004,Acuses!$A$5:$A$3004,$A41,Acuses!$B$5:$B$3004,O$4,Acuses!$C$5:$C$3004,O$5),O$8)&lt;Resumen!$C$4,"Caducado",IF(EDATE(_xlfn.MAXIFS(Acuses!$D$5:$D$3004,Acuses!$A$5:$A$3004,$A41,Acuses!$B$5:$B$3004,O$4,Acuses!$C$5:$C$3004,O$5),O$8)&lt;Resumen!$C$4+30,"Caduca pronto","OK"))))))</f>
        <v/>
      </c>
      <c r="P41" s="26" t="str">
        <f aca="false">IF(OR($A41="",P$4=""),"",IF(NOT(OR(P$6="Toda la plantilla",ISNUMBER(SEARCH(";"&amp;SUBSTITUTE($C41," ","")&amp;";",";"&amp;SUBSTITUTE(P$7," ","")&amp;";")))),"—",IF(_xlfn.MAXIFS(Acuses!$C$5:$C$3004,Acuses!$A$5:$A$3004,$A41,Acuses!$B$5:$B$3004,P$4)&lt;P$5,"Pendiente",IF(P$8=0,"OK",IF(EDATE(_xlfn.MAXIFS(Acuses!$D$5:$D$3004,Acuses!$A$5:$A$3004,$A41,Acuses!$B$5:$B$3004,P$4,Acuses!$C$5:$C$3004,P$5),P$8)&lt;Resumen!$C$4,"Caducado",IF(EDATE(_xlfn.MAXIFS(Acuses!$D$5:$D$3004,Acuses!$A$5:$A$3004,$A41,Acuses!$B$5:$B$3004,P$4,Acuses!$C$5:$C$3004,P$5),P$8)&lt;Resumen!$C$4+30,"Caduca pronto","OK"))))))</f>
        <v/>
      </c>
      <c r="Q41" s="26" t="str">
        <f aca="false">IF(OR($A41="",Q$4=""),"",IF(NOT(OR(Q$6="Toda la plantilla",ISNUMBER(SEARCH(";"&amp;SUBSTITUTE($C41," ","")&amp;";",";"&amp;SUBSTITUTE(Q$7," ","")&amp;";")))),"—",IF(_xlfn.MAXIFS(Acuses!$C$5:$C$3004,Acuses!$A$5:$A$3004,$A41,Acuses!$B$5:$B$3004,Q$4)&lt;Q$5,"Pendiente",IF(Q$8=0,"OK",IF(EDATE(_xlfn.MAXIFS(Acuses!$D$5:$D$3004,Acuses!$A$5:$A$3004,$A41,Acuses!$B$5:$B$3004,Q$4,Acuses!$C$5:$C$3004,Q$5),Q$8)&lt;Resumen!$C$4,"Caducado",IF(EDATE(_xlfn.MAXIFS(Acuses!$D$5:$D$3004,Acuses!$A$5:$A$3004,$A41,Acuses!$B$5:$B$3004,Q$4,Acuses!$C$5:$C$3004,Q$5),Q$8)&lt;Resumen!$C$4+30,"Caduca pronto","OK"))))))</f>
        <v/>
      </c>
      <c r="R41" s="26" t="str">
        <f aca="false">IF(OR($A41="",R$4=""),"",IF(NOT(OR(R$6="Toda la plantilla",ISNUMBER(SEARCH(";"&amp;SUBSTITUTE($C41," ","")&amp;";",";"&amp;SUBSTITUTE(R$7," ","")&amp;";")))),"—",IF(_xlfn.MAXIFS(Acuses!$C$5:$C$3004,Acuses!$A$5:$A$3004,$A41,Acuses!$B$5:$B$3004,R$4)&lt;R$5,"Pendiente",IF(R$8=0,"OK",IF(EDATE(_xlfn.MAXIFS(Acuses!$D$5:$D$3004,Acuses!$A$5:$A$3004,$A41,Acuses!$B$5:$B$3004,R$4,Acuses!$C$5:$C$3004,R$5),R$8)&lt;Resumen!$C$4,"Caducado",IF(EDATE(_xlfn.MAXIFS(Acuses!$D$5:$D$3004,Acuses!$A$5:$A$3004,$A41,Acuses!$B$5:$B$3004,R$4,Acuses!$C$5:$C$3004,R$5),R$8)&lt;Resumen!$C$4+30,"Caduca pronto","OK"))))))</f>
        <v/>
      </c>
      <c r="S41" s="26" t="str">
        <f aca="false">IF(OR($A41="",S$4=""),"",IF(NOT(OR(S$6="Toda la plantilla",ISNUMBER(SEARCH(";"&amp;SUBSTITUTE($C41," ","")&amp;";",";"&amp;SUBSTITUTE(S$7," ","")&amp;";")))),"—",IF(_xlfn.MAXIFS(Acuses!$C$5:$C$3004,Acuses!$A$5:$A$3004,$A41,Acuses!$B$5:$B$3004,S$4)&lt;S$5,"Pendiente",IF(S$8=0,"OK",IF(EDATE(_xlfn.MAXIFS(Acuses!$D$5:$D$3004,Acuses!$A$5:$A$3004,$A41,Acuses!$B$5:$B$3004,S$4,Acuses!$C$5:$C$3004,S$5),S$8)&lt;Resumen!$C$4,"Caducado",IF(EDATE(_xlfn.MAXIFS(Acuses!$D$5:$D$3004,Acuses!$A$5:$A$3004,$A41,Acuses!$B$5:$B$3004,S$4,Acuses!$C$5:$C$3004,S$5),S$8)&lt;Resumen!$C$4+30,"Caduca pronto","OK"))))))</f>
        <v/>
      </c>
      <c r="T41" s="26" t="str">
        <f aca="false">IF(OR($A41="",T$4=""),"",IF(NOT(OR(T$6="Toda la plantilla",ISNUMBER(SEARCH(";"&amp;SUBSTITUTE($C41," ","")&amp;";",";"&amp;SUBSTITUTE(T$7," ","")&amp;";")))),"—",IF(_xlfn.MAXIFS(Acuses!$C$5:$C$3004,Acuses!$A$5:$A$3004,$A41,Acuses!$B$5:$B$3004,T$4)&lt;T$5,"Pendiente",IF(T$8=0,"OK",IF(EDATE(_xlfn.MAXIFS(Acuses!$D$5:$D$3004,Acuses!$A$5:$A$3004,$A41,Acuses!$B$5:$B$3004,T$4,Acuses!$C$5:$C$3004,T$5),T$8)&lt;Resumen!$C$4,"Caducado",IF(EDATE(_xlfn.MAXIFS(Acuses!$D$5:$D$3004,Acuses!$A$5:$A$3004,$A41,Acuses!$B$5:$B$3004,T$4,Acuses!$C$5:$C$3004,T$5),T$8)&lt;Resumen!$C$4+30,"Caduca pronto","OK"))))))</f>
        <v/>
      </c>
      <c r="U41" s="26" t="str">
        <f aca="false">IF(OR($A41="",U$4=""),"",IF(NOT(OR(U$6="Toda la plantilla",ISNUMBER(SEARCH(";"&amp;SUBSTITUTE($C41," ","")&amp;";",";"&amp;SUBSTITUTE(U$7," ","")&amp;";")))),"—",IF(_xlfn.MAXIFS(Acuses!$C$5:$C$3004,Acuses!$A$5:$A$3004,$A41,Acuses!$B$5:$B$3004,U$4)&lt;U$5,"Pendiente",IF(U$8=0,"OK",IF(EDATE(_xlfn.MAXIFS(Acuses!$D$5:$D$3004,Acuses!$A$5:$A$3004,$A41,Acuses!$B$5:$B$3004,U$4,Acuses!$C$5:$C$3004,U$5),U$8)&lt;Resumen!$C$4,"Caducado",IF(EDATE(_xlfn.MAXIFS(Acuses!$D$5:$D$3004,Acuses!$A$5:$A$3004,$A41,Acuses!$B$5:$B$3004,U$4,Acuses!$C$5:$C$3004,U$5),U$8)&lt;Resumen!$C$4+30,"Caduca pronto","OK"))))))</f>
        <v/>
      </c>
      <c r="V41" s="26" t="str">
        <f aca="false">IF(OR($A41="",V$4=""),"",IF(NOT(OR(V$6="Toda la plantilla",ISNUMBER(SEARCH(";"&amp;SUBSTITUTE($C41," ","")&amp;";",";"&amp;SUBSTITUTE(V$7," ","")&amp;";")))),"—",IF(_xlfn.MAXIFS(Acuses!$C$5:$C$3004,Acuses!$A$5:$A$3004,$A41,Acuses!$B$5:$B$3004,V$4)&lt;V$5,"Pendiente",IF(V$8=0,"OK",IF(EDATE(_xlfn.MAXIFS(Acuses!$D$5:$D$3004,Acuses!$A$5:$A$3004,$A41,Acuses!$B$5:$B$3004,V$4,Acuses!$C$5:$C$3004,V$5),V$8)&lt;Resumen!$C$4,"Caducado",IF(EDATE(_xlfn.MAXIFS(Acuses!$D$5:$D$3004,Acuses!$A$5:$A$3004,$A41,Acuses!$B$5:$B$3004,V$4,Acuses!$C$5:$C$3004,V$5),V$8)&lt;Resumen!$C$4+30,"Caduca pronto","OK"))))))</f>
        <v/>
      </c>
      <c r="W41" s="26" t="str">
        <f aca="false">IF(OR($A41="",W$4=""),"",IF(NOT(OR(W$6="Toda la plantilla",ISNUMBER(SEARCH(";"&amp;SUBSTITUTE($C41," ","")&amp;";",";"&amp;SUBSTITUTE(W$7," ","")&amp;";")))),"—",IF(_xlfn.MAXIFS(Acuses!$C$5:$C$3004,Acuses!$A$5:$A$3004,$A41,Acuses!$B$5:$B$3004,W$4)&lt;W$5,"Pendiente",IF(W$8=0,"OK",IF(EDATE(_xlfn.MAXIFS(Acuses!$D$5:$D$3004,Acuses!$A$5:$A$3004,$A41,Acuses!$B$5:$B$3004,W$4,Acuses!$C$5:$C$3004,W$5),W$8)&lt;Resumen!$C$4,"Caducado",IF(EDATE(_xlfn.MAXIFS(Acuses!$D$5:$D$3004,Acuses!$A$5:$A$3004,$A41,Acuses!$B$5:$B$3004,W$4,Acuses!$C$5:$C$3004,W$5),W$8)&lt;Resumen!$C$4+30,"Caduca pronto","OK"))))))</f>
        <v/>
      </c>
      <c r="X41" s="26" t="str">
        <f aca="false">IF(OR($A41="",X$4=""),"",IF(NOT(OR(X$6="Toda la plantilla",ISNUMBER(SEARCH(";"&amp;SUBSTITUTE($C41," ","")&amp;";",";"&amp;SUBSTITUTE(X$7," ","")&amp;";")))),"—",IF(_xlfn.MAXIFS(Acuses!$C$5:$C$3004,Acuses!$A$5:$A$3004,$A41,Acuses!$B$5:$B$3004,X$4)&lt;X$5,"Pendiente",IF(X$8=0,"OK",IF(EDATE(_xlfn.MAXIFS(Acuses!$D$5:$D$3004,Acuses!$A$5:$A$3004,$A41,Acuses!$B$5:$B$3004,X$4,Acuses!$C$5:$C$3004,X$5),X$8)&lt;Resumen!$C$4,"Caducado",IF(EDATE(_xlfn.MAXIFS(Acuses!$D$5:$D$3004,Acuses!$A$5:$A$3004,$A41,Acuses!$B$5:$B$3004,X$4,Acuses!$C$5:$C$3004,X$5),X$8)&lt;Resumen!$C$4+30,"Caduca pronto","OK"))))))</f>
        <v/>
      </c>
      <c r="Y41" s="26" t="str">
        <f aca="false">IF(OR($A41="",Y$4=""),"",IF(NOT(OR(Y$6="Toda la plantilla",ISNUMBER(SEARCH(";"&amp;SUBSTITUTE($C41," ","")&amp;";",";"&amp;SUBSTITUTE(Y$7," ","")&amp;";")))),"—",IF(_xlfn.MAXIFS(Acuses!$C$5:$C$3004,Acuses!$A$5:$A$3004,$A41,Acuses!$B$5:$B$3004,Y$4)&lt;Y$5,"Pendiente",IF(Y$8=0,"OK",IF(EDATE(_xlfn.MAXIFS(Acuses!$D$5:$D$3004,Acuses!$A$5:$A$3004,$A41,Acuses!$B$5:$B$3004,Y$4,Acuses!$C$5:$C$3004,Y$5),Y$8)&lt;Resumen!$C$4,"Caducado",IF(EDATE(_xlfn.MAXIFS(Acuses!$D$5:$D$3004,Acuses!$A$5:$A$3004,$A41,Acuses!$B$5:$B$3004,Y$4,Acuses!$C$5:$C$3004,Y$5),Y$8)&lt;Resumen!$C$4+30,"Caduca pronto","OK"))))))</f>
        <v/>
      </c>
      <c r="Z41" s="26" t="str">
        <f aca="false">IF(OR($A41="",Z$4=""),"",IF(NOT(OR(Z$6="Toda la plantilla",ISNUMBER(SEARCH(";"&amp;SUBSTITUTE($C41," ","")&amp;";",";"&amp;SUBSTITUTE(Z$7," ","")&amp;";")))),"—",IF(_xlfn.MAXIFS(Acuses!$C$5:$C$3004,Acuses!$A$5:$A$3004,$A41,Acuses!$B$5:$B$3004,Z$4)&lt;Z$5,"Pendiente",IF(Z$8=0,"OK",IF(EDATE(_xlfn.MAXIFS(Acuses!$D$5:$D$3004,Acuses!$A$5:$A$3004,$A41,Acuses!$B$5:$B$3004,Z$4,Acuses!$C$5:$C$3004,Z$5),Z$8)&lt;Resumen!$C$4,"Caducado",IF(EDATE(_xlfn.MAXIFS(Acuses!$D$5:$D$3004,Acuses!$A$5:$A$3004,$A41,Acuses!$B$5:$B$3004,Z$4,Acuses!$C$5:$C$3004,Z$5),Z$8)&lt;Resumen!$C$4+30,"Caduca pronto","OK"))))))</f>
        <v/>
      </c>
      <c r="AA41" s="26" t="str">
        <f aca="false">IF(OR($A41="",AA$4=""),"",IF(NOT(OR(AA$6="Toda la plantilla",ISNUMBER(SEARCH(";"&amp;SUBSTITUTE($C41," ","")&amp;";",";"&amp;SUBSTITUTE(AA$7," ","")&amp;";")))),"—",IF(_xlfn.MAXIFS(Acuses!$C$5:$C$3004,Acuses!$A$5:$A$3004,$A41,Acuses!$B$5:$B$3004,AA$4)&lt;AA$5,"Pendiente",IF(AA$8=0,"OK",IF(EDATE(_xlfn.MAXIFS(Acuses!$D$5:$D$3004,Acuses!$A$5:$A$3004,$A41,Acuses!$B$5:$B$3004,AA$4,Acuses!$C$5:$C$3004,AA$5),AA$8)&lt;Resumen!$C$4,"Caducado",IF(EDATE(_xlfn.MAXIFS(Acuses!$D$5:$D$3004,Acuses!$A$5:$A$3004,$A41,Acuses!$B$5:$B$3004,AA$4,Acuses!$C$5:$C$3004,AA$5),AA$8)&lt;Resumen!$C$4+30,"Caduca pronto","OK"))))))</f>
        <v/>
      </c>
      <c r="AB41" s="26" t="str">
        <f aca="false">IF(OR($A41="",AB$4=""),"",IF(NOT(OR(AB$6="Toda la plantilla",ISNUMBER(SEARCH(";"&amp;SUBSTITUTE($C41," ","")&amp;";",";"&amp;SUBSTITUTE(AB$7," ","")&amp;";")))),"—",IF(_xlfn.MAXIFS(Acuses!$C$5:$C$3004,Acuses!$A$5:$A$3004,$A41,Acuses!$B$5:$B$3004,AB$4)&lt;AB$5,"Pendiente",IF(AB$8=0,"OK",IF(EDATE(_xlfn.MAXIFS(Acuses!$D$5:$D$3004,Acuses!$A$5:$A$3004,$A41,Acuses!$B$5:$B$3004,AB$4,Acuses!$C$5:$C$3004,AB$5),AB$8)&lt;Resumen!$C$4,"Caducado",IF(EDATE(_xlfn.MAXIFS(Acuses!$D$5:$D$3004,Acuses!$A$5:$A$3004,$A41,Acuses!$B$5:$B$3004,AB$4,Acuses!$C$5:$C$3004,AB$5),AB$8)&lt;Resumen!$C$4+30,"Caduca pronto","OK"))))))</f>
        <v/>
      </c>
      <c r="AC41" s="26" t="str">
        <f aca="false">IF(OR($A41="",AC$4=""),"",IF(NOT(OR(AC$6="Toda la plantilla",ISNUMBER(SEARCH(";"&amp;SUBSTITUTE($C41," ","")&amp;";",";"&amp;SUBSTITUTE(AC$7," ","")&amp;";")))),"—",IF(_xlfn.MAXIFS(Acuses!$C$5:$C$3004,Acuses!$A$5:$A$3004,$A41,Acuses!$B$5:$B$3004,AC$4)&lt;AC$5,"Pendiente",IF(AC$8=0,"OK",IF(EDATE(_xlfn.MAXIFS(Acuses!$D$5:$D$3004,Acuses!$A$5:$A$3004,$A41,Acuses!$B$5:$B$3004,AC$4,Acuses!$C$5:$C$3004,AC$5),AC$8)&lt;Resumen!$C$4,"Caducado",IF(EDATE(_xlfn.MAXIFS(Acuses!$D$5:$D$3004,Acuses!$A$5:$A$3004,$A41,Acuses!$B$5:$B$3004,AC$4,Acuses!$C$5:$C$3004,AC$5),AC$8)&lt;Resumen!$C$4+30,"Caduca pronto","OK"))))))</f>
        <v/>
      </c>
      <c r="AD41" s="26" t="str">
        <f aca="false">IF(OR($A41="",AD$4=""),"",IF(NOT(OR(AD$6="Toda la plantilla",ISNUMBER(SEARCH(";"&amp;SUBSTITUTE($C41," ","")&amp;";",";"&amp;SUBSTITUTE(AD$7," ","")&amp;";")))),"—",IF(_xlfn.MAXIFS(Acuses!$C$5:$C$3004,Acuses!$A$5:$A$3004,$A41,Acuses!$B$5:$B$3004,AD$4)&lt;AD$5,"Pendiente",IF(AD$8=0,"OK",IF(EDATE(_xlfn.MAXIFS(Acuses!$D$5:$D$3004,Acuses!$A$5:$A$3004,$A41,Acuses!$B$5:$B$3004,AD$4,Acuses!$C$5:$C$3004,AD$5),AD$8)&lt;Resumen!$C$4,"Caducado",IF(EDATE(_xlfn.MAXIFS(Acuses!$D$5:$D$3004,Acuses!$A$5:$A$3004,$A41,Acuses!$B$5:$B$3004,AD$4,Acuses!$C$5:$C$3004,AD$5),AD$8)&lt;Resumen!$C$4+30,"Caduca pronto","OK"))))))</f>
        <v/>
      </c>
      <c r="AE41" s="26" t="str">
        <f aca="false">IF(OR($A41="",AE$4=""),"",IF(NOT(OR(AE$6="Toda la plantilla",ISNUMBER(SEARCH(";"&amp;SUBSTITUTE($C41," ","")&amp;";",";"&amp;SUBSTITUTE(AE$7," ","")&amp;";")))),"—",IF(_xlfn.MAXIFS(Acuses!$C$5:$C$3004,Acuses!$A$5:$A$3004,$A41,Acuses!$B$5:$B$3004,AE$4)&lt;AE$5,"Pendiente",IF(AE$8=0,"OK",IF(EDATE(_xlfn.MAXIFS(Acuses!$D$5:$D$3004,Acuses!$A$5:$A$3004,$A41,Acuses!$B$5:$B$3004,AE$4,Acuses!$C$5:$C$3004,AE$5),AE$8)&lt;Resumen!$C$4,"Caducado",IF(EDATE(_xlfn.MAXIFS(Acuses!$D$5:$D$3004,Acuses!$A$5:$A$3004,$A41,Acuses!$B$5:$B$3004,AE$4,Acuses!$C$5:$C$3004,AE$5),AE$8)&lt;Resumen!$C$4+30,"Caduca pronto","OK"))))))</f>
        <v/>
      </c>
      <c r="AF41" s="26" t="str">
        <f aca="false">IF(OR($A41="",AF$4=""),"",IF(NOT(OR(AF$6="Toda la plantilla",ISNUMBER(SEARCH(";"&amp;SUBSTITUTE($C41," ","")&amp;";",";"&amp;SUBSTITUTE(AF$7," ","")&amp;";")))),"—",IF(_xlfn.MAXIFS(Acuses!$C$5:$C$3004,Acuses!$A$5:$A$3004,$A41,Acuses!$B$5:$B$3004,AF$4)&lt;AF$5,"Pendiente",IF(AF$8=0,"OK",IF(EDATE(_xlfn.MAXIFS(Acuses!$D$5:$D$3004,Acuses!$A$5:$A$3004,$A41,Acuses!$B$5:$B$3004,AF$4,Acuses!$C$5:$C$3004,AF$5),AF$8)&lt;Resumen!$C$4,"Caducado",IF(EDATE(_xlfn.MAXIFS(Acuses!$D$5:$D$3004,Acuses!$A$5:$A$3004,$A41,Acuses!$B$5:$B$3004,AF$4,Acuses!$C$5:$C$3004,AF$5),AF$8)&lt;Resumen!$C$4+30,"Caduca pronto","OK"))))))</f>
        <v/>
      </c>
      <c r="AG41" s="26" t="str">
        <f aca="false">IF(OR($A41="",AG$4=""),"",IF(NOT(OR(AG$6="Toda la plantilla",ISNUMBER(SEARCH(";"&amp;SUBSTITUTE($C41," ","")&amp;";",";"&amp;SUBSTITUTE(AG$7," ","")&amp;";")))),"—",IF(_xlfn.MAXIFS(Acuses!$C$5:$C$3004,Acuses!$A$5:$A$3004,$A41,Acuses!$B$5:$B$3004,AG$4)&lt;AG$5,"Pendiente",IF(AG$8=0,"OK",IF(EDATE(_xlfn.MAXIFS(Acuses!$D$5:$D$3004,Acuses!$A$5:$A$3004,$A41,Acuses!$B$5:$B$3004,AG$4,Acuses!$C$5:$C$3004,AG$5),AG$8)&lt;Resumen!$C$4,"Caducado",IF(EDATE(_xlfn.MAXIFS(Acuses!$D$5:$D$3004,Acuses!$A$5:$A$3004,$A41,Acuses!$B$5:$B$3004,AG$4,Acuses!$C$5:$C$3004,AG$5),AG$8)&lt;Resumen!$C$4+30,"Caduca pronto","OK"))))))</f>
        <v/>
      </c>
      <c r="AH41" s="26" t="str">
        <f aca="false">IF(OR($A41="",AH$4=""),"",IF(NOT(OR(AH$6="Toda la plantilla",ISNUMBER(SEARCH(";"&amp;SUBSTITUTE($C41," ","")&amp;";",";"&amp;SUBSTITUTE(AH$7," ","")&amp;";")))),"—",IF(_xlfn.MAXIFS(Acuses!$C$5:$C$3004,Acuses!$A$5:$A$3004,$A41,Acuses!$B$5:$B$3004,AH$4)&lt;AH$5,"Pendiente",IF(AH$8=0,"OK",IF(EDATE(_xlfn.MAXIFS(Acuses!$D$5:$D$3004,Acuses!$A$5:$A$3004,$A41,Acuses!$B$5:$B$3004,AH$4,Acuses!$C$5:$C$3004,AH$5),AH$8)&lt;Resumen!$C$4,"Caducado",IF(EDATE(_xlfn.MAXIFS(Acuses!$D$5:$D$3004,Acuses!$A$5:$A$3004,$A41,Acuses!$B$5:$B$3004,AH$4,Acuses!$C$5:$C$3004,AH$5),AH$8)&lt;Resumen!$C$4+30,"Caduca pronto","OK"))))))</f>
        <v/>
      </c>
      <c r="AI41" s="26" t="str">
        <f aca="false">IF(OR($A41="",AI$4=""),"",IF(NOT(OR(AI$6="Toda la plantilla",ISNUMBER(SEARCH(";"&amp;SUBSTITUTE($C41," ","")&amp;";",";"&amp;SUBSTITUTE(AI$7," ","")&amp;";")))),"—",IF(_xlfn.MAXIFS(Acuses!$C$5:$C$3004,Acuses!$A$5:$A$3004,$A41,Acuses!$B$5:$B$3004,AI$4)&lt;AI$5,"Pendiente",IF(AI$8=0,"OK",IF(EDATE(_xlfn.MAXIFS(Acuses!$D$5:$D$3004,Acuses!$A$5:$A$3004,$A41,Acuses!$B$5:$B$3004,AI$4,Acuses!$C$5:$C$3004,AI$5),AI$8)&lt;Resumen!$C$4,"Caducado",IF(EDATE(_xlfn.MAXIFS(Acuses!$D$5:$D$3004,Acuses!$A$5:$A$3004,$A41,Acuses!$B$5:$B$3004,AI$4,Acuses!$C$5:$C$3004,AI$5),AI$8)&lt;Resumen!$C$4+30,"Caduca pronto","OK"))))))</f>
        <v/>
      </c>
      <c r="AJ41" s="26" t="str">
        <f aca="false">IF(OR($A41="",AJ$4=""),"",IF(NOT(OR(AJ$6="Toda la plantilla",ISNUMBER(SEARCH(";"&amp;SUBSTITUTE($C41," ","")&amp;";",";"&amp;SUBSTITUTE(AJ$7," ","")&amp;";")))),"—",IF(_xlfn.MAXIFS(Acuses!$C$5:$C$3004,Acuses!$A$5:$A$3004,$A41,Acuses!$B$5:$B$3004,AJ$4)&lt;AJ$5,"Pendiente",IF(AJ$8=0,"OK",IF(EDATE(_xlfn.MAXIFS(Acuses!$D$5:$D$3004,Acuses!$A$5:$A$3004,$A41,Acuses!$B$5:$B$3004,AJ$4,Acuses!$C$5:$C$3004,AJ$5),AJ$8)&lt;Resumen!$C$4,"Caducado",IF(EDATE(_xlfn.MAXIFS(Acuses!$D$5:$D$3004,Acuses!$A$5:$A$3004,$A41,Acuses!$B$5:$B$3004,AJ$4,Acuses!$C$5:$C$3004,AJ$5),AJ$8)&lt;Resumen!$C$4+30,"Caduca pronto","OK"))))))</f>
        <v/>
      </c>
      <c r="AK41" s="26" t="str">
        <f aca="false">IF(OR($A41="",AK$4=""),"",IF(NOT(OR(AK$6="Toda la plantilla",ISNUMBER(SEARCH(";"&amp;SUBSTITUTE($C41," ","")&amp;";",";"&amp;SUBSTITUTE(AK$7," ","")&amp;";")))),"—",IF(_xlfn.MAXIFS(Acuses!$C$5:$C$3004,Acuses!$A$5:$A$3004,$A41,Acuses!$B$5:$B$3004,AK$4)&lt;AK$5,"Pendiente",IF(AK$8=0,"OK",IF(EDATE(_xlfn.MAXIFS(Acuses!$D$5:$D$3004,Acuses!$A$5:$A$3004,$A41,Acuses!$B$5:$B$3004,AK$4,Acuses!$C$5:$C$3004,AK$5),AK$8)&lt;Resumen!$C$4,"Caducado",IF(EDATE(_xlfn.MAXIFS(Acuses!$D$5:$D$3004,Acuses!$A$5:$A$3004,$A41,Acuses!$B$5:$B$3004,AK$4,Acuses!$C$5:$C$3004,AK$5),AK$8)&lt;Resumen!$C$4+30,"Caduca pronto","OK"))))))</f>
        <v/>
      </c>
      <c r="AL41" s="26" t="str">
        <f aca="false">IF(OR($A41="",AL$4=""),"",IF(NOT(OR(AL$6="Toda la plantilla",ISNUMBER(SEARCH(";"&amp;SUBSTITUTE($C41," ","")&amp;";",";"&amp;SUBSTITUTE(AL$7," ","")&amp;";")))),"—",IF(_xlfn.MAXIFS(Acuses!$C$5:$C$3004,Acuses!$A$5:$A$3004,$A41,Acuses!$B$5:$B$3004,AL$4)&lt;AL$5,"Pendiente",IF(AL$8=0,"OK",IF(EDATE(_xlfn.MAXIFS(Acuses!$D$5:$D$3004,Acuses!$A$5:$A$3004,$A41,Acuses!$B$5:$B$3004,AL$4,Acuses!$C$5:$C$3004,AL$5),AL$8)&lt;Resumen!$C$4,"Caducado",IF(EDATE(_xlfn.MAXIFS(Acuses!$D$5:$D$3004,Acuses!$A$5:$A$3004,$A41,Acuses!$B$5:$B$3004,AL$4,Acuses!$C$5:$C$3004,AL$5),AL$8)&lt;Resumen!$C$4+30,"Caduca pronto","OK"))))))</f>
        <v/>
      </c>
      <c r="AM41" s="26" t="str">
        <f aca="false">IF(OR($A41="",AM$4=""),"",IF(NOT(OR(AM$6="Toda la plantilla",ISNUMBER(SEARCH(";"&amp;SUBSTITUTE($C41," ","")&amp;";",";"&amp;SUBSTITUTE(AM$7," ","")&amp;";")))),"—",IF(_xlfn.MAXIFS(Acuses!$C$5:$C$3004,Acuses!$A$5:$A$3004,$A41,Acuses!$B$5:$B$3004,AM$4)&lt;AM$5,"Pendiente",IF(AM$8=0,"OK",IF(EDATE(_xlfn.MAXIFS(Acuses!$D$5:$D$3004,Acuses!$A$5:$A$3004,$A41,Acuses!$B$5:$B$3004,AM$4,Acuses!$C$5:$C$3004,AM$5),AM$8)&lt;Resumen!$C$4,"Caducado",IF(EDATE(_xlfn.MAXIFS(Acuses!$D$5:$D$3004,Acuses!$A$5:$A$3004,$A41,Acuses!$B$5:$B$3004,AM$4,Acuses!$C$5:$C$3004,AM$5),AM$8)&lt;Resumen!$C$4+30,"Caduca pronto","OK"))))))</f>
        <v/>
      </c>
      <c r="AN41" s="26" t="str">
        <f aca="false">IF(OR($A41="",AN$4=""),"",IF(NOT(OR(AN$6="Toda la plantilla",ISNUMBER(SEARCH(";"&amp;SUBSTITUTE($C41," ","")&amp;";",";"&amp;SUBSTITUTE(AN$7," ","")&amp;";")))),"—",IF(_xlfn.MAXIFS(Acuses!$C$5:$C$3004,Acuses!$A$5:$A$3004,$A41,Acuses!$B$5:$B$3004,AN$4)&lt;AN$5,"Pendiente",IF(AN$8=0,"OK",IF(EDATE(_xlfn.MAXIFS(Acuses!$D$5:$D$3004,Acuses!$A$5:$A$3004,$A41,Acuses!$B$5:$B$3004,AN$4,Acuses!$C$5:$C$3004,AN$5),AN$8)&lt;Resumen!$C$4,"Caducado",IF(EDATE(_xlfn.MAXIFS(Acuses!$D$5:$D$3004,Acuses!$A$5:$A$3004,$A41,Acuses!$B$5:$B$3004,AN$4,Acuses!$C$5:$C$3004,AN$5),AN$8)&lt;Resumen!$C$4+30,"Caduca pronto","OK"))))))</f>
        <v/>
      </c>
      <c r="AO41" s="26" t="str">
        <f aca="false">IF(OR($A41="",AO$4=""),"",IF(NOT(OR(AO$6="Toda la plantilla",ISNUMBER(SEARCH(";"&amp;SUBSTITUTE($C41," ","")&amp;";",";"&amp;SUBSTITUTE(AO$7," ","")&amp;";")))),"—",IF(_xlfn.MAXIFS(Acuses!$C$5:$C$3004,Acuses!$A$5:$A$3004,$A41,Acuses!$B$5:$B$3004,AO$4)&lt;AO$5,"Pendiente",IF(AO$8=0,"OK",IF(EDATE(_xlfn.MAXIFS(Acuses!$D$5:$D$3004,Acuses!$A$5:$A$3004,$A41,Acuses!$B$5:$B$3004,AO$4,Acuses!$C$5:$C$3004,AO$5),AO$8)&lt;Resumen!$C$4,"Caducado",IF(EDATE(_xlfn.MAXIFS(Acuses!$D$5:$D$3004,Acuses!$A$5:$A$3004,$A41,Acuses!$B$5:$B$3004,AO$4,Acuses!$C$5:$C$3004,AO$5),AO$8)&lt;Resumen!$C$4+30,"Caduca pronto","OK"))))))</f>
        <v/>
      </c>
      <c r="AP41" s="26" t="str">
        <f aca="false">IF(OR($A41="",AP$4=""),"",IF(NOT(OR(AP$6="Toda la plantilla",ISNUMBER(SEARCH(";"&amp;SUBSTITUTE($C41," ","")&amp;";",";"&amp;SUBSTITUTE(AP$7," ","")&amp;";")))),"—",IF(_xlfn.MAXIFS(Acuses!$C$5:$C$3004,Acuses!$A$5:$A$3004,$A41,Acuses!$B$5:$B$3004,AP$4)&lt;AP$5,"Pendiente",IF(AP$8=0,"OK",IF(EDATE(_xlfn.MAXIFS(Acuses!$D$5:$D$3004,Acuses!$A$5:$A$3004,$A41,Acuses!$B$5:$B$3004,AP$4,Acuses!$C$5:$C$3004,AP$5),AP$8)&lt;Resumen!$C$4,"Caducado",IF(EDATE(_xlfn.MAXIFS(Acuses!$D$5:$D$3004,Acuses!$A$5:$A$3004,$A41,Acuses!$B$5:$B$3004,AP$4,Acuses!$C$5:$C$3004,AP$5),AP$8)&lt;Resumen!$C$4+30,"Caduca pronto","OK"))))))</f>
        <v/>
      </c>
      <c r="AQ41" s="26" t="str">
        <f aca="false">IF(OR($A41="",AQ$4=""),"",IF(NOT(OR(AQ$6="Toda la plantilla",ISNUMBER(SEARCH(";"&amp;SUBSTITUTE($C41," ","")&amp;";",";"&amp;SUBSTITUTE(AQ$7," ","")&amp;";")))),"—",IF(_xlfn.MAXIFS(Acuses!$C$5:$C$3004,Acuses!$A$5:$A$3004,$A41,Acuses!$B$5:$B$3004,AQ$4)&lt;AQ$5,"Pendiente",IF(AQ$8=0,"OK",IF(EDATE(_xlfn.MAXIFS(Acuses!$D$5:$D$3004,Acuses!$A$5:$A$3004,$A41,Acuses!$B$5:$B$3004,AQ$4,Acuses!$C$5:$C$3004,AQ$5),AQ$8)&lt;Resumen!$C$4,"Caducado",IF(EDATE(_xlfn.MAXIFS(Acuses!$D$5:$D$3004,Acuses!$A$5:$A$3004,$A41,Acuses!$B$5:$B$3004,AQ$4,Acuses!$C$5:$C$3004,AQ$5),AQ$8)&lt;Resumen!$C$4+30,"Caduca pronto","OK"))))))</f>
        <v/>
      </c>
    </row>
    <row r="42" customFormat="false" ht="15" hidden="false" customHeight="false" outlineLevel="0" collapsed="false">
      <c r="A42" s="25" t="str">
        <f aca="false">IF(AND(Trabajadores!$A$37&lt;&gt;"",Trabajadores!$G$37&lt;&gt;"No"),Trabajadores!$A$37,"")</f>
        <v/>
      </c>
      <c r="B42" s="25" t="str">
        <f aca="false">IF($A42="","",Trabajadores!$B$37)</f>
        <v/>
      </c>
      <c r="C42" s="25" t="str">
        <f aca="false">IF($A42="","",Trabajadores!$C$37)</f>
        <v/>
      </c>
      <c r="D42" s="26" t="str">
        <f aca="false">IF(OR($A42="",D$4=""),"",IF(NOT(OR(D$6="Toda la plantilla",ISNUMBER(SEARCH(";"&amp;SUBSTITUTE($C42," ","")&amp;";",";"&amp;SUBSTITUTE(D$7," ","")&amp;";")))),"—",IF(_xlfn.MAXIFS(Acuses!$C$5:$C$3004,Acuses!$A$5:$A$3004,$A42,Acuses!$B$5:$B$3004,D$4)&lt;D$5,"Pendiente",IF(D$8=0,"OK",IF(EDATE(_xlfn.MAXIFS(Acuses!$D$5:$D$3004,Acuses!$A$5:$A$3004,$A42,Acuses!$B$5:$B$3004,D$4,Acuses!$C$5:$C$3004,D$5),D$8)&lt;Resumen!$C$4,"Caducado",IF(EDATE(_xlfn.MAXIFS(Acuses!$D$5:$D$3004,Acuses!$A$5:$A$3004,$A42,Acuses!$B$5:$B$3004,D$4,Acuses!$C$5:$C$3004,D$5),D$8)&lt;Resumen!$C$4+30,"Caduca pronto","OK"))))))</f>
        <v/>
      </c>
      <c r="E42" s="26" t="str">
        <f aca="false">IF(OR($A42="",E$4=""),"",IF(NOT(OR(E$6="Toda la plantilla",ISNUMBER(SEARCH(";"&amp;SUBSTITUTE($C42," ","")&amp;";",";"&amp;SUBSTITUTE(E$7," ","")&amp;";")))),"—",IF(_xlfn.MAXIFS(Acuses!$C$5:$C$3004,Acuses!$A$5:$A$3004,$A42,Acuses!$B$5:$B$3004,E$4)&lt;E$5,"Pendiente",IF(E$8=0,"OK",IF(EDATE(_xlfn.MAXIFS(Acuses!$D$5:$D$3004,Acuses!$A$5:$A$3004,$A42,Acuses!$B$5:$B$3004,E$4,Acuses!$C$5:$C$3004,E$5),E$8)&lt;Resumen!$C$4,"Caducado",IF(EDATE(_xlfn.MAXIFS(Acuses!$D$5:$D$3004,Acuses!$A$5:$A$3004,$A42,Acuses!$B$5:$B$3004,E$4,Acuses!$C$5:$C$3004,E$5),E$8)&lt;Resumen!$C$4+30,"Caduca pronto","OK"))))))</f>
        <v/>
      </c>
      <c r="F42" s="26" t="str">
        <f aca="false">IF(OR($A42="",F$4=""),"",IF(NOT(OR(F$6="Toda la plantilla",ISNUMBER(SEARCH(";"&amp;SUBSTITUTE($C42," ","")&amp;";",";"&amp;SUBSTITUTE(F$7," ","")&amp;";")))),"—",IF(_xlfn.MAXIFS(Acuses!$C$5:$C$3004,Acuses!$A$5:$A$3004,$A42,Acuses!$B$5:$B$3004,F$4)&lt;F$5,"Pendiente",IF(F$8=0,"OK",IF(EDATE(_xlfn.MAXIFS(Acuses!$D$5:$D$3004,Acuses!$A$5:$A$3004,$A42,Acuses!$B$5:$B$3004,F$4,Acuses!$C$5:$C$3004,F$5),F$8)&lt;Resumen!$C$4,"Caducado",IF(EDATE(_xlfn.MAXIFS(Acuses!$D$5:$D$3004,Acuses!$A$5:$A$3004,$A42,Acuses!$B$5:$B$3004,F$4,Acuses!$C$5:$C$3004,F$5),F$8)&lt;Resumen!$C$4+30,"Caduca pronto","OK"))))))</f>
        <v/>
      </c>
      <c r="G42" s="26" t="str">
        <f aca="false">IF(OR($A42="",G$4=""),"",IF(NOT(OR(G$6="Toda la plantilla",ISNUMBER(SEARCH(";"&amp;SUBSTITUTE($C42," ","")&amp;";",";"&amp;SUBSTITUTE(G$7," ","")&amp;";")))),"—",IF(_xlfn.MAXIFS(Acuses!$C$5:$C$3004,Acuses!$A$5:$A$3004,$A42,Acuses!$B$5:$B$3004,G$4)&lt;G$5,"Pendiente",IF(G$8=0,"OK",IF(EDATE(_xlfn.MAXIFS(Acuses!$D$5:$D$3004,Acuses!$A$5:$A$3004,$A42,Acuses!$B$5:$B$3004,G$4,Acuses!$C$5:$C$3004,G$5),G$8)&lt;Resumen!$C$4,"Caducado",IF(EDATE(_xlfn.MAXIFS(Acuses!$D$5:$D$3004,Acuses!$A$5:$A$3004,$A42,Acuses!$B$5:$B$3004,G$4,Acuses!$C$5:$C$3004,G$5),G$8)&lt;Resumen!$C$4+30,"Caduca pronto","OK"))))))</f>
        <v/>
      </c>
      <c r="H42" s="26" t="str">
        <f aca="false">IF(OR($A42="",H$4=""),"",IF(NOT(OR(H$6="Toda la plantilla",ISNUMBER(SEARCH(";"&amp;SUBSTITUTE($C42," ","")&amp;";",";"&amp;SUBSTITUTE(H$7," ","")&amp;";")))),"—",IF(_xlfn.MAXIFS(Acuses!$C$5:$C$3004,Acuses!$A$5:$A$3004,$A42,Acuses!$B$5:$B$3004,H$4)&lt;H$5,"Pendiente",IF(H$8=0,"OK",IF(EDATE(_xlfn.MAXIFS(Acuses!$D$5:$D$3004,Acuses!$A$5:$A$3004,$A42,Acuses!$B$5:$B$3004,H$4,Acuses!$C$5:$C$3004,H$5),H$8)&lt;Resumen!$C$4,"Caducado",IF(EDATE(_xlfn.MAXIFS(Acuses!$D$5:$D$3004,Acuses!$A$5:$A$3004,$A42,Acuses!$B$5:$B$3004,H$4,Acuses!$C$5:$C$3004,H$5),H$8)&lt;Resumen!$C$4+30,"Caduca pronto","OK"))))))</f>
        <v/>
      </c>
      <c r="I42" s="26" t="str">
        <f aca="false">IF(OR($A42="",I$4=""),"",IF(NOT(OR(I$6="Toda la plantilla",ISNUMBER(SEARCH(";"&amp;SUBSTITUTE($C42," ","")&amp;";",";"&amp;SUBSTITUTE(I$7," ","")&amp;";")))),"—",IF(_xlfn.MAXIFS(Acuses!$C$5:$C$3004,Acuses!$A$5:$A$3004,$A42,Acuses!$B$5:$B$3004,I$4)&lt;I$5,"Pendiente",IF(I$8=0,"OK",IF(EDATE(_xlfn.MAXIFS(Acuses!$D$5:$D$3004,Acuses!$A$5:$A$3004,$A42,Acuses!$B$5:$B$3004,I$4,Acuses!$C$5:$C$3004,I$5),I$8)&lt;Resumen!$C$4,"Caducado",IF(EDATE(_xlfn.MAXIFS(Acuses!$D$5:$D$3004,Acuses!$A$5:$A$3004,$A42,Acuses!$B$5:$B$3004,I$4,Acuses!$C$5:$C$3004,I$5),I$8)&lt;Resumen!$C$4+30,"Caduca pronto","OK"))))))</f>
        <v/>
      </c>
      <c r="J42" s="26" t="str">
        <f aca="false">IF(OR($A42="",J$4=""),"",IF(NOT(OR(J$6="Toda la plantilla",ISNUMBER(SEARCH(";"&amp;SUBSTITUTE($C42," ","")&amp;";",";"&amp;SUBSTITUTE(J$7," ","")&amp;";")))),"—",IF(_xlfn.MAXIFS(Acuses!$C$5:$C$3004,Acuses!$A$5:$A$3004,$A42,Acuses!$B$5:$B$3004,J$4)&lt;J$5,"Pendiente",IF(J$8=0,"OK",IF(EDATE(_xlfn.MAXIFS(Acuses!$D$5:$D$3004,Acuses!$A$5:$A$3004,$A42,Acuses!$B$5:$B$3004,J$4,Acuses!$C$5:$C$3004,J$5),J$8)&lt;Resumen!$C$4,"Caducado",IF(EDATE(_xlfn.MAXIFS(Acuses!$D$5:$D$3004,Acuses!$A$5:$A$3004,$A42,Acuses!$B$5:$B$3004,J$4,Acuses!$C$5:$C$3004,J$5),J$8)&lt;Resumen!$C$4+30,"Caduca pronto","OK"))))))</f>
        <v/>
      </c>
      <c r="K42" s="26" t="str">
        <f aca="false">IF(OR($A42="",K$4=""),"",IF(NOT(OR(K$6="Toda la plantilla",ISNUMBER(SEARCH(";"&amp;SUBSTITUTE($C42," ","")&amp;";",";"&amp;SUBSTITUTE(K$7," ","")&amp;";")))),"—",IF(_xlfn.MAXIFS(Acuses!$C$5:$C$3004,Acuses!$A$5:$A$3004,$A42,Acuses!$B$5:$B$3004,K$4)&lt;K$5,"Pendiente",IF(K$8=0,"OK",IF(EDATE(_xlfn.MAXIFS(Acuses!$D$5:$D$3004,Acuses!$A$5:$A$3004,$A42,Acuses!$B$5:$B$3004,K$4,Acuses!$C$5:$C$3004,K$5),K$8)&lt;Resumen!$C$4,"Caducado",IF(EDATE(_xlfn.MAXIFS(Acuses!$D$5:$D$3004,Acuses!$A$5:$A$3004,$A42,Acuses!$B$5:$B$3004,K$4,Acuses!$C$5:$C$3004,K$5),K$8)&lt;Resumen!$C$4+30,"Caduca pronto","OK"))))))</f>
        <v/>
      </c>
      <c r="L42" s="26" t="str">
        <f aca="false">IF(OR($A42="",L$4=""),"",IF(NOT(OR(L$6="Toda la plantilla",ISNUMBER(SEARCH(";"&amp;SUBSTITUTE($C42," ","")&amp;";",";"&amp;SUBSTITUTE(L$7," ","")&amp;";")))),"—",IF(_xlfn.MAXIFS(Acuses!$C$5:$C$3004,Acuses!$A$5:$A$3004,$A42,Acuses!$B$5:$B$3004,L$4)&lt;L$5,"Pendiente",IF(L$8=0,"OK",IF(EDATE(_xlfn.MAXIFS(Acuses!$D$5:$D$3004,Acuses!$A$5:$A$3004,$A42,Acuses!$B$5:$B$3004,L$4,Acuses!$C$5:$C$3004,L$5),L$8)&lt;Resumen!$C$4,"Caducado",IF(EDATE(_xlfn.MAXIFS(Acuses!$D$5:$D$3004,Acuses!$A$5:$A$3004,$A42,Acuses!$B$5:$B$3004,L$4,Acuses!$C$5:$C$3004,L$5),L$8)&lt;Resumen!$C$4+30,"Caduca pronto","OK"))))))</f>
        <v/>
      </c>
      <c r="M42" s="26" t="str">
        <f aca="false">IF(OR($A42="",M$4=""),"",IF(NOT(OR(M$6="Toda la plantilla",ISNUMBER(SEARCH(";"&amp;SUBSTITUTE($C42," ","")&amp;";",";"&amp;SUBSTITUTE(M$7," ","")&amp;";")))),"—",IF(_xlfn.MAXIFS(Acuses!$C$5:$C$3004,Acuses!$A$5:$A$3004,$A42,Acuses!$B$5:$B$3004,M$4)&lt;M$5,"Pendiente",IF(M$8=0,"OK",IF(EDATE(_xlfn.MAXIFS(Acuses!$D$5:$D$3004,Acuses!$A$5:$A$3004,$A42,Acuses!$B$5:$B$3004,M$4,Acuses!$C$5:$C$3004,M$5),M$8)&lt;Resumen!$C$4,"Caducado",IF(EDATE(_xlfn.MAXIFS(Acuses!$D$5:$D$3004,Acuses!$A$5:$A$3004,$A42,Acuses!$B$5:$B$3004,M$4,Acuses!$C$5:$C$3004,M$5),M$8)&lt;Resumen!$C$4+30,"Caduca pronto","OK"))))))</f>
        <v/>
      </c>
      <c r="N42" s="26" t="str">
        <f aca="false">IF(OR($A42="",N$4=""),"",IF(NOT(OR(N$6="Toda la plantilla",ISNUMBER(SEARCH(";"&amp;SUBSTITUTE($C42," ","")&amp;";",";"&amp;SUBSTITUTE(N$7," ","")&amp;";")))),"—",IF(_xlfn.MAXIFS(Acuses!$C$5:$C$3004,Acuses!$A$5:$A$3004,$A42,Acuses!$B$5:$B$3004,N$4)&lt;N$5,"Pendiente",IF(N$8=0,"OK",IF(EDATE(_xlfn.MAXIFS(Acuses!$D$5:$D$3004,Acuses!$A$5:$A$3004,$A42,Acuses!$B$5:$B$3004,N$4,Acuses!$C$5:$C$3004,N$5),N$8)&lt;Resumen!$C$4,"Caducado",IF(EDATE(_xlfn.MAXIFS(Acuses!$D$5:$D$3004,Acuses!$A$5:$A$3004,$A42,Acuses!$B$5:$B$3004,N$4,Acuses!$C$5:$C$3004,N$5),N$8)&lt;Resumen!$C$4+30,"Caduca pronto","OK"))))))</f>
        <v/>
      </c>
      <c r="O42" s="26" t="str">
        <f aca="false">IF(OR($A42="",O$4=""),"",IF(NOT(OR(O$6="Toda la plantilla",ISNUMBER(SEARCH(";"&amp;SUBSTITUTE($C42," ","")&amp;";",";"&amp;SUBSTITUTE(O$7," ","")&amp;";")))),"—",IF(_xlfn.MAXIFS(Acuses!$C$5:$C$3004,Acuses!$A$5:$A$3004,$A42,Acuses!$B$5:$B$3004,O$4)&lt;O$5,"Pendiente",IF(O$8=0,"OK",IF(EDATE(_xlfn.MAXIFS(Acuses!$D$5:$D$3004,Acuses!$A$5:$A$3004,$A42,Acuses!$B$5:$B$3004,O$4,Acuses!$C$5:$C$3004,O$5),O$8)&lt;Resumen!$C$4,"Caducado",IF(EDATE(_xlfn.MAXIFS(Acuses!$D$5:$D$3004,Acuses!$A$5:$A$3004,$A42,Acuses!$B$5:$B$3004,O$4,Acuses!$C$5:$C$3004,O$5),O$8)&lt;Resumen!$C$4+30,"Caduca pronto","OK"))))))</f>
        <v/>
      </c>
      <c r="P42" s="26" t="str">
        <f aca="false">IF(OR($A42="",P$4=""),"",IF(NOT(OR(P$6="Toda la plantilla",ISNUMBER(SEARCH(";"&amp;SUBSTITUTE($C42," ","")&amp;";",";"&amp;SUBSTITUTE(P$7," ","")&amp;";")))),"—",IF(_xlfn.MAXIFS(Acuses!$C$5:$C$3004,Acuses!$A$5:$A$3004,$A42,Acuses!$B$5:$B$3004,P$4)&lt;P$5,"Pendiente",IF(P$8=0,"OK",IF(EDATE(_xlfn.MAXIFS(Acuses!$D$5:$D$3004,Acuses!$A$5:$A$3004,$A42,Acuses!$B$5:$B$3004,P$4,Acuses!$C$5:$C$3004,P$5),P$8)&lt;Resumen!$C$4,"Caducado",IF(EDATE(_xlfn.MAXIFS(Acuses!$D$5:$D$3004,Acuses!$A$5:$A$3004,$A42,Acuses!$B$5:$B$3004,P$4,Acuses!$C$5:$C$3004,P$5),P$8)&lt;Resumen!$C$4+30,"Caduca pronto","OK"))))))</f>
        <v/>
      </c>
      <c r="Q42" s="26" t="str">
        <f aca="false">IF(OR($A42="",Q$4=""),"",IF(NOT(OR(Q$6="Toda la plantilla",ISNUMBER(SEARCH(";"&amp;SUBSTITUTE($C42," ","")&amp;";",";"&amp;SUBSTITUTE(Q$7," ","")&amp;";")))),"—",IF(_xlfn.MAXIFS(Acuses!$C$5:$C$3004,Acuses!$A$5:$A$3004,$A42,Acuses!$B$5:$B$3004,Q$4)&lt;Q$5,"Pendiente",IF(Q$8=0,"OK",IF(EDATE(_xlfn.MAXIFS(Acuses!$D$5:$D$3004,Acuses!$A$5:$A$3004,$A42,Acuses!$B$5:$B$3004,Q$4,Acuses!$C$5:$C$3004,Q$5),Q$8)&lt;Resumen!$C$4,"Caducado",IF(EDATE(_xlfn.MAXIFS(Acuses!$D$5:$D$3004,Acuses!$A$5:$A$3004,$A42,Acuses!$B$5:$B$3004,Q$4,Acuses!$C$5:$C$3004,Q$5),Q$8)&lt;Resumen!$C$4+30,"Caduca pronto","OK"))))))</f>
        <v/>
      </c>
      <c r="R42" s="26" t="str">
        <f aca="false">IF(OR($A42="",R$4=""),"",IF(NOT(OR(R$6="Toda la plantilla",ISNUMBER(SEARCH(";"&amp;SUBSTITUTE($C42," ","")&amp;";",";"&amp;SUBSTITUTE(R$7," ","")&amp;";")))),"—",IF(_xlfn.MAXIFS(Acuses!$C$5:$C$3004,Acuses!$A$5:$A$3004,$A42,Acuses!$B$5:$B$3004,R$4)&lt;R$5,"Pendiente",IF(R$8=0,"OK",IF(EDATE(_xlfn.MAXIFS(Acuses!$D$5:$D$3004,Acuses!$A$5:$A$3004,$A42,Acuses!$B$5:$B$3004,R$4,Acuses!$C$5:$C$3004,R$5),R$8)&lt;Resumen!$C$4,"Caducado",IF(EDATE(_xlfn.MAXIFS(Acuses!$D$5:$D$3004,Acuses!$A$5:$A$3004,$A42,Acuses!$B$5:$B$3004,R$4,Acuses!$C$5:$C$3004,R$5),R$8)&lt;Resumen!$C$4+30,"Caduca pronto","OK"))))))</f>
        <v/>
      </c>
      <c r="S42" s="26" t="str">
        <f aca="false">IF(OR($A42="",S$4=""),"",IF(NOT(OR(S$6="Toda la plantilla",ISNUMBER(SEARCH(";"&amp;SUBSTITUTE($C42," ","")&amp;";",";"&amp;SUBSTITUTE(S$7," ","")&amp;";")))),"—",IF(_xlfn.MAXIFS(Acuses!$C$5:$C$3004,Acuses!$A$5:$A$3004,$A42,Acuses!$B$5:$B$3004,S$4)&lt;S$5,"Pendiente",IF(S$8=0,"OK",IF(EDATE(_xlfn.MAXIFS(Acuses!$D$5:$D$3004,Acuses!$A$5:$A$3004,$A42,Acuses!$B$5:$B$3004,S$4,Acuses!$C$5:$C$3004,S$5),S$8)&lt;Resumen!$C$4,"Caducado",IF(EDATE(_xlfn.MAXIFS(Acuses!$D$5:$D$3004,Acuses!$A$5:$A$3004,$A42,Acuses!$B$5:$B$3004,S$4,Acuses!$C$5:$C$3004,S$5),S$8)&lt;Resumen!$C$4+30,"Caduca pronto","OK"))))))</f>
        <v/>
      </c>
      <c r="T42" s="26" t="str">
        <f aca="false">IF(OR($A42="",T$4=""),"",IF(NOT(OR(T$6="Toda la plantilla",ISNUMBER(SEARCH(";"&amp;SUBSTITUTE($C42," ","")&amp;";",";"&amp;SUBSTITUTE(T$7," ","")&amp;";")))),"—",IF(_xlfn.MAXIFS(Acuses!$C$5:$C$3004,Acuses!$A$5:$A$3004,$A42,Acuses!$B$5:$B$3004,T$4)&lt;T$5,"Pendiente",IF(T$8=0,"OK",IF(EDATE(_xlfn.MAXIFS(Acuses!$D$5:$D$3004,Acuses!$A$5:$A$3004,$A42,Acuses!$B$5:$B$3004,T$4,Acuses!$C$5:$C$3004,T$5),T$8)&lt;Resumen!$C$4,"Caducado",IF(EDATE(_xlfn.MAXIFS(Acuses!$D$5:$D$3004,Acuses!$A$5:$A$3004,$A42,Acuses!$B$5:$B$3004,T$4,Acuses!$C$5:$C$3004,T$5),T$8)&lt;Resumen!$C$4+30,"Caduca pronto","OK"))))))</f>
        <v/>
      </c>
      <c r="U42" s="26" t="str">
        <f aca="false">IF(OR($A42="",U$4=""),"",IF(NOT(OR(U$6="Toda la plantilla",ISNUMBER(SEARCH(";"&amp;SUBSTITUTE($C42," ","")&amp;";",";"&amp;SUBSTITUTE(U$7," ","")&amp;";")))),"—",IF(_xlfn.MAXIFS(Acuses!$C$5:$C$3004,Acuses!$A$5:$A$3004,$A42,Acuses!$B$5:$B$3004,U$4)&lt;U$5,"Pendiente",IF(U$8=0,"OK",IF(EDATE(_xlfn.MAXIFS(Acuses!$D$5:$D$3004,Acuses!$A$5:$A$3004,$A42,Acuses!$B$5:$B$3004,U$4,Acuses!$C$5:$C$3004,U$5),U$8)&lt;Resumen!$C$4,"Caducado",IF(EDATE(_xlfn.MAXIFS(Acuses!$D$5:$D$3004,Acuses!$A$5:$A$3004,$A42,Acuses!$B$5:$B$3004,U$4,Acuses!$C$5:$C$3004,U$5),U$8)&lt;Resumen!$C$4+30,"Caduca pronto","OK"))))))</f>
        <v/>
      </c>
      <c r="V42" s="26" t="str">
        <f aca="false">IF(OR($A42="",V$4=""),"",IF(NOT(OR(V$6="Toda la plantilla",ISNUMBER(SEARCH(";"&amp;SUBSTITUTE($C42," ","")&amp;";",";"&amp;SUBSTITUTE(V$7," ","")&amp;";")))),"—",IF(_xlfn.MAXIFS(Acuses!$C$5:$C$3004,Acuses!$A$5:$A$3004,$A42,Acuses!$B$5:$B$3004,V$4)&lt;V$5,"Pendiente",IF(V$8=0,"OK",IF(EDATE(_xlfn.MAXIFS(Acuses!$D$5:$D$3004,Acuses!$A$5:$A$3004,$A42,Acuses!$B$5:$B$3004,V$4,Acuses!$C$5:$C$3004,V$5),V$8)&lt;Resumen!$C$4,"Caducado",IF(EDATE(_xlfn.MAXIFS(Acuses!$D$5:$D$3004,Acuses!$A$5:$A$3004,$A42,Acuses!$B$5:$B$3004,V$4,Acuses!$C$5:$C$3004,V$5),V$8)&lt;Resumen!$C$4+30,"Caduca pronto","OK"))))))</f>
        <v/>
      </c>
      <c r="W42" s="26" t="str">
        <f aca="false">IF(OR($A42="",W$4=""),"",IF(NOT(OR(W$6="Toda la plantilla",ISNUMBER(SEARCH(";"&amp;SUBSTITUTE($C42," ","")&amp;";",";"&amp;SUBSTITUTE(W$7," ","")&amp;";")))),"—",IF(_xlfn.MAXIFS(Acuses!$C$5:$C$3004,Acuses!$A$5:$A$3004,$A42,Acuses!$B$5:$B$3004,W$4)&lt;W$5,"Pendiente",IF(W$8=0,"OK",IF(EDATE(_xlfn.MAXIFS(Acuses!$D$5:$D$3004,Acuses!$A$5:$A$3004,$A42,Acuses!$B$5:$B$3004,W$4,Acuses!$C$5:$C$3004,W$5),W$8)&lt;Resumen!$C$4,"Caducado",IF(EDATE(_xlfn.MAXIFS(Acuses!$D$5:$D$3004,Acuses!$A$5:$A$3004,$A42,Acuses!$B$5:$B$3004,W$4,Acuses!$C$5:$C$3004,W$5),W$8)&lt;Resumen!$C$4+30,"Caduca pronto","OK"))))))</f>
        <v/>
      </c>
      <c r="X42" s="26" t="str">
        <f aca="false">IF(OR($A42="",X$4=""),"",IF(NOT(OR(X$6="Toda la plantilla",ISNUMBER(SEARCH(";"&amp;SUBSTITUTE($C42," ","")&amp;";",";"&amp;SUBSTITUTE(X$7," ","")&amp;";")))),"—",IF(_xlfn.MAXIFS(Acuses!$C$5:$C$3004,Acuses!$A$5:$A$3004,$A42,Acuses!$B$5:$B$3004,X$4)&lt;X$5,"Pendiente",IF(X$8=0,"OK",IF(EDATE(_xlfn.MAXIFS(Acuses!$D$5:$D$3004,Acuses!$A$5:$A$3004,$A42,Acuses!$B$5:$B$3004,X$4,Acuses!$C$5:$C$3004,X$5),X$8)&lt;Resumen!$C$4,"Caducado",IF(EDATE(_xlfn.MAXIFS(Acuses!$D$5:$D$3004,Acuses!$A$5:$A$3004,$A42,Acuses!$B$5:$B$3004,X$4,Acuses!$C$5:$C$3004,X$5),X$8)&lt;Resumen!$C$4+30,"Caduca pronto","OK"))))))</f>
        <v/>
      </c>
      <c r="Y42" s="26" t="str">
        <f aca="false">IF(OR($A42="",Y$4=""),"",IF(NOT(OR(Y$6="Toda la plantilla",ISNUMBER(SEARCH(";"&amp;SUBSTITUTE($C42," ","")&amp;";",";"&amp;SUBSTITUTE(Y$7," ","")&amp;";")))),"—",IF(_xlfn.MAXIFS(Acuses!$C$5:$C$3004,Acuses!$A$5:$A$3004,$A42,Acuses!$B$5:$B$3004,Y$4)&lt;Y$5,"Pendiente",IF(Y$8=0,"OK",IF(EDATE(_xlfn.MAXIFS(Acuses!$D$5:$D$3004,Acuses!$A$5:$A$3004,$A42,Acuses!$B$5:$B$3004,Y$4,Acuses!$C$5:$C$3004,Y$5),Y$8)&lt;Resumen!$C$4,"Caducado",IF(EDATE(_xlfn.MAXIFS(Acuses!$D$5:$D$3004,Acuses!$A$5:$A$3004,$A42,Acuses!$B$5:$B$3004,Y$4,Acuses!$C$5:$C$3004,Y$5),Y$8)&lt;Resumen!$C$4+30,"Caduca pronto","OK"))))))</f>
        <v/>
      </c>
      <c r="Z42" s="26" t="str">
        <f aca="false">IF(OR($A42="",Z$4=""),"",IF(NOT(OR(Z$6="Toda la plantilla",ISNUMBER(SEARCH(";"&amp;SUBSTITUTE($C42," ","")&amp;";",";"&amp;SUBSTITUTE(Z$7," ","")&amp;";")))),"—",IF(_xlfn.MAXIFS(Acuses!$C$5:$C$3004,Acuses!$A$5:$A$3004,$A42,Acuses!$B$5:$B$3004,Z$4)&lt;Z$5,"Pendiente",IF(Z$8=0,"OK",IF(EDATE(_xlfn.MAXIFS(Acuses!$D$5:$D$3004,Acuses!$A$5:$A$3004,$A42,Acuses!$B$5:$B$3004,Z$4,Acuses!$C$5:$C$3004,Z$5),Z$8)&lt;Resumen!$C$4,"Caducado",IF(EDATE(_xlfn.MAXIFS(Acuses!$D$5:$D$3004,Acuses!$A$5:$A$3004,$A42,Acuses!$B$5:$B$3004,Z$4,Acuses!$C$5:$C$3004,Z$5),Z$8)&lt;Resumen!$C$4+30,"Caduca pronto","OK"))))))</f>
        <v/>
      </c>
      <c r="AA42" s="26" t="str">
        <f aca="false">IF(OR($A42="",AA$4=""),"",IF(NOT(OR(AA$6="Toda la plantilla",ISNUMBER(SEARCH(";"&amp;SUBSTITUTE($C42," ","")&amp;";",";"&amp;SUBSTITUTE(AA$7," ","")&amp;";")))),"—",IF(_xlfn.MAXIFS(Acuses!$C$5:$C$3004,Acuses!$A$5:$A$3004,$A42,Acuses!$B$5:$B$3004,AA$4)&lt;AA$5,"Pendiente",IF(AA$8=0,"OK",IF(EDATE(_xlfn.MAXIFS(Acuses!$D$5:$D$3004,Acuses!$A$5:$A$3004,$A42,Acuses!$B$5:$B$3004,AA$4,Acuses!$C$5:$C$3004,AA$5),AA$8)&lt;Resumen!$C$4,"Caducado",IF(EDATE(_xlfn.MAXIFS(Acuses!$D$5:$D$3004,Acuses!$A$5:$A$3004,$A42,Acuses!$B$5:$B$3004,AA$4,Acuses!$C$5:$C$3004,AA$5),AA$8)&lt;Resumen!$C$4+30,"Caduca pronto","OK"))))))</f>
        <v/>
      </c>
      <c r="AB42" s="26" t="str">
        <f aca="false">IF(OR($A42="",AB$4=""),"",IF(NOT(OR(AB$6="Toda la plantilla",ISNUMBER(SEARCH(";"&amp;SUBSTITUTE($C42," ","")&amp;";",";"&amp;SUBSTITUTE(AB$7," ","")&amp;";")))),"—",IF(_xlfn.MAXIFS(Acuses!$C$5:$C$3004,Acuses!$A$5:$A$3004,$A42,Acuses!$B$5:$B$3004,AB$4)&lt;AB$5,"Pendiente",IF(AB$8=0,"OK",IF(EDATE(_xlfn.MAXIFS(Acuses!$D$5:$D$3004,Acuses!$A$5:$A$3004,$A42,Acuses!$B$5:$B$3004,AB$4,Acuses!$C$5:$C$3004,AB$5),AB$8)&lt;Resumen!$C$4,"Caducado",IF(EDATE(_xlfn.MAXIFS(Acuses!$D$5:$D$3004,Acuses!$A$5:$A$3004,$A42,Acuses!$B$5:$B$3004,AB$4,Acuses!$C$5:$C$3004,AB$5),AB$8)&lt;Resumen!$C$4+30,"Caduca pronto","OK"))))))</f>
        <v/>
      </c>
      <c r="AC42" s="26" t="str">
        <f aca="false">IF(OR($A42="",AC$4=""),"",IF(NOT(OR(AC$6="Toda la plantilla",ISNUMBER(SEARCH(";"&amp;SUBSTITUTE($C42," ","")&amp;";",";"&amp;SUBSTITUTE(AC$7," ","")&amp;";")))),"—",IF(_xlfn.MAXIFS(Acuses!$C$5:$C$3004,Acuses!$A$5:$A$3004,$A42,Acuses!$B$5:$B$3004,AC$4)&lt;AC$5,"Pendiente",IF(AC$8=0,"OK",IF(EDATE(_xlfn.MAXIFS(Acuses!$D$5:$D$3004,Acuses!$A$5:$A$3004,$A42,Acuses!$B$5:$B$3004,AC$4,Acuses!$C$5:$C$3004,AC$5),AC$8)&lt;Resumen!$C$4,"Caducado",IF(EDATE(_xlfn.MAXIFS(Acuses!$D$5:$D$3004,Acuses!$A$5:$A$3004,$A42,Acuses!$B$5:$B$3004,AC$4,Acuses!$C$5:$C$3004,AC$5),AC$8)&lt;Resumen!$C$4+30,"Caduca pronto","OK"))))))</f>
        <v/>
      </c>
      <c r="AD42" s="26" t="str">
        <f aca="false">IF(OR($A42="",AD$4=""),"",IF(NOT(OR(AD$6="Toda la plantilla",ISNUMBER(SEARCH(";"&amp;SUBSTITUTE($C42," ","")&amp;";",";"&amp;SUBSTITUTE(AD$7," ","")&amp;";")))),"—",IF(_xlfn.MAXIFS(Acuses!$C$5:$C$3004,Acuses!$A$5:$A$3004,$A42,Acuses!$B$5:$B$3004,AD$4)&lt;AD$5,"Pendiente",IF(AD$8=0,"OK",IF(EDATE(_xlfn.MAXIFS(Acuses!$D$5:$D$3004,Acuses!$A$5:$A$3004,$A42,Acuses!$B$5:$B$3004,AD$4,Acuses!$C$5:$C$3004,AD$5),AD$8)&lt;Resumen!$C$4,"Caducado",IF(EDATE(_xlfn.MAXIFS(Acuses!$D$5:$D$3004,Acuses!$A$5:$A$3004,$A42,Acuses!$B$5:$B$3004,AD$4,Acuses!$C$5:$C$3004,AD$5),AD$8)&lt;Resumen!$C$4+30,"Caduca pronto","OK"))))))</f>
        <v/>
      </c>
      <c r="AE42" s="26" t="str">
        <f aca="false">IF(OR($A42="",AE$4=""),"",IF(NOT(OR(AE$6="Toda la plantilla",ISNUMBER(SEARCH(";"&amp;SUBSTITUTE($C42," ","")&amp;";",";"&amp;SUBSTITUTE(AE$7," ","")&amp;";")))),"—",IF(_xlfn.MAXIFS(Acuses!$C$5:$C$3004,Acuses!$A$5:$A$3004,$A42,Acuses!$B$5:$B$3004,AE$4)&lt;AE$5,"Pendiente",IF(AE$8=0,"OK",IF(EDATE(_xlfn.MAXIFS(Acuses!$D$5:$D$3004,Acuses!$A$5:$A$3004,$A42,Acuses!$B$5:$B$3004,AE$4,Acuses!$C$5:$C$3004,AE$5),AE$8)&lt;Resumen!$C$4,"Caducado",IF(EDATE(_xlfn.MAXIFS(Acuses!$D$5:$D$3004,Acuses!$A$5:$A$3004,$A42,Acuses!$B$5:$B$3004,AE$4,Acuses!$C$5:$C$3004,AE$5),AE$8)&lt;Resumen!$C$4+30,"Caduca pronto","OK"))))))</f>
        <v/>
      </c>
      <c r="AF42" s="26" t="str">
        <f aca="false">IF(OR($A42="",AF$4=""),"",IF(NOT(OR(AF$6="Toda la plantilla",ISNUMBER(SEARCH(";"&amp;SUBSTITUTE($C42," ","")&amp;";",";"&amp;SUBSTITUTE(AF$7," ","")&amp;";")))),"—",IF(_xlfn.MAXIFS(Acuses!$C$5:$C$3004,Acuses!$A$5:$A$3004,$A42,Acuses!$B$5:$B$3004,AF$4)&lt;AF$5,"Pendiente",IF(AF$8=0,"OK",IF(EDATE(_xlfn.MAXIFS(Acuses!$D$5:$D$3004,Acuses!$A$5:$A$3004,$A42,Acuses!$B$5:$B$3004,AF$4,Acuses!$C$5:$C$3004,AF$5),AF$8)&lt;Resumen!$C$4,"Caducado",IF(EDATE(_xlfn.MAXIFS(Acuses!$D$5:$D$3004,Acuses!$A$5:$A$3004,$A42,Acuses!$B$5:$B$3004,AF$4,Acuses!$C$5:$C$3004,AF$5),AF$8)&lt;Resumen!$C$4+30,"Caduca pronto","OK"))))))</f>
        <v/>
      </c>
      <c r="AG42" s="26" t="str">
        <f aca="false">IF(OR($A42="",AG$4=""),"",IF(NOT(OR(AG$6="Toda la plantilla",ISNUMBER(SEARCH(";"&amp;SUBSTITUTE($C42," ","")&amp;";",";"&amp;SUBSTITUTE(AG$7," ","")&amp;";")))),"—",IF(_xlfn.MAXIFS(Acuses!$C$5:$C$3004,Acuses!$A$5:$A$3004,$A42,Acuses!$B$5:$B$3004,AG$4)&lt;AG$5,"Pendiente",IF(AG$8=0,"OK",IF(EDATE(_xlfn.MAXIFS(Acuses!$D$5:$D$3004,Acuses!$A$5:$A$3004,$A42,Acuses!$B$5:$B$3004,AG$4,Acuses!$C$5:$C$3004,AG$5),AG$8)&lt;Resumen!$C$4,"Caducado",IF(EDATE(_xlfn.MAXIFS(Acuses!$D$5:$D$3004,Acuses!$A$5:$A$3004,$A42,Acuses!$B$5:$B$3004,AG$4,Acuses!$C$5:$C$3004,AG$5),AG$8)&lt;Resumen!$C$4+30,"Caduca pronto","OK"))))))</f>
        <v/>
      </c>
      <c r="AH42" s="26" t="str">
        <f aca="false">IF(OR($A42="",AH$4=""),"",IF(NOT(OR(AH$6="Toda la plantilla",ISNUMBER(SEARCH(";"&amp;SUBSTITUTE($C42," ","")&amp;";",";"&amp;SUBSTITUTE(AH$7," ","")&amp;";")))),"—",IF(_xlfn.MAXIFS(Acuses!$C$5:$C$3004,Acuses!$A$5:$A$3004,$A42,Acuses!$B$5:$B$3004,AH$4)&lt;AH$5,"Pendiente",IF(AH$8=0,"OK",IF(EDATE(_xlfn.MAXIFS(Acuses!$D$5:$D$3004,Acuses!$A$5:$A$3004,$A42,Acuses!$B$5:$B$3004,AH$4,Acuses!$C$5:$C$3004,AH$5),AH$8)&lt;Resumen!$C$4,"Caducado",IF(EDATE(_xlfn.MAXIFS(Acuses!$D$5:$D$3004,Acuses!$A$5:$A$3004,$A42,Acuses!$B$5:$B$3004,AH$4,Acuses!$C$5:$C$3004,AH$5),AH$8)&lt;Resumen!$C$4+30,"Caduca pronto","OK"))))))</f>
        <v/>
      </c>
      <c r="AI42" s="26" t="str">
        <f aca="false">IF(OR($A42="",AI$4=""),"",IF(NOT(OR(AI$6="Toda la plantilla",ISNUMBER(SEARCH(";"&amp;SUBSTITUTE($C42," ","")&amp;";",";"&amp;SUBSTITUTE(AI$7," ","")&amp;";")))),"—",IF(_xlfn.MAXIFS(Acuses!$C$5:$C$3004,Acuses!$A$5:$A$3004,$A42,Acuses!$B$5:$B$3004,AI$4)&lt;AI$5,"Pendiente",IF(AI$8=0,"OK",IF(EDATE(_xlfn.MAXIFS(Acuses!$D$5:$D$3004,Acuses!$A$5:$A$3004,$A42,Acuses!$B$5:$B$3004,AI$4,Acuses!$C$5:$C$3004,AI$5),AI$8)&lt;Resumen!$C$4,"Caducado",IF(EDATE(_xlfn.MAXIFS(Acuses!$D$5:$D$3004,Acuses!$A$5:$A$3004,$A42,Acuses!$B$5:$B$3004,AI$4,Acuses!$C$5:$C$3004,AI$5),AI$8)&lt;Resumen!$C$4+30,"Caduca pronto","OK"))))))</f>
        <v/>
      </c>
      <c r="AJ42" s="26" t="str">
        <f aca="false">IF(OR($A42="",AJ$4=""),"",IF(NOT(OR(AJ$6="Toda la plantilla",ISNUMBER(SEARCH(";"&amp;SUBSTITUTE($C42," ","")&amp;";",";"&amp;SUBSTITUTE(AJ$7," ","")&amp;";")))),"—",IF(_xlfn.MAXIFS(Acuses!$C$5:$C$3004,Acuses!$A$5:$A$3004,$A42,Acuses!$B$5:$B$3004,AJ$4)&lt;AJ$5,"Pendiente",IF(AJ$8=0,"OK",IF(EDATE(_xlfn.MAXIFS(Acuses!$D$5:$D$3004,Acuses!$A$5:$A$3004,$A42,Acuses!$B$5:$B$3004,AJ$4,Acuses!$C$5:$C$3004,AJ$5),AJ$8)&lt;Resumen!$C$4,"Caducado",IF(EDATE(_xlfn.MAXIFS(Acuses!$D$5:$D$3004,Acuses!$A$5:$A$3004,$A42,Acuses!$B$5:$B$3004,AJ$4,Acuses!$C$5:$C$3004,AJ$5),AJ$8)&lt;Resumen!$C$4+30,"Caduca pronto","OK"))))))</f>
        <v/>
      </c>
      <c r="AK42" s="26" t="str">
        <f aca="false">IF(OR($A42="",AK$4=""),"",IF(NOT(OR(AK$6="Toda la plantilla",ISNUMBER(SEARCH(";"&amp;SUBSTITUTE($C42," ","")&amp;";",";"&amp;SUBSTITUTE(AK$7," ","")&amp;";")))),"—",IF(_xlfn.MAXIFS(Acuses!$C$5:$C$3004,Acuses!$A$5:$A$3004,$A42,Acuses!$B$5:$B$3004,AK$4)&lt;AK$5,"Pendiente",IF(AK$8=0,"OK",IF(EDATE(_xlfn.MAXIFS(Acuses!$D$5:$D$3004,Acuses!$A$5:$A$3004,$A42,Acuses!$B$5:$B$3004,AK$4,Acuses!$C$5:$C$3004,AK$5),AK$8)&lt;Resumen!$C$4,"Caducado",IF(EDATE(_xlfn.MAXIFS(Acuses!$D$5:$D$3004,Acuses!$A$5:$A$3004,$A42,Acuses!$B$5:$B$3004,AK$4,Acuses!$C$5:$C$3004,AK$5),AK$8)&lt;Resumen!$C$4+30,"Caduca pronto","OK"))))))</f>
        <v/>
      </c>
      <c r="AL42" s="26" t="str">
        <f aca="false">IF(OR($A42="",AL$4=""),"",IF(NOT(OR(AL$6="Toda la plantilla",ISNUMBER(SEARCH(";"&amp;SUBSTITUTE($C42," ","")&amp;";",";"&amp;SUBSTITUTE(AL$7," ","")&amp;";")))),"—",IF(_xlfn.MAXIFS(Acuses!$C$5:$C$3004,Acuses!$A$5:$A$3004,$A42,Acuses!$B$5:$B$3004,AL$4)&lt;AL$5,"Pendiente",IF(AL$8=0,"OK",IF(EDATE(_xlfn.MAXIFS(Acuses!$D$5:$D$3004,Acuses!$A$5:$A$3004,$A42,Acuses!$B$5:$B$3004,AL$4,Acuses!$C$5:$C$3004,AL$5),AL$8)&lt;Resumen!$C$4,"Caducado",IF(EDATE(_xlfn.MAXIFS(Acuses!$D$5:$D$3004,Acuses!$A$5:$A$3004,$A42,Acuses!$B$5:$B$3004,AL$4,Acuses!$C$5:$C$3004,AL$5),AL$8)&lt;Resumen!$C$4+30,"Caduca pronto","OK"))))))</f>
        <v/>
      </c>
      <c r="AM42" s="26" t="str">
        <f aca="false">IF(OR($A42="",AM$4=""),"",IF(NOT(OR(AM$6="Toda la plantilla",ISNUMBER(SEARCH(";"&amp;SUBSTITUTE($C42," ","")&amp;";",";"&amp;SUBSTITUTE(AM$7," ","")&amp;";")))),"—",IF(_xlfn.MAXIFS(Acuses!$C$5:$C$3004,Acuses!$A$5:$A$3004,$A42,Acuses!$B$5:$B$3004,AM$4)&lt;AM$5,"Pendiente",IF(AM$8=0,"OK",IF(EDATE(_xlfn.MAXIFS(Acuses!$D$5:$D$3004,Acuses!$A$5:$A$3004,$A42,Acuses!$B$5:$B$3004,AM$4,Acuses!$C$5:$C$3004,AM$5),AM$8)&lt;Resumen!$C$4,"Caducado",IF(EDATE(_xlfn.MAXIFS(Acuses!$D$5:$D$3004,Acuses!$A$5:$A$3004,$A42,Acuses!$B$5:$B$3004,AM$4,Acuses!$C$5:$C$3004,AM$5),AM$8)&lt;Resumen!$C$4+30,"Caduca pronto","OK"))))))</f>
        <v/>
      </c>
      <c r="AN42" s="26" t="str">
        <f aca="false">IF(OR($A42="",AN$4=""),"",IF(NOT(OR(AN$6="Toda la plantilla",ISNUMBER(SEARCH(";"&amp;SUBSTITUTE($C42," ","")&amp;";",";"&amp;SUBSTITUTE(AN$7," ","")&amp;";")))),"—",IF(_xlfn.MAXIFS(Acuses!$C$5:$C$3004,Acuses!$A$5:$A$3004,$A42,Acuses!$B$5:$B$3004,AN$4)&lt;AN$5,"Pendiente",IF(AN$8=0,"OK",IF(EDATE(_xlfn.MAXIFS(Acuses!$D$5:$D$3004,Acuses!$A$5:$A$3004,$A42,Acuses!$B$5:$B$3004,AN$4,Acuses!$C$5:$C$3004,AN$5),AN$8)&lt;Resumen!$C$4,"Caducado",IF(EDATE(_xlfn.MAXIFS(Acuses!$D$5:$D$3004,Acuses!$A$5:$A$3004,$A42,Acuses!$B$5:$B$3004,AN$4,Acuses!$C$5:$C$3004,AN$5),AN$8)&lt;Resumen!$C$4+30,"Caduca pronto","OK"))))))</f>
        <v/>
      </c>
      <c r="AO42" s="26" t="str">
        <f aca="false">IF(OR($A42="",AO$4=""),"",IF(NOT(OR(AO$6="Toda la plantilla",ISNUMBER(SEARCH(";"&amp;SUBSTITUTE($C42," ","")&amp;";",";"&amp;SUBSTITUTE(AO$7," ","")&amp;";")))),"—",IF(_xlfn.MAXIFS(Acuses!$C$5:$C$3004,Acuses!$A$5:$A$3004,$A42,Acuses!$B$5:$B$3004,AO$4)&lt;AO$5,"Pendiente",IF(AO$8=0,"OK",IF(EDATE(_xlfn.MAXIFS(Acuses!$D$5:$D$3004,Acuses!$A$5:$A$3004,$A42,Acuses!$B$5:$B$3004,AO$4,Acuses!$C$5:$C$3004,AO$5),AO$8)&lt;Resumen!$C$4,"Caducado",IF(EDATE(_xlfn.MAXIFS(Acuses!$D$5:$D$3004,Acuses!$A$5:$A$3004,$A42,Acuses!$B$5:$B$3004,AO$4,Acuses!$C$5:$C$3004,AO$5),AO$8)&lt;Resumen!$C$4+30,"Caduca pronto","OK"))))))</f>
        <v/>
      </c>
      <c r="AP42" s="26" t="str">
        <f aca="false">IF(OR($A42="",AP$4=""),"",IF(NOT(OR(AP$6="Toda la plantilla",ISNUMBER(SEARCH(";"&amp;SUBSTITUTE($C42," ","")&amp;";",";"&amp;SUBSTITUTE(AP$7," ","")&amp;";")))),"—",IF(_xlfn.MAXIFS(Acuses!$C$5:$C$3004,Acuses!$A$5:$A$3004,$A42,Acuses!$B$5:$B$3004,AP$4)&lt;AP$5,"Pendiente",IF(AP$8=0,"OK",IF(EDATE(_xlfn.MAXIFS(Acuses!$D$5:$D$3004,Acuses!$A$5:$A$3004,$A42,Acuses!$B$5:$B$3004,AP$4,Acuses!$C$5:$C$3004,AP$5),AP$8)&lt;Resumen!$C$4,"Caducado",IF(EDATE(_xlfn.MAXIFS(Acuses!$D$5:$D$3004,Acuses!$A$5:$A$3004,$A42,Acuses!$B$5:$B$3004,AP$4,Acuses!$C$5:$C$3004,AP$5),AP$8)&lt;Resumen!$C$4+30,"Caduca pronto","OK"))))))</f>
        <v/>
      </c>
      <c r="AQ42" s="26" t="str">
        <f aca="false">IF(OR($A42="",AQ$4=""),"",IF(NOT(OR(AQ$6="Toda la plantilla",ISNUMBER(SEARCH(";"&amp;SUBSTITUTE($C42," ","")&amp;";",";"&amp;SUBSTITUTE(AQ$7," ","")&amp;";")))),"—",IF(_xlfn.MAXIFS(Acuses!$C$5:$C$3004,Acuses!$A$5:$A$3004,$A42,Acuses!$B$5:$B$3004,AQ$4)&lt;AQ$5,"Pendiente",IF(AQ$8=0,"OK",IF(EDATE(_xlfn.MAXIFS(Acuses!$D$5:$D$3004,Acuses!$A$5:$A$3004,$A42,Acuses!$B$5:$B$3004,AQ$4,Acuses!$C$5:$C$3004,AQ$5),AQ$8)&lt;Resumen!$C$4,"Caducado",IF(EDATE(_xlfn.MAXIFS(Acuses!$D$5:$D$3004,Acuses!$A$5:$A$3004,$A42,Acuses!$B$5:$B$3004,AQ$4,Acuses!$C$5:$C$3004,AQ$5),AQ$8)&lt;Resumen!$C$4+30,"Caduca pronto","OK"))))))</f>
        <v/>
      </c>
    </row>
    <row r="43" customFormat="false" ht="15" hidden="false" customHeight="false" outlineLevel="0" collapsed="false">
      <c r="A43" s="25" t="str">
        <f aca="false">IF(AND(Trabajadores!$A$38&lt;&gt;"",Trabajadores!$G$38&lt;&gt;"No"),Trabajadores!$A$38,"")</f>
        <v/>
      </c>
      <c r="B43" s="25" t="str">
        <f aca="false">IF($A43="","",Trabajadores!$B$38)</f>
        <v/>
      </c>
      <c r="C43" s="25" t="str">
        <f aca="false">IF($A43="","",Trabajadores!$C$38)</f>
        <v/>
      </c>
      <c r="D43" s="26" t="str">
        <f aca="false">IF(OR($A43="",D$4=""),"",IF(NOT(OR(D$6="Toda la plantilla",ISNUMBER(SEARCH(";"&amp;SUBSTITUTE($C43," ","")&amp;";",";"&amp;SUBSTITUTE(D$7," ","")&amp;";")))),"—",IF(_xlfn.MAXIFS(Acuses!$C$5:$C$3004,Acuses!$A$5:$A$3004,$A43,Acuses!$B$5:$B$3004,D$4)&lt;D$5,"Pendiente",IF(D$8=0,"OK",IF(EDATE(_xlfn.MAXIFS(Acuses!$D$5:$D$3004,Acuses!$A$5:$A$3004,$A43,Acuses!$B$5:$B$3004,D$4,Acuses!$C$5:$C$3004,D$5),D$8)&lt;Resumen!$C$4,"Caducado",IF(EDATE(_xlfn.MAXIFS(Acuses!$D$5:$D$3004,Acuses!$A$5:$A$3004,$A43,Acuses!$B$5:$B$3004,D$4,Acuses!$C$5:$C$3004,D$5),D$8)&lt;Resumen!$C$4+30,"Caduca pronto","OK"))))))</f>
        <v/>
      </c>
      <c r="E43" s="26" t="str">
        <f aca="false">IF(OR($A43="",E$4=""),"",IF(NOT(OR(E$6="Toda la plantilla",ISNUMBER(SEARCH(";"&amp;SUBSTITUTE($C43," ","")&amp;";",";"&amp;SUBSTITUTE(E$7," ","")&amp;";")))),"—",IF(_xlfn.MAXIFS(Acuses!$C$5:$C$3004,Acuses!$A$5:$A$3004,$A43,Acuses!$B$5:$B$3004,E$4)&lt;E$5,"Pendiente",IF(E$8=0,"OK",IF(EDATE(_xlfn.MAXIFS(Acuses!$D$5:$D$3004,Acuses!$A$5:$A$3004,$A43,Acuses!$B$5:$B$3004,E$4,Acuses!$C$5:$C$3004,E$5),E$8)&lt;Resumen!$C$4,"Caducado",IF(EDATE(_xlfn.MAXIFS(Acuses!$D$5:$D$3004,Acuses!$A$5:$A$3004,$A43,Acuses!$B$5:$B$3004,E$4,Acuses!$C$5:$C$3004,E$5),E$8)&lt;Resumen!$C$4+30,"Caduca pronto","OK"))))))</f>
        <v/>
      </c>
      <c r="F43" s="26" t="str">
        <f aca="false">IF(OR($A43="",F$4=""),"",IF(NOT(OR(F$6="Toda la plantilla",ISNUMBER(SEARCH(";"&amp;SUBSTITUTE($C43," ","")&amp;";",";"&amp;SUBSTITUTE(F$7," ","")&amp;";")))),"—",IF(_xlfn.MAXIFS(Acuses!$C$5:$C$3004,Acuses!$A$5:$A$3004,$A43,Acuses!$B$5:$B$3004,F$4)&lt;F$5,"Pendiente",IF(F$8=0,"OK",IF(EDATE(_xlfn.MAXIFS(Acuses!$D$5:$D$3004,Acuses!$A$5:$A$3004,$A43,Acuses!$B$5:$B$3004,F$4,Acuses!$C$5:$C$3004,F$5),F$8)&lt;Resumen!$C$4,"Caducado",IF(EDATE(_xlfn.MAXIFS(Acuses!$D$5:$D$3004,Acuses!$A$5:$A$3004,$A43,Acuses!$B$5:$B$3004,F$4,Acuses!$C$5:$C$3004,F$5),F$8)&lt;Resumen!$C$4+30,"Caduca pronto","OK"))))))</f>
        <v/>
      </c>
      <c r="G43" s="26" t="str">
        <f aca="false">IF(OR($A43="",G$4=""),"",IF(NOT(OR(G$6="Toda la plantilla",ISNUMBER(SEARCH(";"&amp;SUBSTITUTE($C43," ","")&amp;";",";"&amp;SUBSTITUTE(G$7," ","")&amp;";")))),"—",IF(_xlfn.MAXIFS(Acuses!$C$5:$C$3004,Acuses!$A$5:$A$3004,$A43,Acuses!$B$5:$B$3004,G$4)&lt;G$5,"Pendiente",IF(G$8=0,"OK",IF(EDATE(_xlfn.MAXIFS(Acuses!$D$5:$D$3004,Acuses!$A$5:$A$3004,$A43,Acuses!$B$5:$B$3004,G$4,Acuses!$C$5:$C$3004,G$5),G$8)&lt;Resumen!$C$4,"Caducado",IF(EDATE(_xlfn.MAXIFS(Acuses!$D$5:$D$3004,Acuses!$A$5:$A$3004,$A43,Acuses!$B$5:$B$3004,G$4,Acuses!$C$5:$C$3004,G$5),G$8)&lt;Resumen!$C$4+30,"Caduca pronto","OK"))))))</f>
        <v/>
      </c>
      <c r="H43" s="26" t="str">
        <f aca="false">IF(OR($A43="",H$4=""),"",IF(NOT(OR(H$6="Toda la plantilla",ISNUMBER(SEARCH(";"&amp;SUBSTITUTE($C43," ","")&amp;";",";"&amp;SUBSTITUTE(H$7," ","")&amp;";")))),"—",IF(_xlfn.MAXIFS(Acuses!$C$5:$C$3004,Acuses!$A$5:$A$3004,$A43,Acuses!$B$5:$B$3004,H$4)&lt;H$5,"Pendiente",IF(H$8=0,"OK",IF(EDATE(_xlfn.MAXIFS(Acuses!$D$5:$D$3004,Acuses!$A$5:$A$3004,$A43,Acuses!$B$5:$B$3004,H$4,Acuses!$C$5:$C$3004,H$5),H$8)&lt;Resumen!$C$4,"Caducado",IF(EDATE(_xlfn.MAXIFS(Acuses!$D$5:$D$3004,Acuses!$A$5:$A$3004,$A43,Acuses!$B$5:$B$3004,H$4,Acuses!$C$5:$C$3004,H$5),H$8)&lt;Resumen!$C$4+30,"Caduca pronto","OK"))))))</f>
        <v/>
      </c>
      <c r="I43" s="26" t="str">
        <f aca="false">IF(OR($A43="",I$4=""),"",IF(NOT(OR(I$6="Toda la plantilla",ISNUMBER(SEARCH(";"&amp;SUBSTITUTE($C43," ","")&amp;";",";"&amp;SUBSTITUTE(I$7," ","")&amp;";")))),"—",IF(_xlfn.MAXIFS(Acuses!$C$5:$C$3004,Acuses!$A$5:$A$3004,$A43,Acuses!$B$5:$B$3004,I$4)&lt;I$5,"Pendiente",IF(I$8=0,"OK",IF(EDATE(_xlfn.MAXIFS(Acuses!$D$5:$D$3004,Acuses!$A$5:$A$3004,$A43,Acuses!$B$5:$B$3004,I$4,Acuses!$C$5:$C$3004,I$5),I$8)&lt;Resumen!$C$4,"Caducado",IF(EDATE(_xlfn.MAXIFS(Acuses!$D$5:$D$3004,Acuses!$A$5:$A$3004,$A43,Acuses!$B$5:$B$3004,I$4,Acuses!$C$5:$C$3004,I$5),I$8)&lt;Resumen!$C$4+30,"Caduca pronto","OK"))))))</f>
        <v/>
      </c>
      <c r="J43" s="26" t="str">
        <f aca="false">IF(OR($A43="",J$4=""),"",IF(NOT(OR(J$6="Toda la plantilla",ISNUMBER(SEARCH(";"&amp;SUBSTITUTE($C43," ","")&amp;";",";"&amp;SUBSTITUTE(J$7," ","")&amp;";")))),"—",IF(_xlfn.MAXIFS(Acuses!$C$5:$C$3004,Acuses!$A$5:$A$3004,$A43,Acuses!$B$5:$B$3004,J$4)&lt;J$5,"Pendiente",IF(J$8=0,"OK",IF(EDATE(_xlfn.MAXIFS(Acuses!$D$5:$D$3004,Acuses!$A$5:$A$3004,$A43,Acuses!$B$5:$B$3004,J$4,Acuses!$C$5:$C$3004,J$5),J$8)&lt;Resumen!$C$4,"Caducado",IF(EDATE(_xlfn.MAXIFS(Acuses!$D$5:$D$3004,Acuses!$A$5:$A$3004,$A43,Acuses!$B$5:$B$3004,J$4,Acuses!$C$5:$C$3004,J$5),J$8)&lt;Resumen!$C$4+30,"Caduca pronto","OK"))))))</f>
        <v/>
      </c>
      <c r="K43" s="26" t="str">
        <f aca="false">IF(OR($A43="",K$4=""),"",IF(NOT(OR(K$6="Toda la plantilla",ISNUMBER(SEARCH(";"&amp;SUBSTITUTE($C43," ","")&amp;";",";"&amp;SUBSTITUTE(K$7," ","")&amp;";")))),"—",IF(_xlfn.MAXIFS(Acuses!$C$5:$C$3004,Acuses!$A$5:$A$3004,$A43,Acuses!$B$5:$B$3004,K$4)&lt;K$5,"Pendiente",IF(K$8=0,"OK",IF(EDATE(_xlfn.MAXIFS(Acuses!$D$5:$D$3004,Acuses!$A$5:$A$3004,$A43,Acuses!$B$5:$B$3004,K$4,Acuses!$C$5:$C$3004,K$5),K$8)&lt;Resumen!$C$4,"Caducado",IF(EDATE(_xlfn.MAXIFS(Acuses!$D$5:$D$3004,Acuses!$A$5:$A$3004,$A43,Acuses!$B$5:$B$3004,K$4,Acuses!$C$5:$C$3004,K$5),K$8)&lt;Resumen!$C$4+30,"Caduca pronto","OK"))))))</f>
        <v/>
      </c>
      <c r="L43" s="26" t="str">
        <f aca="false">IF(OR($A43="",L$4=""),"",IF(NOT(OR(L$6="Toda la plantilla",ISNUMBER(SEARCH(";"&amp;SUBSTITUTE($C43," ","")&amp;";",";"&amp;SUBSTITUTE(L$7," ","")&amp;";")))),"—",IF(_xlfn.MAXIFS(Acuses!$C$5:$C$3004,Acuses!$A$5:$A$3004,$A43,Acuses!$B$5:$B$3004,L$4)&lt;L$5,"Pendiente",IF(L$8=0,"OK",IF(EDATE(_xlfn.MAXIFS(Acuses!$D$5:$D$3004,Acuses!$A$5:$A$3004,$A43,Acuses!$B$5:$B$3004,L$4,Acuses!$C$5:$C$3004,L$5),L$8)&lt;Resumen!$C$4,"Caducado",IF(EDATE(_xlfn.MAXIFS(Acuses!$D$5:$D$3004,Acuses!$A$5:$A$3004,$A43,Acuses!$B$5:$B$3004,L$4,Acuses!$C$5:$C$3004,L$5),L$8)&lt;Resumen!$C$4+30,"Caduca pronto","OK"))))))</f>
        <v/>
      </c>
      <c r="M43" s="26" t="str">
        <f aca="false">IF(OR($A43="",M$4=""),"",IF(NOT(OR(M$6="Toda la plantilla",ISNUMBER(SEARCH(";"&amp;SUBSTITUTE($C43," ","")&amp;";",";"&amp;SUBSTITUTE(M$7," ","")&amp;";")))),"—",IF(_xlfn.MAXIFS(Acuses!$C$5:$C$3004,Acuses!$A$5:$A$3004,$A43,Acuses!$B$5:$B$3004,M$4)&lt;M$5,"Pendiente",IF(M$8=0,"OK",IF(EDATE(_xlfn.MAXIFS(Acuses!$D$5:$D$3004,Acuses!$A$5:$A$3004,$A43,Acuses!$B$5:$B$3004,M$4,Acuses!$C$5:$C$3004,M$5),M$8)&lt;Resumen!$C$4,"Caducado",IF(EDATE(_xlfn.MAXIFS(Acuses!$D$5:$D$3004,Acuses!$A$5:$A$3004,$A43,Acuses!$B$5:$B$3004,M$4,Acuses!$C$5:$C$3004,M$5),M$8)&lt;Resumen!$C$4+30,"Caduca pronto","OK"))))))</f>
        <v/>
      </c>
      <c r="N43" s="26" t="str">
        <f aca="false">IF(OR($A43="",N$4=""),"",IF(NOT(OR(N$6="Toda la plantilla",ISNUMBER(SEARCH(";"&amp;SUBSTITUTE($C43," ","")&amp;";",";"&amp;SUBSTITUTE(N$7," ","")&amp;";")))),"—",IF(_xlfn.MAXIFS(Acuses!$C$5:$C$3004,Acuses!$A$5:$A$3004,$A43,Acuses!$B$5:$B$3004,N$4)&lt;N$5,"Pendiente",IF(N$8=0,"OK",IF(EDATE(_xlfn.MAXIFS(Acuses!$D$5:$D$3004,Acuses!$A$5:$A$3004,$A43,Acuses!$B$5:$B$3004,N$4,Acuses!$C$5:$C$3004,N$5),N$8)&lt;Resumen!$C$4,"Caducado",IF(EDATE(_xlfn.MAXIFS(Acuses!$D$5:$D$3004,Acuses!$A$5:$A$3004,$A43,Acuses!$B$5:$B$3004,N$4,Acuses!$C$5:$C$3004,N$5),N$8)&lt;Resumen!$C$4+30,"Caduca pronto","OK"))))))</f>
        <v/>
      </c>
      <c r="O43" s="26" t="str">
        <f aca="false">IF(OR($A43="",O$4=""),"",IF(NOT(OR(O$6="Toda la plantilla",ISNUMBER(SEARCH(";"&amp;SUBSTITUTE($C43," ","")&amp;";",";"&amp;SUBSTITUTE(O$7," ","")&amp;";")))),"—",IF(_xlfn.MAXIFS(Acuses!$C$5:$C$3004,Acuses!$A$5:$A$3004,$A43,Acuses!$B$5:$B$3004,O$4)&lt;O$5,"Pendiente",IF(O$8=0,"OK",IF(EDATE(_xlfn.MAXIFS(Acuses!$D$5:$D$3004,Acuses!$A$5:$A$3004,$A43,Acuses!$B$5:$B$3004,O$4,Acuses!$C$5:$C$3004,O$5),O$8)&lt;Resumen!$C$4,"Caducado",IF(EDATE(_xlfn.MAXIFS(Acuses!$D$5:$D$3004,Acuses!$A$5:$A$3004,$A43,Acuses!$B$5:$B$3004,O$4,Acuses!$C$5:$C$3004,O$5),O$8)&lt;Resumen!$C$4+30,"Caduca pronto","OK"))))))</f>
        <v/>
      </c>
      <c r="P43" s="26" t="str">
        <f aca="false">IF(OR($A43="",P$4=""),"",IF(NOT(OR(P$6="Toda la plantilla",ISNUMBER(SEARCH(";"&amp;SUBSTITUTE($C43," ","")&amp;";",";"&amp;SUBSTITUTE(P$7," ","")&amp;";")))),"—",IF(_xlfn.MAXIFS(Acuses!$C$5:$C$3004,Acuses!$A$5:$A$3004,$A43,Acuses!$B$5:$B$3004,P$4)&lt;P$5,"Pendiente",IF(P$8=0,"OK",IF(EDATE(_xlfn.MAXIFS(Acuses!$D$5:$D$3004,Acuses!$A$5:$A$3004,$A43,Acuses!$B$5:$B$3004,P$4,Acuses!$C$5:$C$3004,P$5),P$8)&lt;Resumen!$C$4,"Caducado",IF(EDATE(_xlfn.MAXIFS(Acuses!$D$5:$D$3004,Acuses!$A$5:$A$3004,$A43,Acuses!$B$5:$B$3004,P$4,Acuses!$C$5:$C$3004,P$5),P$8)&lt;Resumen!$C$4+30,"Caduca pronto","OK"))))))</f>
        <v/>
      </c>
      <c r="Q43" s="26" t="str">
        <f aca="false">IF(OR($A43="",Q$4=""),"",IF(NOT(OR(Q$6="Toda la plantilla",ISNUMBER(SEARCH(";"&amp;SUBSTITUTE($C43," ","")&amp;";",";"&amp;SUBSTITUTE(Q$7," ","")&amp;";")))),"—",IF(_xlfn.MAXIFS(Acuses!$C$5:$C$3004,Acuses!$A$5:$A$3004,$A43,Acuses!$B$5:$B$3004,Q$4)&lt;Q$5,"Pendiente",IF(Q$8=0,"OK",IF(EDATE(_xlfn.MAXIFS(Acuses!$D$5:$D$3004,Acuses!$A$5:$A$3004,$A43,Acuses!$B$5:$B$3004,Q$4,Acuses!$C$5:$C$3004,Q$5),Q$8)&lt;Resumen!$C$4,"Caducado",IF(EDATE(_xlfn.MAXIFS(Acuses!$D$5:$D$3004,Acuses!$A$5:$A$3004,$A43,Acuses!$B$5:$B$3004,Q$4,Acuses!$C$5:$C$3004,Q$5),Q$8)&lt;Resumen!$C$4+30,"Caduca pronto","OK"))))))</f>
        <v/>
      </c>
      <c r="R43" s="26" t="str">
        <f aca="false">IF(OR($A43="",R$4=""),"",IF(NOT(OR(R$6="Toda la plantilla",ISNUMBER(SEARCH(";"&amp;SUBSTITUTE($C43," ","")&amp;";",";"&amp;SUBSTITUTE(R$7," ","")&amp;";")))),"—",IF(_xlfn.MAXIFS(Acuses!$C$5:$C$3004,Acuses!$A$5:$A$3004,$A43,Acuses!$B$5:$B$3004,R$4)&lt;R$5,"Pendiente",IF(R$8=0,"OK",IF(EDATE(_xlfn.MAXIFS(Acuses!$D$5:$D$3004,Acuses!$A$5:$A$3004,$A43,Acuses!$B$5:$B$3004,R$4,Acuses!$C$5:$C$3004,R$5),R$8)&lt;Resumen!$C$4,"Caducado",IF(EDATE(_xlfn.MAXIFS(Acuses!$D$5:$D$3004,Acuses!$A$5:$A$3004,$A43,Acuses!$B$5:$B$3004,R$4,Acuses!$C$5:$C$3004,R$5),R$8)&lt;Resumen!$C$4+30,"Caduca pronto","OK"))))))</f>
        <v/>
      </c>
      <c r="S43" s="26" t="str">
        <f aca="false">IF(OR($A43="",S$4=""),"",IF(NOT(OR(S$6="Toda la plantilla",ISNUMBER(SEARCH(";"&amp;SUBSTITUTE($C43," ","")&amp;";",";"&amp;SUBSTITUTE(S$7," ","")&amp;";")))),"—",IF(_xlfn.MAXIFS(Acuses!$C$5:$C$3004,Acuses!$A$5:$A$3004,$A43,Acuses!$B$5:$B$3004,S$4)&lt;S$5,"Pendiente",IF(S$8=0,"OK",IF(EDATE(_xlfn.MAXIFS(Acuses!$D$5:$D$3004,Acuses!$A$5:$A$3004,$A43,Acuses!$B$5:$B$3004,S$4,Acuses!$C$5:$C$3004,S$5),S$8)&lt;Resumen!$C$4,"Caducado",IF(EDATE(_xlfn.MAXIFS(Acuses!$D$5:$D$3004,Acuses!$A$5:$A$3004,$A43,Acuses!$B$5:$B$3004,S$4,Acuses!$C$5:$C$3004,S$5),S$8)&lt;Resumen!$C$4+30,"Caduca pronto","OK"))))))</f>
        <v/>
      </c>
      <c r="T43" s="26" t="str">
        <f aca="false">IF(OR($A43="",T$4=""),"",IF(NOT(OR(T$6="Toda la plantilla",ISNUMBER(SEARCH(";"&amp;SUBSTITUTE($C43," ","")&amp;";",";"&amp;SUBSTITUTE(T$7," ","")&amp;";")))),"—",IF(_xlfn.MAXIFS(Acuses!$C$5:$C$3004,Acuses!$A$5:$A$3004,$A43,Acuses!$B$5:$B$3004,T$4)&lt;T$5,"Pendiente",IF(T$8=0,"OK",IF(EDATE(_xlfn.MAXIFS(Acuses!$D$5:$D$3004,Acuses!$A$5:$A$3004,$A43,Acuses!$B$5:$B$3004,T$4,Acuses!$C$5:$C$3004,T$5),T$8)&lt;Resumen!$C$4,"Caducado",IF(EDATE(_xlfn.MAXIFS(Acuses!$D$5:$D$3004,Acuses!$A$5:$A$3004,$A43,Acuses!$B$5:$B$3004,T$4,Acuses!$C$5:$C$3004,T$5),T$8)&lt;Resumen!$C$4+30,"Caduca pronto","OK"))))))</f>
        <v/>
      </c>
      <c r="U43" s="26" t="str">
        <f aca="false">IF(OR($A43="",U$4=""),"",IF(NOT(OR(U$6="Toda la plantilla",ISNUMBER(SEARCH(";"&amp;SUBSTITUTE($C43," ","")&amp;";",";"&amp;SUBSTITUTE(U$7," ","")&amp;";")))),"—",IF(_xlfn.MAXIFS(Acuses!$C$5:$C$3004,Acuses!$A$5:$A$3004,$A43,Acuses!$B$5:$B$3004,U$4)&lt;U$5,"Pendiente",IF(U$8=0,"OK",IF(EDATE(_xlfn.MAXIFS(Acuses!$D$5:$D$3004,Acuses!$A$5:$A$3004,$A43,Acuses!$B$5:$B$3004,U$4,Acuses!$C$5:$C$3004,U$5),U$8)&lt;Resumen!$C$4,"Caducado",IF(EDATE(_xlfn.MAXIFS(Acuses!$D$5:$D$3004,Acuses!$A$5:$A$3004,$A43,Acuses!$B$5:$B$3004,U$4,Acuses!$C$5:$C$3004,U$5),U$8)&lt;Resumen!$C$4+30,"Caduca pronto","OK"))))))</f>
        <v/>
      </c>
      <c r="V43" s="26" t="str">
        <f aca="false">IF(OR($A43="",V$4=""),"",IF(NOT(OR(V$6="Toda la plantilla",ISNUMBER(SEARCH(";"&amp;SUBSTITUTE($C43," ","")&amp;";",";"&amp;SUBSTITUTE(V$7," ","")&amp;";")))),"—",IF(_xlfn.MAXIFS(Acuses!$C$5:$C$3004,Acuses!$A$5:$A$3004,$A43,Acuses!$B$5:$B$3004,V$4)&lt;V$5,"Pendiente",IF(V$8=0,"OK",IF(EDATE(_xlfn.MAXIFS(Acuses!$D$5:$D$3004,Acuses!$A$5:$A$3004,$A43,Acuses!$B$5:$B$3004,V$4,Acuses!$C$5:$C$3004,V$5),V$8)&lt;Resumen!$C$4,"Caducado",IF(EDATE(_xlfn.MAXIFS(Acuses!$D$5:$D$3004,Acuses!$A$5:$A$3004,$A43,Acuses!$B$5:$B$3004,V$4,Acuses!$C$5:$C$3004,V$5),V$8)&lt;Resumen!$C$4+30,"Caduca pronto","OK"))))))</f>
        <v/>
      </c>
      <c r="W43" s="26" t="str">
        <f aca="false">IF(OR($A43="",W$4=""),"",IF(NOT(OR(W$6="Toda la plantilla",ISNUMBER(SEARCH(";"&amp;SUBSTITUTE($C43," ","")&amp;";",";"&amp;SUBSTITUTE(W$7," ","")&amp;";")))),"—",IF(_xlfn.MAXIFS(Acuses!$C$5:$C$3004,Acuses!$A$5:$A$3004,$A43,Acuses!$B$5:$B$3004,W$4)&lt;W$5,"Pendiente",IF(W$8=0,"OK",IF(EDATE(_xlfn.MAXIFS(Acuses!$D$5:$D$3004,Acuses!$A$5:$A$3004,$A43,Acuses!$B$5:$B$3004,W$4,Acuses!$C$5:$C$3004,W$5),W$8)&lt;Resumen!$C$4,"Caducado",IF(EDATE(_xlfn.MAXIFS(Acuses!$D$5:$D$3004,Acuses!$A$5:$A$3004,$A43,Acuses!$B$5:$B$3004,W$4,Acuses!$C$5:$C$3004,W$5),W$8)&lt;Resumen!$C$4+30,"Caduca pronto","OK"))))))</f>
        <v/>
      </c>
      <c r="X43" s="26" t="str">
        <f aca="false">IF(OR($A43="",X$4=""),"",IF(NOT(OR(X$6="Toda la plantilla",ISNUMBER(SEARCH(";"&amp;SUBSTITUTE($C43," ","")&amp;";",";"&amp;SUBSTITUTE(X$7," ","")&amp;";")))),"—",IF(_xlfn.MAXIFS(Acuses!$C$5:$C$3004,Acuses!$A$5:$A$3004,$A43,Acuses!$B$5:$B$3004,X$4)&lt;X$5,"Pendiente",IF(X$8=0,"OK",IF(EDATE(_xlfn.MAXIFS(Acuses!$D$5:$D$3004,Acuses!$A$5:$A$3004,$A43,Acuses!$B$5:$B$3004,X$4,Acuses!$C$5:$C$3004,X$5),X$8)&lt;Resumen!$C$4,"Caducado",IF(EDATE(_xlfn.MAXIFS(Acuses!$D$5:$D$3004,Acuses!$A$5:$A$3004,$A43,Acuses!$B$5:$B$3004,X$4,Acuses!$C$5:$C$3004,X$5),X$8)&lt;Resumen!$C$4+30,"Caduca pronto","OK"))))))</f>
        <v/>
      </c>
      <c r="Y43" s="26" t="str">
        <f aca="false">IF(OR($A43="",Y$4=""),"",IF(NOT(OR(Y$6="Toda la plantilla",ISNUMBER(SEARCH(";"&amp;SUBSTITUTE($C43," ","")&amp;";",";"&amp;SUBSTITUTE(Y$7," ","")&amp;";")))),"—",IF(_xlfn.MAXIFS(Acuses!$C$5:$C$3004,Acuses!$A$5:$A$3004,$A43,Acuses!$B$5:$B$3004,Y$4)&lt;Y$5,"Pendiente",IF(Y$8=0,"OK",IF(EDATE(_xlfn.MAXIFS(Acuses!$D$5:$D$3004,Acuses!$A$5:$A$3004,$A43,Acuses!$B$5:$B$3004,Y$4,Acuses!$C$5:$C$3004,Y$5),Y$8)&lt;Resumen!$C$4,"Caducado",IF(EDATE(_xlfn.MAXIFS(Acuses!$D$5:$D$3004,Acuses!$A$5:$A$3004,$A43,Acuses!$B$5:$B$3004,Y$4,Acuses!$C$5:$C$3004,Y$5),Y$8)&lt;Resumen!$C$4+30,"Caduca pronto","OK"))))))</f>
        <v/>
      </c>
      <c r="Z43" s="26" t="str">
        <f aca="false">IF(OR($A43="",Z$4=""),"",IF(NOT(OR(Z$6="Toda la plantilla",ISNUMBER(SEARCH(";"&amp;SUBSTITUTE($C43," ","")&amp;";",";"&amp;SUBSTITUTE(Z$7," ","")&amp;";")))),"—",IF(_xlfn.MAXIFS(Acuses!$C$5:$C$3004,Acuses!$A$5:$A$3004,$A43,Acuses!$B$5:$B$3004,Z$4)&lt;Z$5,"Pendiente",IF(Z$8=0,"OK",IF(EDATE(_xlfn.MAXIFS(Acuses!$D$5:$D$3004,Acuses!$A$5:$A$3004,$A43,Acuses!$B$5:$B$3004,Z$4,Acuses!$C$5:$C$3004,Z$5),Z$8)&lt;Resumen!$C$4,"Caducado",IF(EDATE(_xlfn.MAXIFS(Acuses!$D$5:$D$3004,Acuses!$A$5:$A$3004,$A43,Acuses!$B$5:$B$3004,Z$4,Acuses!$C$5:$C$3004,Z$5),Z$8)&lt;Resumen!$C$4+30,"Caduca pronto","OK"))))))</f>
        <v/>
      </c>
      <c r="AA43" s="26" t="str">
        <f aca="false">IF(OR($A43="",AA$4=""),"",IF(NOT(OR(AA$6="Toda la plantilla",ISNUMBER(SEARCH(";"&amp;SUBSTITUTE($C43," ","")&amp;";",";"&amp;SUBSTITUTE(AA$7," ","")&amp;";")))),"—",IF(_xlfn.MAXIFS(Acuses!$C$5:$C$3004,Acuses!$A$5:$A$3004,$A43,Acuses!$B$5:$B$3004,AA$4)&lt;AA$5,"Pendiente",IF(AA$8=0,"OK",IF(EDATE(_xlfn.MAXIFS(Acuses!$D$5:$D$3004,Acuses!$A$5:$A$3004,$A43,Acuses!$B$5:$B$3004,AA$4,Acuses!$C$5:$C$3004,AA$5),AA$8)&lt;Resumen!$C$4,"Caducado",IF(EDATE(_xlfn.MAXIFS(Acuses!$D$5:$D$3004,Acuses!$A$5:$A$3004,$A43,Acuses!$B$5:$B$3004,AA$4,Acuses!$C$5:$C$3004,AA$5),AA$8)&lt;Resumen!$C$4+30,"Caduca pronto","OK"))))))</f>
        <v/>
      </c>
      <c r="AB43" s="26" t="str">
        <f aca="false">IF(OR($A43="",AB$4=""),"",IF(NOT(OR(AB$6="Toda la plantilla",ISNUMBER(SEARCH(";"&amp;SUBSTITUTE($C43," ","")&amp;";",";"&amp;SUBSTITUTE(AB$7," ","")&amp;";")))),"—",IF(_xlfn.MAXIFS(Acuses!$C$5:$C$3004,Acuses!$A$5:$A$3004,$A43,Acuses!$B$5:$B$3004,AB$4)&lt;AB$5,"Pendiente",IF(AB$8=0,"OK",IF(EDATE(_xlfn.MAXIFS(Acuses!$D$5:$D$3004,Acuses!$A$5:$A$3004,$A43,Acuses!$B$5:$B$3004,AB$4,Acuses!$C$5:$C$3004,AB$5),AB$8)&lt;Resumen!$C$4,"Caducado",IF(EDATE(_xlfn.MAXIFS(Acuses!$D$5:$D$3004,Acuses!$A$5:$A$3004,$A43,Acuses!$B$5:$B$3004,AB$4,Acuses!$C$5:$C$3004,AB$5),AB$8)&lt;Resumen!$C$4+30,"Caduca pronto","OK"))))))</f>
        <v/>
      </c>
      <c r="AC43" s="26" t="str">
        <f aca="false">IF(OR($A43="",AC$4=""),"",IF(NOT(OR(AC$6="Toda la plantilla",ISNUMBER(SEARCH(";"&amp;SUBSTITUTE($C43," ","")&amp;";",";"&amp;SUBSTITUTE(AC$7," ","")&amp;";")))),"—",IF(_xlfn.MAXIFS(Acuses!$C$5:$C$3004,Acuses!$A$5:$A$3004,$A43,Acuses!$B$5:$B$3004,AC$4)&lt;AC$5,"Pendiente",IF(AC$8=0,"OK",IF(EDATE(_xlfn.MAXIFS(Acuses!$D$5:$D$3004,Acuses!$A$5:$A$3004,$A43,Acuses!$B$5:$B$3004,AC$4,Acuses!$C$5:$C$3004,AC$5),AC$8)&lt;Resumen!$C$4,"Caducado",IF(EDATE(_xlfn.MAXIFS(Acuses!$D$5:$D$3004,Acuses!$A$5:$A$3004,$A43,Acuses!$B$5:$B$3004,AC$4,Acuses!$C$5:$C$3004,AC$5),AC$8)&lt;Resumen!$C$4+30,"Caduca pronto","OK"))))))</f>
        <v/>
      </c>
      <c r="AD43" s="26" t="str">
        <f aca="false">IF(OR($A43="",AD$4=""),"",IF(NOT(OR(AD$6="Toda la plantilla",ISNUMBER(SEARCH(";"&amp;SUBSTITUTE($C43," ","")&amp;";",";"&amp;SUBSTITUTE(AD$7," ","")&amp;";")))),"—",IF(_xlfn.MAXIFS(Acuses!$C$5:$C$3004,Acuses!$A$5:$A$3004,$A43,Acuses!$B$5:$B$3004,AD$4)&lt;AD$5,"Pendiente",IF(AD$8=0,"OK",IF(EDATE(_xlfn.MAXIFS(Acuses!$D$5:$D$3004,Acuses!$A$5:$A$3004,$A43,Acuses!$B$5:$B$3004,AD$4,Acuses!$C$5:$C$3004,AD$5),AD$8)&lt;Resumen!$C$4,"Caducado",IF(EDATE(_xlfn.MAXIFS(Acuses!$D$5:$D$3004,Acuses!$A$5:$A$3004,$A43,Acuses!$B$5:$B$3004,AD$4,Acuses!$C$5:$C$3004,AD$5),AD$8)&lt;Resumen!$C$4+30,"Caduca pronto","OK"))))))</f>
        <v/>
      </c>
      <c r="AE43" s="26" t="str">
        <f aca="false">IF(OR($A43="",AE$4=""),"",IF(NOT(OR(AE$6="Toda la plantilla",ISNUMBER(SEARCH(";"&amp;SUBSTITUTE($C43," ","")&amp;";",";"&amp;SUBSTITUTE(AE$7," ","")&amp;";")))),"—",IF(_xlfn.MAXIFS(Acuses!$C$5:$C$3004,Acuses!$A$5:$A$3004,$A43,Acuses!$B$5:$B$3004,AE$4)&lt;AE$5,"Pendiente",IF(AE$8=0,"OK",IF(EDATE(_xlfn.MAXIFS(Acuses!$D$5:$D$3004,Acuses!$A$5:$A$3004,$A43,Acuses!$B$5:$B$3004,AE$4,Acuses!$C$5:$C$3004,AE$5),AE$8)&lt;Resumen!$C$4,"Caducado",IF(EDATE(_xlfn.MAXIFS(Acuses!$D$5:$D$3004,Acuses!$A$5:$A$3004,$A43,Acuses!$B$5:$B$3004,AE$4,Acuses!$C$5:$C$3004,AE$5),AE$8)&lt;Resumen!$C$4+30,"Caduca pronto","OK"))))))</f>
        <v/>
      </c>
      <c r="AF43" s="26" t="str">
        <f aca="false">IF(OR($A43="",AF$4=""),"",IF(NOT(OR(AF$6="Toda la plantilla",ISNUMBER(SEARCH(";"&amp;SUBSTITUTE($C43," ","")&amp;";",";"&amp;SUBSTITUTE(AF$7," ","")&amp;";")))),"—",IF(_xlfn.MAXIFS(Acuses!$C$5:$C$3004,Acuses!$A$5:$A$3004,$A43,Acuses!$B$5:$B$3004,AF$4)&lt;AF$5,"Pendiente",IF(AF$8=0,"OK",IF(EDATE(_xlfn.MAXIFS(Acuses!$D$5:$D$3004,Acuses!$A$5:$A$3004,$A43,Acuses!$B$5:$B$3004,AF$4,Acuses!$C$5:$C$3004,AF$5),AF$8)&lt;Resumen!$C$4,"Caducado",IF(EDATE(_xlfn.MAXIFS(Acuses!$D$5:$D$3004,Acuses!$A$5:$A$3004,$A43,Acuses!$B$5:$B$3004,AF$4,Acuses!$C$5:$C$3004,AF$5),AF$8)&lt;Resumen!$C$4+30,"Caduca pronto","OK"))))))</f>
        <v/>
      </c>
      <c r="AG43" s="26" t="str">
        <f aca="false">IF(OR($A43="",AG$4=""),"",IF(NOT(OR(AG$6="Toda la plantilla",ISNUMBER(SEARCH(";"&amp;SUBSTITUTE($C43," ","")&amp;";",";"&amp;SUBSTITUTE(AG$7," ","")&amp;";")))),"—",IF(_xlfn.MAXIFS(Acuses!$C$5:$C$3004,Acuses!$A$5:$A$3004,$A43,Acuses!$B$5:$B$3004,AG$4)&lt;AG$5,"Pendiente",IF(AG$8=0,"OK",IF(EDATE(_xlfn.MAXIFS(Acuses!$D$5:$D$3004,Acuses!$A$5:$A$3004,$A43,Acuses!$B$5:$B$3004,AG$4,Acuses!$C$5:$C$3004,AG$5),AG$8)&lt;Resumen!$C$4,"Caducado",IF(EDATE(_xlfn.MAXIFS(Acuses!$D$5:$D$3004,Acuses!$A$5:$A$3004,$A43,Acuses!$B$5:$B$3004,AG$4,Acuses!$C$5:$C$3004,AG$5),AG$8)&lt;Resumen!$C$4+30,"Caduca pronto","OK"))))))</f>
        <v/>
      </c>
      <c r="AH43" s="26" t="str">
        <f aca="false">IF(OR($A43="",AH$4=""),"",IF(NOT(OR(AH$6="Toda la plantilla",ISNUMBER(SEARCH(";"&amp;SUBSTITUTE($C43," ","")&amp;";",";"&amp;SUBSTITUTE(AH$7," ","")&amp;";")))),"—",IF(_xlfn.MAXIFS(Acuses!$C$5:$C$3004,Acuses!$A$5:$A$3004,$A43,Acuses!$B$5:$B$3004,AH$4)&lt;AH$5,"Pendiente",IF(AH$8=0,"OK",IF(EDATE(_xlfn.MAXIFS(Acuses!$D$5:$D$3004,Acuses!$A$5:$A$3004,$A43,Acuses!$B$5:$B$3004,AH$4,Acuses!$C$5:$C$3004,AH$5),AH$8)&lt;Resumen!$C$4,"Caducado",IF(EDATE(_xlfn.MAXIFS(Acuses!$D$5:$D$3004,Acuses!$A$5:$A$3004,$A43,Acuses!$B$5:$B$3004,AH$4,Acuses!$C$5:$C$3004,AH$5),AH$8)&lt;Resumen!$C$4+30,"Caduca pronto","OK"))))))</f>
        <v/>
      </c>
      <c r="AI43" s="26" t="str">
        <f aca="false">IF(OR($A43="",AI$4=""),"",IF(NOT(OR(AI$6="Toda la plantilla",ISNUMBER(SEARCH(";"&amp;SUBSTITUTE($C43," ","")&amp;";",";"&amp;SUBSTITUTE(AI$7," ","")&amp;";")))),"—",IF(_xlfn.MAXIFS(Acuses!$C$5:$C$3004,Acuses!$A$5:$A$3004,$A43,Acuses!$B$5:$B$3004,AI$4)&lt;AI$5,"Pendiente",IF(AI$8=0,"OK",IF(EDATE(_xlfn.MAXIFS(Acuses!$D$5:$D$3004,Acuses!$A$5:$A$3004,$A43,Acuses!$B$5:$B$3004,AI$4,Acuses!$C$5:$C$3004,AI$5),AI$8)&lt;Resumen!$C$4,"Caducado",IF(EDATE(_xlfn.MAXIFS(Acuses!$D$5:$D$3004,Acuses!$A$5:$A$3004,$A43,Acuses!$B$5:$B$3004,AI$4,Acuses!$C$5:$C$3004,AI$5),AI$8)&lt;Resumen!$C$4+30,"Caduca pronto","OK"))))))</f>
        <v/>
      </c>
      <c r="AJ43" s="26" t="str">
        <f aca="false">IF(OR($A43="",AJ$4=""),"",IF(NOT(OR(AJ$6="Toda la plantilla",ISNUMBER(SEARCH(";"&amp;SUBSTITUTE($C43," ","")&amp;";",";"&amp;SUBSTITUTE(AJ$7," ","")&amp;";")))),"—",IF(_xlfn.MAXIFS(Acuses!$C$5:$C$3004,Acuses!$A$5:$A$3004,$A43,Acuses!$B$5:$B$3004,AJ$4)&lt;AJ$5,"Pendiente",IF(AJ$8=0,"OK",IF(EDATE(_xlfn.MAXIFS(Acuses!$D$5:$D$3004,Acuses!$A$5:$A$3004,$A43,Acuses!$B$5:$B$3004,AJ$4,Acuses!$C$5:$C$3004,AJ$5),AJ$8)&lt;Resumen!$C$4,"Caducado",IF(EDATE(_xlfn.MAXIFS(Acuses!$D$5:$D$3004,Acuses!$A$5:$A$3004,$A43,Acuses!$B$5:$B$3004,AJ$4,Acuses!$C$5:$C$3004,AJ$5),AJ$8)&lt;Resumen!$C$4+30,"Caduca pronto","OK"))))))</f>
        <v/>
      </c>
      <c r="AK43" s="26" t="str">
        <f aca="false">IF(OR($A43="",AK$4=""),"",IF(NOT(OR(AK$6="Toda la plantilla",ISNUMBER(SEARCH(";"&amp;SUBSTITUTE($C43," ","")&amp;";",";"&amp;SUBSTITUTE(AK$7," ","")&amp;";")))),"—",IF(_xlfn.MAXIFS(Acuses!$C$5:$C$3004,Acuses!$A$5:$A$3004,$A43,Acuses!$B$5:$B$3004,AK$4)&lt;AK$5,"Pendiente",IF(AK$8=0,"OK",IF(EDATE(_xlfn.MAXIFS(Acuses!$D$5:$D$3004,Acuses!$A$5:$A$3004,$A43,Acuses!$B$5:$B$3004,AK$4,Acuses!$C$5:$C$3004,AK$5),AK$8)&lt;Resumen!$C$4,"Caducado",IF(EDATE(_xlfn.MAXIFS(Acuses!$D$5:$D$3004,Acuses!$A$5:$A$3004,$A43,Acuses!$B$5:$B$3004,AK$4,Acuses!$C$5:$C$3004,AK$5),AK$8)&lt;Resumen!$C$4+30,"Caduca pronto","OK"))))))</f>
        <v/>
      </c>
      <c r="AL43" s="26" t="str">
        <f aca="false">IF(OR($A43="",AL$4=""),"",IF(NOT(OR(AL$6="Toda la plantilla",ISNUMBER(SEARCH(";"&amp;SUBSTITUTE($C43," ","")&amp;";",";"&amp;SUBSTITUTE(AL$7," ","")&amp;";")))),"—",IF(_xlfn.MAXIFS(Acuses!$C$5:$C$3004,Acuses!$A$5:$A$3004,$A43,Acuses!$B$5:$B$3004,AL$4)&lt;AL$5,"Pendiente",IF(AL$8=0,"OK",IF(EDATE(_xlfn.MAXIFS(Acuses!$D$5:$D$3004,Acuses!$A$5:$A$3004,$A43,Acuses!$B$5:$B$3004,AL$4,Acuses!$C$5:$C$3004,AL$5),AL$8)&lt;Resumen!$C$4,"Caducado",IF(EDATE(_xlfn.MAXIFS(Acuses!$D$5:$D$3004,Acuses!$A$5:$A$3004,$A43,Acuses!$B$5:$B$3004,AL$4,Acuses!$C$5:$C$3004,AL$5),AL$8)&lt;Resumen!$C$4+30,"Caduca pronto","OK"))))))</f>
        <v/>
      </c>
      <c r="AM43" s="26" t="str">
        <f aca="false">IF(OR($A43="",AM$4=""),"",IF(NOT(OR(AM$6="Toda la plantilla",ISNUMBER(SEARCH(";"&amp;SUBSTITUTE($C43," ","")&amp;";",";"&amp;SUBSTITUTE(AM$7," ","")&amp;";")))),"—",IF(_xlfn.MAXIFS(Acuses!$C$5:$C$3004,Acuses!$A$5:$A$3004,$A43,Acuses!$B$5:$B$3004,AM$4)&lt;AM$5,"Pendiente",IF(AM$8=0,"OK",IF(EDATE(_xlfn.MAXIFS(Acuses!$D$5:$D$3004,Acuses!$A$5:$A$3004,$A43,Acuses!$B$5:$B$3004,AM$4,Acuses!$C$5:$C$3004,AM$5),AM$8)&lt;Resumen!$C$4,"Caducado",IF(EDATE(_xlfn.MAXIFS(Acuses!$D$5:$D$3004,Acuses!$A$5:$A$3004,$A43,Acuses!$B$5:$B$3004,AM$4,Acuses!$C$5:$C$3004,AM$5),AM$8)&lt;Resumen!$C$4+30,"Caduca pronto","OK"))))))</f>
        <v/>
      </c>
      <c r="AN43" s="26" t="str">
        <f aca="false">IF(OR($A43="",AN$4=""),"",IF(NOT(OR(AN$6="Toda la plantilla",ISNUMBER(SEARCH(";"&amp;SUBSTITUTE($C43," ","")&amp;";",";"&amp;SUBSTITUTE(AN$7," ","")&amp;";")))),"—",IF(_xlfn.MAXIFS(Acuses!$C$5:$C$3004,Acuses!$A$5:$A$3004,$A43,Acuses!$B$5:$B$3004,AN$4)&lt;AN$5,"Pendiente",IF(AN$8=0,"OK",IF(EDATE(_xlfn.MAXIFS(Acuses!$D$5:$D$3004,Acuses!$A$5:$A$3004,$A43,Acuses!$B$5:$B$3004,AN$4,Acuses!$C$5:$C$3004,AN$5),AN$8)&lt;Resumen!$C$4,"Caducado",IF(EDATE(_xlfn.MAXIFS(Acuses!$D$5:$D$3004,Acuses!$A$5:$A$3004,$A43,Acuses!$B$5:$B$3004,AN$4,Acuses!$C$5:$C$3004,AN$5),AN$8)&lt;Resumen!$C$4+30,"Caduca pronto","OK"))))))</f>
        <v/>
      </c>
      <c r="AO43" s="26" t="str">
        <f aca="false">IF(OR($A43="",AO$4=""),"",IF(NOT(OR(AO$6="Toda la plantilla",ISNUMBER(SEARCH(";"&amp;SUBSTITUTE($C43," ","")&amp;";",";"&amp;SUBSTITUTE(AO$7," ","")&amp;";")))),"—",IF(_xlfn.MAXIFS(Acuses!$C$5:$C$3004,Acuses!$A$5:$A$3004,$A43,Acuses!$B$5:$B$3004,AO$4)&lt;AO$5,"Pendiente",IF(AO$8=0,"OK",IF(EDATE(_xlfn.MAXIFS(Acuses!$D$5:$D$3004,Acuses!$A$5:$A$3004,$A43,Acuses!$B$5:$B$3004,AO$4,Acuses!$C$5:$C$3004,AO$5),AO$8)&lt;Resumen!$C$4,"Caducado",IF(EDATE(_xlfn.MAXIFS(Acuses!$D$5:$D$3004,Acuses!$A$5:$A$3004,$A43,Acuses!$B$5:$B$3004,AO$4,Acuses!$C$5:$C$3004,AO$5),AO$8)&lt;Resumen!$C$4+30,"Caduca pronto","OK"))))))</f>
        <v/>
      </c>
      <c r="AP43" s="26" t="str">
        <f aca="false">IF(OR($A43="",AP$4=""),"",IF(NOT(OR(AP$6="Toda la plantilla",ISNUMBER(SEARCH(";"&amp;SUBSTITUTE($C43," ","")&amp;";",";"&amp;SUBSTITUTE(AP$7," ","")&amp;";")))),"—",IF(_xlfn.MAXIFS(Acuses!$C$5:$C$3004,Acuses!$A$5:$A$3004,$A43,Acuses!$B$5:$B$3004,AP$4)&lt;AP$5,"Pendiente",IF(AP$8=0,"OK",IF(EDATE(_xlfn.MAXIFS(Acuses!$D$5:$D$3004,Acuses!$A$5:$A$3004,$A43,Acuses!$B$5:$B$3004,AP$4,Acuses!$C$5:$C$3004,AP$5),AP$8)&lt;Resumen!$C$4,"Caducado",IF(EDATE(_xlfn.MAXIFS(Acuses!$D$5:$D$3004,Acuses!$A$5:$A$3004,$A43,Acuses!$B$5:$B$3004,AP$4,Acuses!$C$5:$C$3004,AP$5),AP$8)&lt;Resumen!$C$4+30,"Caduca pronto","OK"))))))</f>
        <v/>
      </c>
      <c r="AQ43" s="26" t="str">
        <f aca="false">IF(OR($A43="",AQ$4=""),"",IF(NOT(OR(AQ$6="Toda la plantilla",ISNUMBER(SEARCH(";"&amp;SUBSTITUTE($C43," ","")&amp;";",";"&amp;SUBSTITUTE(AQ$7," ","")&amp;";")))),"—",IF(_xlfn.MAXIFS(Acuses!$C$5:$C$3004,Acuses!$A$5:$A$3004,$A43,Acuses!$B$5:$B$3004,AQ$4)&lt;AQ$5,"Pendiente",IF(AQ$8=0,"OK",IF(EDATE(_xlfn.MAXIFS(Acuses!$D$5:$D$3004,Acuses!$A$5:$A$3004,$A43,Acuses!$B$5:$B$3004,AQ$4,Acuses!$C$5:$C$3004,AQ$5),AQ$8)&lt;Resumen!$C$4,"Caducado",IF(EDATE(_xlfn.MAXIFS(Acuses!$D$5:$D$3004,Acuses!$A$5:$A$3004,$A43,Acuses!$B$5:$B$3004,AQ$4,Acuses!$C$5:$C$3004,AQ$5),AQ$8)&lt;Resumen!$C$4+30,"Caduca pronto","OK"))))))</f>
        <v/>
      </c>
    </row>
    <row r="44" customFormat="false" ht="15" hidden="false" customHeight="false" outlineLevel="0" collapsed="false">
      <c r="A44" s="25" t="str">
        <f aca="false">IF(AND(Trabajadores!$A$39&lt;&gt;"",Trabajadores!$G$39&lt;&gt;"No"),Trabajadores!$A$39,"")</f>
        <v/>
      </c>
      <c r="B44" s="25" t="str">
        <f aca="false">IF($A44="","",Trabajadores!$B$39)</f>
        <v/>
      </c>
      <c r="C44" s="25" t="str">
        <f aca="false">IF($A44="","",Trabajadores!$C$39)</f>
        <v/>
      </c>
      <c r="D44" s="26" t="str">
        <f aca="false">IF(OR($A44="",D$4=""),"",IF(NOT(OR(D$6="Toda la plantilla",ISNUMBER(SEARCH(";"&amp;SUBSTITUTE($C44," ","")&amp;";",";"&amp;SUBSTITUTE(D$7," ","")&amp;";")))),"—",IF(_xlfn.MAXIFS(Acuses!$C$5:$C$3004,Acuses!$A$5:$A$3004,$A44,Acuses!$B$5:$B$3004,D$4)&lt;D$5,"Pendiente",IF(D$8=0,"OK",IF(EDATE(_xlfn.MAXIFS(Acuses!$D$5:$D$3004,Acuses!$A$5:$A$3004,$A44,Acuses!$B$5:$B$3004,D$4,Acuses!$C$5:$C$3004,D$5),D$8)&lt;Resumen!$C$4,"Caducado",IF(EDATE(_xlfn.MAXIFS(Acuses!$D$5:$D$3004,Acuses!$A$5:$A$3004,$A44,Acuses!$B$5:$B$3004,D$4,Acuses!$C$5:$C$3004,D$5),D$8)&lt;Resumen!$C$4+30,"Caduca pronto","OK"))))))</f>
        <v/>
      </c>
      <c r="E44" s="26" t="str">
        <f aca="false">IF(OR($A44="",E$4=""),"",IF(NOT(OR(E$6="Toda la plantilla",ISNUMBER(SEARCH(";"&amp;SUBSTITUTE($C44," ","")&amp;";",";"&amp;SUBSTITUTE(E$7," ","")&amp;";")))),"—",IF(_xlfn.MAXIFS(Acuses!$C$5:$C$3004,Acuses!$A$5:$A$3004,$A44,Acuses!$B$5:$B$3004,E$4)&lt;E$5,"Pendiente",IF(E$8=0,"OK",IF(EDATE(_xlfn.MAXIFS(Acuses!$D$5:$D$3004,Acuses!$A$5:$A$3004,$A44,Acuses!$B$5:$B$3004,E$4,Acuses!$C$5:$C$3004,E$5),E$8)&lt;Resumen!$C$4,"Caducado",IF(EDATE(_xlfn.MAXIFS(Acuses!$D$5:$D$3004,Acuses!$A$5:$A$3004,$A44,Acuses!$B$5:$B$3004,E$4,Acuses!$C$5:$C$3004,E$5),E$8)&lt;Resumen!$C$4+30,"Caduca pronto","OK"))))))</f>
        <v/>
      </c>
      <c r="F44" s="26" t="str">
        <f aca="false">IF(OR($A44="",F$4=""),"",IF(NOT(OR(F$6="Toda la plantilla",ISNUMBER(SEARCH(";"&amp;SUBSTITUTE($C44," ","")&amp;";",";"&amp;SUBSTITUTE(F$7," ","")&amp;";")))),"—",IF(_xlfn.MAXIFS(Acuses!$C$5:$C$3004,Acuses!$A$5:$A$3004,$A44,Acuses!$B$5:$B$3004,F$4)&lt;F$5,"Pendiente",IF(F$8=0,"OK",IF(EDATE(_xlfn.MAXIFS(Acuses!$D$5:$D$3004,Acuses!$A$5:$A$3004,$A44,Acuses!$B$5:$B$3004,F$4,Acuses!$C$5:$C$3004,F$5),F$8)&lt;Resumen!$C$4,"Caducado",IF(EDATE(_xlfn.MAXIFS(Acuses!$D$5:$D$3004,Acuses!$A$5:$A$3004,$A44,Acuses!$B$5:$B$3004,F$4,Acuses!$C$5:$C$3004,F$5),F$8)&lt;Resumen!$C$4+30,"Caduca pronto","OK"))))))</f>
        <v/>
      </c>
      <c r="G44" s="26" t="str">
        <f aca="false">IF(OR($A44="",G$4=""),"",IF(NOT(OR(G$6="Toda la plantilla",ISNUMBER(SEARCH(";"&amp;SUBSTITUTE($C44," ","")&amp;";",";"&amp;SUBSTITUTE(G$7," ","")&amp;";")))),"—",IF(_xlfn.MAXIFS(Acuses!$C$5:$C$3004,Acuses!$A$5:$A$3004,$A44,Acuses!$B$5:$B$3004,G$4)&lt;G$5,"Pendiente",IF(G$8=0,"OK",IF(EDATE(_xlfn.MAXIFS(Acuses!$D$5:$D$3004,Acuses!$A$5:$A$3004,$A44,Acuses!$B$5:$B$3004,G$4,Acuses!$C$5:$C$3004,G$5),G$8)&lt;Resumen!$C$4,"Caducado",IF(EDATE(_xlfn.MAXIFS(Acuses!$D$5:$D$3004,Acuses!$A$5:$A$3004,$A44,Acuses!$B$5:$B$3004,G$4,Acuses!$C$5:$C$3004,G$5),G$8)&lt;Resumen!$C$4+30,"Caduca pronto","OK"))))))</f>
        <v/>
      </c>
      <c r="H44" s="26" t="str">
        <f aca="false">IF(OR($A44="",H$4=""),"",IF(NOT(OR(H$6="Toda la plantilla",ISNUMBER(SEARCH(";"&amp;SUBSTITUTE($C44," ","")&amp;";",";"&amp;SUBSTITUTE(H$7," ","")&amp;";")))),"—",IF(_xlfn.MAXIFS(Acuses!$C$5:$C$3004,Acuses!$A$5:$A$3004,$A44,Acuses!$B$5:$B$3004,H$4)&lt;H$5,"Pendiente",IF(H$8=0,"OK",IF(EDATE(_xlfn.MAXIFS(Acuses!$D$5:$D$3004,Acuses!$A$5:$A$3004,$A44,Acuses!$B$5:$B$3004,H$4,Acuses!$C$5:$C$3004,H$5),H$8)&lt;Resumen!$C$4,"Caducado",IF(EDATE(_xlfn.MAXIFS(Acuses!$D$5:$D$3004,Acuses!$A$5:$A$3004,$A44,Acuses!$B$5:$B$3004,H$4,Acuses!$C$5:$C$3004,H$5),H$8)&lt;Resumen!$C$4+30,"Caduca pronto","OK"))))))</f>
        <v/>
      </c>
      <c r="I44" s="26" t="str">
        <f aca="false">IF(OR($A44="",I$4=""),"",IF(NOT(OR(I$6="Toda la plantilla",ISNUMBER(SEARCH(";"&amp;SUBSTITUTE($C44," ","")&amp;";",";"&amp;SUBSTITUTE(I$7," ","")&amp;";")))),"—",IF(_xlfn.MAXIFS(Acuses!$C$5:$C$3004,Acuses!$A$5:$A$3004,$A44,Acuses!$B$5:$B$3004,I$4)&lt;I$5,"Pendiente",IF(I$8=0,"OK",IF(EDATE(_xlfn.MAXIFS(Acuses!$D$5:$D$3004,Acuses!$A$5:$A$3004,$A44,Acuses!$B$5:$B$3004,I$4,Acuses!$C$5:$C$3004,I$5),I$8)&lt;Resumen!$C$4,"Caducado",IF(EDATE(_xlfn.MAXIFS(Acuses!$D$5:$D$3004,Acuses!$A$5:$A$3004,$A44,Acuses!$B$5:$B$3004,I$4,Acuses!$C$5:$C$3004,I$5),I$8)&lt;Resumen!$C$4+30,"Caduca pronto","OK"))))))</f>
        <v/>
      </c>
      <c r="J44" s="26" t="str">
        <f aca="false">IF(OR($A44="",J$4=""),"",IF(NOT(OR(J$6="Toda la plantilla",ISNUMBER(SEARCH(";"&amp;SUBSTITUTE($C44," ","")&amp;";",";"&amp;SUBSTITUTE(J$7," ","")&amp;";")))),"—",IF(_xlfn.MAXIFS(Acuses!$C$5:$C$3004,Acuses!$A$5:$A$3004,$A44,Acuses!$B$5:$B$3004,J$4)&lt;J$5,"Pendiente",IF(J$8=0,"OK",IF(EDATE(_xlfn.MAXIFS(Acuses!$D$5:$D$3004,Acuses!$A$5:$A$3004,$A44,Acuses!$B$5:$B$3004,J$4,Acuses!$C$5:$C$3004,J$5),J$8)&lt;Resumen!$C$4,"Caducado",IF(EDATE(_xlfn.MAXIFS(Acuses!$D$5:$D$3004,Acuses!$A$5:$A$3004,$A44,Acuses!$B$5:$B$3004,J$4,Acuses!$C$5:$C$3004,J$5),J$8)&lt;Resumen!$C$4+30,"Caduca pronto","OK"))))))</f>
        <v/>
      </c>
      <c r="K44" s="26" t="str">
        <f aca="false">IF(OR($A44="",K$4=""),"",IF(NOT(OR(K$6="Toda la plantilla",ISNUMBER(SEARCH(";"&amp;SUBSTITUTE($C44," ","")&amp;";",";"&amp;SUBSTITUTE(K$7," ","")&amp;";")))),"—",IF(_xlfn.MAXIFS(Acuses!$C$5:$C$3004,Acuses!$A$5:$A$3004,$A44,Acuses!$B$5:$B$3004,K$4)&lt;K$5,"Pendiente",IF(K$8=0,"OK",IF(EDATE(_xlfn.MAXIFS(Acuses!$D$5:$D$3004,Acuses!$A$5:$A$3004,$A44,Acuses!$B$5:$B$3004,K$4,Acuses!$C$5:$C$3004,K$5),K$8)&lt;Resumen!$C$4,"Caducado",IF(EDATE(_xlfn.MAXIFS(Acuses!$D$5:$D$3004,Acuses!$A$5:$A$3004,$A44,Acuses!$B$5:$B$3004,K$4,Acuses!$C$5:$C$3004,K$5),K$8)&lt;Resumen!$C$4+30,"Caduca pronto","OK"))))))</f>
        <v/>
      </c>
      <c r="L44" s="26" t="str">
        <f aca="false">IF(OR($A44="",L$4=""),"",IF(NOT(OR(L$6="Toda la plantilla",ISNUMBER(SEARCH(";"&amp;SUBSTITUTE($C44," ","")&amp;";",";"&amp;SUBSTITUTE(L$7," ","")&amp;";")))),"—",IF(_xlfn.MAXIFS(Acuses!$C$5:$C$3004,Acuses!$A$5:$A$3004,$A44,Acuses!$B$5:$B$3004,L$4)&lt;L$5,"Pendiente",IF(L$8=0,"OK",IF(EDATE(_xlfn.MAXIFS(Acuses!$D$5:$D$3004,Acuses!$A$5:$A$3004,$A44,Acuses!$B$5:$B$3004,L$4,Acuses!$C$5:$C$3004,L$5),L$8)&lt;Resumen!$C$4,"Caducado",IF(EDATE(_xlfn.MAXIFS(Acuses!$D$5:$D$3004,Acuses!$A$5:$A$3004,$A44,Acuses!$B$5:$B$3004,L$4,Acuses!$C$5:$C$3004,L$5),L$8)&lt;Resumen!$C$4+30,"Caduca pronto","OK"))))))</f>
        <v/>
      </c>
      <c r="M44" s="26" t="str">
        <f aca="false">IF(OR($A44="",M$4=""),"",IF(NOT(OR(M$6="Toda la plantilla",ISNUMBER(SEARCH(";"&amp;SUBSTITUTE($C44," ","")&amp;";",";"&amp;SUBSTITUTE(M$7," ","")&amp;";")))),"—",IF(_xlfn.MAXIFS(Acuses!$C$5:$C$3004,Acuses!$A$5:$A$3004,$A44,Acuses!$B$5:$B$3004,M$4)&lt;M$5,"Pendiente",IF(M$8=0,"OK",IF(EDATE(_xlfn.MAXIFS(Acuses!$D$5:$D$3004,Acuses!$A$5:$A$3004,$A44,Acuses!$B$5:$B$3004,M$4,Acuses!$C$5:$C$3004,M$5),M$8)&lt;Resumen!$C$4,"Caducado",IF(EDATE(_xlfn.MAXIFS(Acuses!$D$5:$D$3004,Acuses!$A$5:$A$3004,$A44,Acuses!$B$5:$B$3004,M$4,Acuses!$C$5:$C$3004,M$5),M$8)&lt;Resumen!$C$4+30,"Caduca pronto","OK"))))))</f>
        <v/>
      </c>
      <c r="N44" s="26" t="str">
        <f aca="false">IF(OR($A44="",N$4=""),"",IF(NOT(OR(N$6="Toda la plantilla",ISNUMBER(SEARCH(";"&amp;SUBSTITUTE($C44," ","")&amp;";",";"&amp;SUBSTITUTE(N$7," ","")&amp;";")))),"—",IF(_xlfn.MAXIFS(Acuses!$C$5:$C$3004,Acuses!$A$5:$A$3004,$A44,Acuses!$B$5:$B$3004,N$4)&lt;N$5,"Pendiente",IF(N$8=0,"OK",IF(EDATE(_xlfn.MAXIFS(Acuses!$D$5:$D$3004,Acuses!$A$5:$A$3004,$A44,Acuses!$B$5:$B$3004,N$4,Acuses!$C$5:$C$3004,N$5),N$8)&lt;Resumen!$C$4,"Caducado",IF(EDATE(_xlfn.MAXIFS(Acuses!$D$5:$D$3004,Acuses!$A$5:$A$3004,$A44,Acuses!$B$5:$B$3004,N$4,Acuses!$C$5:$C$3004,N$5),N$8)&lt;Resumen!$C$4+30,"Caduca pronto","OK"))))))</f>
        <v/>
      </c>
      <c r="O44" s="26" t="str">
        <f aca="false">IF(OR($A44="",O$4=""),"",IF(NOT(OR(O$6="Toda la plantilla",ISNUMBER(SEARCH(";"&amp;SUBSTITUTE($C44," ","")&amp;";",";"&amp;SUBSTITUTE(O$7," ","")&amp;";")))),"—",IF(_xlfn.MAXIFS(Acuses!$C$5:$C$3004,Acuses!$A$5:$A$3004,$A44,Acuses!$B$5:$B$3004,O$4)&lt;O$5,"Pendiente",IF(O$8=0,"OK",IF(EDATE(_xlfn.MAXIFS(Acuses!$D$5:$D$3004,Acuses!$A$5:$A$3004,$A44,Acuses!$B$5:$B$3004,O$4,Acuses!$C$5:$C$3004,O$5),O$8)&lt;Resumen!$C$4,"Caducado",IF(EDATE(_xlfn.MAXIFS(Acuses!$D$5:$D$3004,Acuses!$A$5:$A$3004,$A44,Acuses!$B$5:$B$3004,O$4,Acuses!$C$5:$C$3004,O$5),O$8)&lt;Resumen!$C$4+30,"Caduca pronto","OK"))))))</f>
        <v/>
      </c>
      <c r="P44" s="26" t="str">
        <f aca="false">IF(OR($A44="",P$4=""),"",IF(NOT(OR(P$6="Toda la plantilla",ISNUMBER(SEARCH(";"&amp;SUBSTITUTE($C44," ","")&amp;";",";"&amp;SUBSTITUTE(P$7," ","")&amp;";")))),"—",IF(_xlfn.MAXIFS(Acuses!$C$5:$C$3004,Acuses!$A$5:$A$3004,$A44,Acuses!$B$5:$B$3004,P$4)&lt;P$5,"Pendiente",IF(P$8=0,"OK",IF(EDATE(_xlfn.MAXIFS(Acuses!$D$5:$D$3004,Acuses!$A$5:$A$3004,$A44,Acuses!$B$5:$B$3004,P$4,Acuses!$C$5:$C$3004,P$5),P$8)&lt;Resumen!$C$4,"Caducado",IF(EDATE(_xlfn.MAXIFS(Acuses!$D$5:$D$3004,Acuses!$A$5:$A$3004,$A44,Acuses!$B$5:$B$3004,P$4,Acuses!$C$5:$C$3004,P$5),P$8)&lt;Resumen!$C$4+30,"Caduca pronto","OK"))))))</f>
        <v/>
      </c>
      <c r="Q44" s="26" t="str">
        <f aca="false">IF(OR($A44="",Q$4=""),"",IF(NOT(OR(Q$6="Toda la plantilla",ISNUMBER(SEARCH(";"&amp;SUBSTITUTE($C44," ","")&amp;";",";"&amp;SUBSTITUTE(Q$7," ","")&amp;";")))),"—",IF(_xlfn.MAXIFS(Acuses!$C$5:$C$3004,Acuses!$A$5:$A$3004,$A44,Acuses!$B$5:$B$3004,Q$4)&lt;Q$5,"Pendiente",IF(Q$8=0,"OK",IF(EDATE(_xlfn.MAXIFS(Acuses!$D$5:$D$3004,Acuses!$A$5:$A$3004,$A44,Acuses!$B$5:$B$3004,Q$4,Acuses!$C$5:$C$3004,Q$5),Q$8)&lt;Resumen!$C$4,"Caducado",IF(EDATE(_xlfn.MAXIFS(Acuses!$D$5:$D$3004,Acuses!$A$5:$A$3004,$A44,Acuses!$B$5:$B$3004,Q$4,Acuses!$C$5:$C$3004,Q$5),Q$8)&lt;Resumen!$C$4+30,"Caduca pronto","OK"))))))</f>
        <v/>
      </c>
      <c r="R44" s="26" t="str">
        <f aca="false">IF(OR($A44="",R$4=""),"",IF(NOT(OR(R$6="Toda la plantilla",ISNUMBER(SEARCH(";"&amp;SUBSTITUTE($C44," ","")&amp;";",";"&amp;SUBSTITUTE(R$7," ","")&amp;";")))),"—",IF(_xlfn.MAXIFS(Acuses!$C$5:$C$3004,Acuses!$A$5:$A$3004,$A44,Acuses!$B$5:$B$3004,R$4)&lt;R$5,"Pendiente",IF(R$8=0,"OK",IF(EDATE(_xlfn.MAXIFS(Acuses!$D$5:$D$3004,Acuses!$A$5:$A$3004,$A44,Acuses!$B$5:$B$3004,R$4,Acuses!$C$5:$C$3004,R$5),R$8)&lt;Resumen!$C$4,"Caducado",IF(EDATE(_xlfn.MAXIFS(Acuses!$D$5:$D$3004,Acuses!$A$5:$A$3004,$A44,Acuses!$B$5:$B$3004,R$4,Acuses!$C$5:$C$3004,R$5),R$8)&lt;Resumen!$C$4+30,"Caduca pronto","OK"))))))</f>
        <v/>
      </c>
      <c r="S44" s="26" t="str">
        <f aca="false">IF(OR($A44="",S$4=""),"",IF(NOT(OR(S$6="Toda la plantilla",ISNUMBER(SEARCH(";"&amp;SUBSTITUTE($C44," ","")&amp;";",";"&amp;SUBSTITUTE(S$7," ","")&amp;";")))),"—",IF(_xlfn.MAXIFS(Acuses!$C$5:$C$3004,Acuses!$A$5:$A$3004,$A44,Acuses!$B$5:$B$3004,S$4)&lt;S$5,"Pendiente",IF(S$8=0,"OK",IF(EDATE(_xlfn.MAXIFS(Acuses!$D$5:$D$3004,Acuses!$A$5:$A$3004,$A44,Acuses!$B$5:$B$3004,S$4,Acuses!$C$5:$C$3004,S$5),S$8)&lt;Resumen!$C$4,"Caducado",IF(EDATE(_xlfn.MAXIFS(Acuses!$D$5:$D$3004,Acuses!$A$5:$A$3004,$A44,Acuses!$B$5:$B$3004,S$4,Acuses!$C$5:$C$3004,S$5),S$8)&lt;Resumen!$C$4+30,"Caduca pronto","OK"))))))</f>
        <v/>
      </c>
      <c r="T44" s="26" t="str">
        <f aca="false">IF(OR($A44="",T$4=""),"",IF(NOT(OR(T$6="Toda la plantilla",ISNUMBER(SEARCH(";"&amp;SUBSTITUTE($C44," ","")&amp;";",";"&amp;SUBSTITUTE(T$7," ","")&amp;";")))),"—",IF(_xlfn.MAXIFS(Acuses!$C$5:$C$3004,Acuses!$A$5:$A$3004,$A44,Acuses!$B$5:$B$3004,T$4)&lt;T$5,"Pendiente",IF(T$8=0,"OK",IF(EDATE(_xlfn.MAXIFS(Acuses!$D$5:$D$3004,Acuses!$A$5:$A$3004,$A44,Acuses!$B$5:$B$3004,T$4,Acuses!$C$5:$C$3004,T$5),T$8)&lt;Resumen!$C$4,"Caducado",IF(EDATE(_xlfn.MAXIFS(Acuses!$D$5:$D$3004,Acuses!$A$5:$A$3004,$A44,Acuses!$B$5:$B$3004,T$4,Acuses!$C$5:$C$3004,T$5),T$8)&lt;Resumen!$C$4+30,"Caduca pronto","OK"))))))</f>
        <v/>
      </c>
      <c r="U44" s="26" t="str">
        <f aca="false">IF(OR($A44="",U$4=""),"",IF(NOT(OR(U$6="Toda la plantilla",ISNUMBER(SEARCH(";"&amp;SUBSTITUTE($C44," ","")&amp;";",";"&amp;SUBSTITUTE(U$7," ","")&amp;";")))),"—",IF(_xlfn.MAXIFS(Acuses!$C$5:$C$3004,Acuses!$A$5:$A$3004,$A44,Acuses!$B$5:$B$3004,U$4)&lt;U$5,"Pendiente",IF(U$8=0,"OK",IF(EDATE(_xlfn.MAXIFS(Acuses!$D$5:$D$3004,Acuses!$A$5:$A$3004,$A44,Acuses!$B$5:$B$3004,U$4,Acuses!$C$5:$C$3004,U$5),U$8)&lt;Resumen!$C$4,"Caducado",IF(EDATE(_xlfn.MAXIFS(Acuses!$D$5:$D$3004,Acuses!$A$5:$A$3004,$A44,Acuses!$B$5:$B$3004,U$4,Acuses!$C$5:$C$3004,U$5),U$8)&lt;Resumen!$C$4+30,"Caduca pronto","OK"))))))</f>
        <v/>
      </c>
      <c r="V44" s="26" t="str">
        <f aca="false">IF(OR($A44="",V$4=""),"",IF(NOT(OR(V$6="Toda la plantilla",ISNUMBER(SEARCH(";"&amp;SUBSTITUTE($C44," ","")&amp;";",";"&amp;SUBSTITUTE(V$7," ","")&amp;";")))),"—",IF(_xlfn.MAXIFS(Acuses!$C$5:$C$3004,Acuses!$A$5:$A$3004,$A44,Acuses!$B$5:$B$3004,V$4)&lt;V$5,"Pendiente",IF(V$8=0,"OK",IF(EDATE(_xlfn.MAXIFS(Acuses!$D$5:$D$3004,Acuses!$A$5:$A$3004,$A44,Acuses!$B$5:$B$3004,V$4,Acuses!$C$5:$C$3004,V$5),V$8)&lt;Resumen!$C$4,"Caducado",IF(EDATE(_xlfn.MAXIFS(Acuses!$D$5:$D$3004,Acuses!$A$5:$A$3004,$A44,Acuses!$B$5:$B$3004,V$4,Acuses!$C$5:$C$3004,V$5),V$8)&lt;Resumen!$C$4+30,"Caduca pronto","OK"))))))</f>
        <v/>
      </c>
      <c r="W44" s="26" t="str">
        <f aca="false">IF(OR($A44="",W$4=""),"",IF(NOT(OR(W$6="Toda la plantilla",ISNUMBER(SEARCH(";"&amp;SUBSTITUTE($C44," ","")&amp;";",";"&amp;SUBSTITUTE(W$7," ","")&amp;";")))),"—",IF(_xlfn.MAXIFS(Acuses!$C$5:$C$3004,Acuses!$A$5:$A$3004,$A44,Acuses!$B$5:$B$3004,W$4)&lt;W$5,"Pendiente",IF(W$8=0,"OK",IF(EDATE(_xlfn.MAXIFS(Acuses!$D$5:$D$3004,Acuses!$A$5:$A$3004,$A44,Acuses!$B$5:$B$3004,W$4,Acuses!$C$5:$C$3004,W$5),W$8)&lt;Resumen!$C$4,"Caducado",IF(EDATE(_xlfn.MAXIFS(Acuses!$D$5:$D$3004,Acuses!$A$5:$A$3004,$A44,Acuses!$B$5:$B$3004,W$4,Acuses!$C$5:$C$3004,W$5),W$8)&lt;Resumen!$C$4+30,"Caduca pronto","OK"))))))</f>
        <v/>
      </c>
      <c r="X44" s="26" t="str">
        <f aca="false">IF(OR($A44="",X$4=""),"",IF(NOT(OR(X$6="Toda la plantilla",ISNUMBER(SEARCH(";"&amp;SUBSTITUTE($C44," ","")&amp;";",";"&amp;SUBSTITUTE(X$7," ","")&amp;";")))),"—",IF(_xlfn.MAXIFS(Acuses!$C$5:$C$3004,Acuses!$A$5:$A$3004,$A44,Acuses!$B$5:$B$3004,X$4)&lt;X$5,"Pendiente",IF(X$8=0,"OK",IF(EDATE(_xlfn.MAXIFS(Acuses!$D$5:$D$3004,Acuses!$A$5:$A$3004,$A44,Acuses!$B$5:$B$3004,X$4,Acuses!$C$5:$C$3004,X$5),X$8)&lt;Resumen!$C$4,"Caducado",IF(EDATE(_xlfn.MAXIFS(Acuses!$D$5:$D$3004,Acuses!$A$5:$A$3004,$A44,Acuses!$B$5:$B$3004,X$4,Acuses!$C$5:$C$3004,X$5),X$8)&lt;Resumen!$C$4+30,"Caduca pronto","OK"))))))</f>
        <v/>
      </c>
      <c r="Y44" s="26" t="str">
        <f aca="false">IF(OR($A44="",Y$4=""),"",IF(NOT(OR(Y$6="Toda la plantilla",ISNUMBER(SEARCH(";"&amp;SUBSTITUTE($C44," ","")&amp;";",";"&amp;SUBSTITUTE(Y$7," ","")&amp;";")))),"—",IF(_xlfn.MAXIFS(Acuses!$C$5:$C$3004,Acuses!$A$5:$A$3004,$A44,Acuses!$B$5:$B$3004,Y$4)&lt;Y$5,"Pendiente",IF(Y$8=0,"OK",IF(EDATE(_xlfn.MAXIFS(Acuses!$D$5:$D$3004,Acuses!$A$5:$A$3004,$A44,Acuses!$B$5:$B$3004,Y$4,Acuses!$C$5:$C$3004,Y$5),Y$8)&lt;Resumen!$C$4,"Caducado",IF(EDATE(_xlfn.MAXIFS(Acuses!$D$5:$D$3004,Acuses!$A$5:$A$3004,$A44,Acuses!$B$5:$B$3004,Y$4,Acuses!$C$5:$C$3004,Y$5),Y$8)&lt;Resumen!$C$4+30,"Caduca pronto","OK"))))))</f>
        <v/>
      </c>
      <c r="Z44" s="26" t="str">
        <f aca="false">IF(OR($A44="",Z$4=""),"",IF(NOT(OR(Z$6="Toda la plantilla",ISNUMBER(SEARCH(";"&amp;SUBSTITUTE($C44," ","")&amp;";",";"&amp;SUBSTITUTE(Z$7," ","")&amp;";")))),"—",IF(_xlfn.MAXIFS(Acuses!$C$5:$C$3004,Acuses!$A$5:$A$3004,$A44,Acuses!$B$5:$B$3004,Z$4)&lt;Z$5,"Pendiente",IF(Z$8=0,"OK",IF(EDATE(_xlfn.MAXIFS(Acuses!$D$5:$D$3004,Acuses!$A$5:$A$3004,$A44,Acuses!$B$5:$B$3004,Z$4,Acuses!$C$5:$C$3004,Z$5),Z$8)&lt;Resumen!$C$4,"Caducado",IF(EDATE(_xlfn.MAXIFS(Acuses!$D$5:$D$3004,Acuses!$A$5:$A$3004,$A44,Acuses!$B$5:$B$3004,Z$4,Acuses!$C$5:$C$3004,Z$5),Z$8)&lt;Resumen!$C$4+30,"Caduca pronto","OK"))))))</f>
        <v/>
      </c>
      <c r="AA44" s="26" t="str">
        <f aca="false">IF(OR($A44="",AA$4=""),"",IF(NOT(OR(AA$6="Toda la plantilla",ISNUMBER(SEARCH(";"&amp;SUBSTITUTE($C44," ","")&amp;";",";"&amp;SUBSTITUTE(AA$7," ","")&amp;";")))),"—",IF(_xlfn.MAXIFS(Acuses!$C$5:$C$3004,Acuses!$A$5:$A$3004,$A44,Acuses!$B$5:$B$3004,AA$4)&lt;AA$5,"Pendiente",IF(AA$8=0,"OK",IF(EDATE(_xlfn.MAXIFS(Acuses!$D$5:$D$3004,Acuses!$A$5:$A$3004,$A44,Acuses!$B$5:$B$3004,AA$4,Acuses!$C$5:$C$3004,AA$5),AA$8)&lt;Resumen!$C$4,"Caducado",IF(EDATE(_xlfn.MAXIFS(Acuses!$D$5:$D$3004,Acuses!$A$5:$A$3004,$A44,Acuses!$B$5:$B$3004,AA$4,Acuses!$C$5:$C$3004,AA$5),AA$8)&lt;Resumen!$C$4+30,"Caduca pronto","OK"))))))</f>
        <v/>
      </c>
      <c r="AB44" s="26" t="str">
        <f aca="false">IF(OR($A44="",AB$4=""),"",IF(NOT(OR(AB$6="Toda la plantilla",ISNUMBER(SEARCH(";"&amp;SUBSTITUTE($C44," ","")&amp;";",";"&amp;SUBSTITUTE(AB$7," ","")&amp;";")))),"—",IF(_xlfn.MAXIFS(Acuses!$C$5:$C$3004,Acuses!$A$5:$A$3004,$A44,Acuses!$B$5:$B$3004,AB$4)&lt;AB$5,"Pendiente",IF(AB$8=0,"OK",IF(EDATE(_xlfn.MAXIFS(Acuses!$D$5:$D$3004,Acuses!$A$5:$A$3004,$A44,Acuses!$B$5:$B$3004,AB$4,Acuses!$C$5:$C$3004,AB$5),AB$8)&lt;Resumen!$C$4,"Caducado",IF(EDATE(_xlfn.MAXIFS(Acuses!$D$5:$D$3004,Acuses!$A$5:$A$3004,$A44,Acuses!$B$5:$B$3004,AB$4,Acuses!$C$5:$C$3004,AB$5),AB$8)&lt;Resumen!$C$4+30,"Caduca pronto","OK"))))))</f>
        <v/>
      </c>
      <c r="AC44" s="26" t="str">
        <f aca="false">IF(OR($A44="",AC$4=""),"",IF(NOT(OR(AC$6="Toda la plantilla",ISNUMBER(SEARCH(";"&amp;SUBSTITUTE($C44," ","")&amp;";",";"&amp;SUBSTITUTE(AC$7," ","")&amp;";")))),"—",IF(_xlfn.MAXIFS(Acuses!$C$5:$C$3004,Acuses!$A$5:$A$3004,$A44,Acuses!$B$5:$B$3004,AC$4)&lt;AC$5,"Pendiente",IF(AC$8=0,"OK",IF(EDATE(_xlfn.MAXIFS(Acuses!$D$5:$D$3004,Acuses!$A$5:$A$3004,$A44,Acuses!$B$5:$B$3004,AC$4,Acuses!$C$5:$C$3004,AC$5),AC$8)&lt;Resumen!$C$4,"Caducado",IF(EDATE(_xlfn.MAXIFS(Acuses!$D$5:$D$3004,Acuses!$A$5:$A$3004,$A44,Acuses!$B$5:$B$3004,AC$4,Acuses!$C$5:$C$3004,AC$5),AC$8)&lt;Resumen!$C$4+30,"Caduca pronto","OK"))))))</f>
        <v/>
      </c>
      <c r="AD44" s="26" t="str">
        <f aca="false">IF(OR($A44="",AD$4=""),"",IF(NOT(OR(AD$6="Toda la plantilla",ISNUMBER(SEARCH(";"&amp;SUBSTITUTE($C44," ","")&amp;";",";"&amp;SUBSTITUTE(AD$7," ","")&amp;";")))),"—",IF(_xlfn.MAXIFS(Acuses!$C$5:$C$3004,Acuses!$A$5:$A$3004,$A44,Acuses!$B$5:$B$3004,AD$4)&lt;AD$5,"Pendiente",IF(AD$8=0,"OK",IF(EDATE(_xlfn.MAXIFS(Acuses!$D$5:$D$3004,Acuses!$A$5:$A$3004,$A44,Acuses!$B$5:$B$3004,AD$4,Acuses!$C$5:$C$3004,AD$5),AD$8)&lt;Resumen!$C$4,"Caducado",IF(EDATE(_xlfn.MAXIFS(Acuses!$D$5:$D$3004,Acuses!$A$5:$A$3004,$A44,Acuses!$B$5:$B$3004,AD$4,Acuses!$C$5:$C$3004,AD$5),AD$8)&lt;Resumen!$C$4+30,"Caduca pronto","OK"))))))</f>
        <v/>
      </c>
      <c r="AE44" s="26" t="str">
        <f aca="false">IF(OR($A44="",AE$4=""),"",IF(NOT(OR(AE$6="Toda la plantilla",ISNUMBER(SEARCH(";"&amp;SUBSTITUTE($C44," ","")&amp;";",";"&amp;SUBSTITUTE(AE$7," ","")&amp;";")))),"—",IF(_xlfn.MAXIFS(Acuses!$C$5:$C$3004,Acuses!$A$5:$A$3004,$A44,Acuses!$B$5:$B$3004,AE$4)&lt;AE$5,"Pendiente",IF(AE$8=0,"OK",IF(EDATE(_xlfn.MAXIFS(Acuses!$D$5:$D$3004,Acuses!$A$5:$A$3004,$A44,Acuses!$B$5:$B$3004,AE$4,Acuses!$C$5:$C$3004,AE$5),AE$8)&lt;Resumen!$C$4,"Caducado",IF(EDATE(_xlfn.MAXIFS(Acuses!$D$5:$D$3004,Acuses!$A$5:$A$3004,$A44,Acuses!$B$5:$B$3004,AE$4,Acuses!$C$5:$C$3004,AE$5),AE$8)&lt;Resumen!$C$4+30,"Caduca pronto","OK"))))))</f>
        <v/>
      </c>
      <c r="AF44" s="26" t="str">
        <f aca="false">IF(OR($A44="",AF$4=""),"",IF(NOT(OR(AF$6="Toda la plantilla",ISNUMBER(SEARCH(";"&amp;SUBSTITUTE($C44," ","")&amp;";",";"&amp;SUBSTITUTE(AF$7," ","")&amp;";")))),"—",IF(_xlfn.MAXIFS(Acuses!$C$5:$C$3004,Acuses!$A$5:$A$3004,$A44,Acuses!$B$5:$B$3004,AF$4)&lt;AF$5,"Pendiente",IF(AF$8=0,"OK",IF(EDATE(_xlfn.MAXIFS(Acuses!$D$5:$D$3004,Acuses!$A$5:$A$3004,$A44,Acuses!$B$5:$B$3004,AF$4,Acuses!$C$5:$C$3004,AF$5),AF$8)&lt;Resumen!$C$4,"Caducado",IF(EDATE(_xlfn.MAXIFS(Acuses!$D$5:$D$3004,Acuses!$A$5:$A$3004,$A44,Acuses!$B$5:$B$3004,AF$4,Acuses!$C$5:$C$3004,AF$5),AF$8)&lt;Resumen!$C$4+30,"Caduca pronto","OK"))))))</f>
        <v/>
      </c>
      <c r="AG44" s="26" t="str">
        <f aca="false">IF(OR($A44="",AG$4=""),"",IF(NOT(OR(AG$6="Toda la plantilla",ISNUMBER(SEARCH(";"&amp;SUBSTITUTE($C44," ","")&amp;";",";"&amp;SUBSTITUTE(AG$7," ","")&amp;";")))),"—",IF(_xlfn.MAXIFS(Acuses!$C$5:$C$3004,Acuses!$A$5:$A$3004,$A44,Acuses!$B$5:$B$3004,AG$4)&lt;AG$5,"Pendiente",IF(AG$8=0,"OK",IF(EDATE(_xlfn.MAXIFS(Acuses!$D$5:$D$3004,Acuses!$A$5:$A$3004,$A44,Acuses!$B$5:$B$3004,AG$4,Acuses!$C$5:$C$3004,AG$5),AG$8)&lt;Resumen!$C$4,"Caducado",IF(EDATE(_xlfn.MAXIFS(Acuses!$D$5:$D$3004,Acuses!$A$5:$A$3004,$A44,Acuses!$B$5:$B$3004,AG$4,Acuses!$C$5:$C$3004,AG$5),AG$8)&lt;Resumen!$C$4+30,"Caduca pronto","OK"))))))</f>
        <v/>
      </c>
      <c r="AH44" s="26" t="str">
        <f aca="false">IF(OR($A44="",AH$4=""),"",IF(NOT(OR(AH$6="Toda la plantilla",ISNUMBER(SEARCH(";"&amp;SUBSTITUTE($C44," ","")&amp;";",";"&amp;SUBSTITUTE(AH$7," ","")&amp;";")))),"—",IF(_xlfn.MAXIFS(Acuses!$C$5:$C$3004,Acuses!$A$5:$A$3004,$A44,Acuses!$B$5:$B$3004,AH$4)&lt;AH$5,"Pendiente",IF(AH$8=0,"OK",IF(EDATE(_xlfn.MAXIFS(Acuses!$D$5:$D$3004,Acuses!$A$5:$A$3004,$A44,Acuses!$B$5:$B$3004,AH$4,Acuses!$C$5:$C$3004,AH$5),AH$8)&lt;Resumen!$C$4,"Caducado",IF(EDATE(_xlfn.MAXIFS(Acuses!$D$5:$D$3004,Acuses!$A$5:$A$3004,$A44,Acuses!$B$5:$B$3004,AH$4,Acuses!$C$5:$C$3004,AH$5),AH$8)&lt;Resumen!$C$4+30,"Caduca pronto","OK"))))))</f>
        <v/>
      </c>
      <c r="AI44" s="26" t="str">
        <f aca="false">IF(OR($A44="",AI$4=""),"",IF(NOT(OR(AI$6="Toda la plantilla",ISNUMBER(SEARCH(";"&amp;SUBSTITUTE($C44," ","")&amp;";",";"&amp;SUBSTITUTE(AI$7," ","")&amp;";")))),"—",IF(_xlfn.MAXIFS(Acuses!$C$5:$C$3004,Acuses!$A$5:$A$3004,$A44,Acuses!$B$5:$B$3004,AI$4)&lt;AI$5,"Pendiente",IF(AI$8=0,"OK",IF(EDATE(_xlfn.MAXIFS(Acuses!$D$5:$D$3004,Acuses!$A$5:$A$3004,$A44,Acuses!$B$5:$B$3004,AI$4,Acuses!$C$5:$C$3004,AI$5),AI$8)&lt;Resumen!$C$4,"Caducado",IF(EDATE(_xlfn.MAXIFS(Acuses!$D$5:$D$3004,Acuses!$A$5:$A$3004,$A44,Acuses!$B$5:$B$3004,AI$4,Acuses!$C$5:$C$3004,AI$5),AI$8)&lt;Resumen!$C$4+30,"Caduca pronto","OK"))))))</f>
        <v/>
      </c>
      <c r="AJ44" s="26" t="str">
        <f aca="false">IF(OR($A44="",AJ$4=""),"",IF(NOT(OR(AJ$6="Toda la plantilla",ISNUMBER(SEARCH(";"&amp;SUBSTITUTE($C44," ","")&amp;";",";"&amp;SUBSTITUTE(AJ$7," ","")&amp;";")))),"—",IF(_xlfn.MAXIFS(Acuses!$C$5:$C$3004,Acuses!$A$5:$A$3004,$A44,Acuses!$B$5:$B$3004,AJ$4)&lt;AJ$5,"Pendiente",IF(AJ$8=0,"OK",IF(EDATE(_xlfn.MAXIFS(Acuses!$D$5:$D$3004,Acuses!$A$5:$A$3004,$A44,Acuses!$B$5:$B$3004,AJ$4,Acuses!$C$5:$C$3004,AJ$5),AJ$8)&lt;Resumen!$C$4,"Caducado",IF(EDATE(_xlfn.MAXIFS(Acuses!$D$5:$D$3004,Acuses!$A$5:$A$3004,$A44,Acuses!$B$5:$B$3004,AJ$4,Acuses!$C$5:$C$3004,AJ$5),AJ$8)&lt;Resumen!$C$4+30,"Caduca pronto","OK"))))))</f>
        <v/>
      </c>
      <c r="AK44" s="26" t="str">
        <f aca="false">IF(OR($A44="",AK$4=""),"",IF(NOT(OR(AK$6="Toda la plantilla",ISNUMBER(SEARCH(";"&amp;SUBSTITUTE($C44," ","")&amp;";",";"&amp;SUBSTITUTE(AK$7," ","")&amp;";")))),"—",IF(_xlfn.MAXIFS(Acuses!$C$5:$C$3004,Acuses!$A$5:$A$3004,$A44,Acuses!$B$5:$B$3004,AK$4)&lt;AK$5,"Pendiente",IF(AK$8=0,"OK",IF(EDATE(_xlfn.MAXIFS(Acuses!$D$5:$D$3004,Acuses!$A$5:$A$3004,$A44,Acuses!$B$5:$B$3004,AK$4,Acuses!$C$5:$C$3004,AK$5),AK$8)&lt;Resumen!$C$4,"Caducado",IF(EDATE(_xlfn.MAXIFS(Acuses!$D$5:$D$3004,Acuses!$A$5:$A$3004,$A44,Acuses!$B$5:$B$3004,AK$4,Acuses!$C$5:$C$3004,AK$5),AK$8)&lt;Resumen!$C$4+30,"Caduca pronto","OK"))))))</f>
        <v/>
      </c>
      <c r="AL44" s="26" t="str">
        <f aca="false">IF(OR($A44="",AL$4=""),"",IF(NOT(OR(AL$6="Toda la plantilla",ISNUMBER(SEARCH(";"&amp;SUBSTITUTE($C44," ","")&amp;";",";"&amp;SUBSTITUTE(AL$7," ","")&amp;";")))),"—",IF(_xlfn.MAXIFS(Acuses!$C$5:$C$3004,Acuses!$A$5:$A$3004,$A44,Acuses!$B$5:$B$3004,AL$4)&lt;AL$5,"Pendiente",IF(AL$8=0,"OK",IF(EDATE(_xlfn.MAXIFS(Acuses!$D$5:$D$3004,Acuses!$A$5:$A$3004,$A44,Acuses!$B$5:$B$3004,AL$4,Acuses!$C$5:$C$3004,AL$5),AL$8)&lt;Resumen!$C$4,"Caducado",IF(EDATE(_xlfn.MAXIFS(Acuses!$D$5:$D$3004,Acuses!$A$5:$A$3004,$A44,Acuses!$B$5:$B$3004,AL$4,Acuses!$C$5:$C$3004,AL$5),AL$8)&lt;Resumen!$C$4+30,"Caduca pronto","OK"))))))</f>
        <v/>
      </c>
      <c r="AM44" s="26" t="str">
        <f aca="false">IF(OR($A44="",AM$4=""),"",IF(NOT(OR(AM$6="Toda la plantilla",ISNUMBER(SEARCH(";"&amp;SUBSTITUTE($C44," ","")&amp;";",";"&amp;SUBSTITUTE(AM$7," ","")&amp;";")))),"—",IF(_xlfn.MAXIFS(Acuses!$C$5:$C$3004,Acuses!$A$5:$A$3004,$A44,Acuses!$B$5:$B$3004,AM$4)&lt;AM$5,"Pendiente",IF(AM$8=0,"OK",IF(EDATE(_xlfn.MAXIFS(Acuses!$D$5:$D$3004,Acuses!$A$5:$A$3004,$A44,Acuses!$B$5:$B$3004,AM$4,Acuses!$C$5:$C$3004,AM$5),AM$8)&lt;Resumen!$C$4,"Caducado",IF(EDATE(_xlfn.MAXIFS(Acuses!$D$5:$D$3004,Acuses!$A$5:$A$3004,$A44,Acuses!$B$5:$B$3004,AM$4,Acuses!$C$5:$C$3004,AM$5),AM$8)&lt;Resumen!$C$4+30,"Caduca pronto","OK"))))))</f>
        <v/>
      </c>
      <c r="AN44" s="26" t="str">
        <f aca="false">IF(OR($A44="",AN$4=""),"",IF(NOT(OR(AN$6="Toda la plantilla",ISNUMBER(SEARCH(";"&amp;SUBSTITUTE($C44," ","")&amp;";",";"&amp;SUBSTITUTE(AN$7," ","")&amp;";")))),"—",IF(_xlfn.MAXIFS(Acuses!$C$5:$C$3004,Acuses!$A$5:$A$3004,$A44,Acuses!$B$5:$B$3004,AN$4)&lt;AN$5,"Pendiente",IF(AN$8=0,"OK",IF(EDATE(_xlfn.MAXIFS(Acuses!$D$5:$D$3004,Acuses!$A$5:$A$3004,$A44,Acuses!$B$5:$B$3004,AN$4,Acuses!$C$5:$C$3004,AN$5),AN$8)&lt;Resumen!$C$4,"Caducado",IF(EDATE(_xlfn.MAXIFS(Acuses!$D$5:$D$3004,Acuses!$A$5:$A$3004,$A44,Acuses!$B$5:$B$3004,AN$4,Acuses!$C$5:$C$3004,AN$5),AN$8)&lt;Resumen!$C$4+30,"Caduca pronto","OK"))))))</f>
        <v/>
      </c>
      <c r="AO44" s="26" t="str">
        <f aca="false">IF(OR($A44="",AO$4=""),"",IF(NOT(OR(AO$6="Toda la plantilla",ISNUMBER(SEARCH(";"&amp;SUBSTITUTE($C44," ","")&amp;";",";"&amp;SUBSTITUTE(AO$7," ","")&amp;";")))),"—",IF(_xlfn.MAXIFS(Acuses!$C$5:$C$3004,Acuses!$A$5:$A$3004,$A44,Acuses!$B$5:$B$3004,AO$4)&lt;AO$5,"Pendiente",IF(AO$8=0,"OK",IF(EDATE(_xlfn.MAXIFS(Acuses!$D$5:$D$3004,Acuses!$A$5:$A$3004,$A44,Acuses!$B$5:$B$3004,AO$4,Acuses!$C$5:$C$3004,AO$5),AO$8)&lt;Resumen!$C$4,"Caducado",IF(EDATE(_xlfn.MAXIFS(Acuses!$D$5:$D$3004,Acuses!$A$5:$A$3004,$A44,Acuses!$B$5:$B$3004,AO$4,Acuses!$C$5:$C$3004,AO$5),AO$8)&lt;Resumen!$C$4+30,"Caduca pronto","OK"))))))</f>
        <v/>
      </c>
      <c r="AP44" s="26" t="str">
        <f aca="false">IF(OR($A44="",AP$4=""),"",IF(NOT(OR(AP$6="Toda la plantilla",ISNUMBER(SEARCH(";"&amp;SUBSTITUTE($C44," ","")&amp;";",";"&amp;SUBSTITUTE(AP$7," ","")&amp;";")))),"—",IF(_xlfn.MAXIFS(Acuses!$C$5:$C$3004,Acuses!$A$5:$A$3004,$A44,Acuses!$B$5:$B$3004,AP$4)&lt;AP$5,"Pendiente",IF(AP$8=0,"OK",IF(EDATE(_xlfn.MAXIFS(Acuses!$D$5:$D$3004,Acuses!$A$5:$A$3004,$A44,Acuses!$B$5:$B$3004,AP$4,Acuses!$C$5:$C$3004,AP$5),AP$8)&lt;Resumen!$C$4,"Caducado",IF(EDATE(_xlfn.MAXIFS(Acuses!$D$5:$D$3004,Acuses!$A$5:$A$3004,$A44,Acuses!$B$5:$B$3004,AP$4,Acuses!$C$5:$C$3004,AP$5),AP$8)&lt;Resumen!$C$4+30,"Caduca pronto","OK"))))))</f>
        <v/>
      </c>
      <c r="AQ44" s="26" t="str">
        <f aca="false">IF(OR($A44="",AQ$4=""),"",IF(NOT(OR(AQ$6="Toda la plantilla",ISNUMBER(SEARCH(";"&amp;SUBSTITUTE($C44," ","")&amp;";",";"&amp;SUBSTITUTE(AQ$7," ","")&amp;";")))),"—",IF(_xlfn.MAXIFS(Acuses!$C$5:$C$3004,Acuses!$A$5:$A$3004,$A44,Acuses!$B$5:$B$3004,AQ$4)&lt;AQ$5,"Pendiente",IF(AQ$8=0,"OK",IF(EDATE(_xlfn.MAXIFS(Acuses!$D$5:$D$3004,Acuses!$A$5:$A$3004,$A44,Acuses!$B$5:$B$3004,AQ$4,Acuses!$C$5:$C$3004,AQ$5),AQ$8)&lt;Resumen!$C$4,"Caducado",IF(EDATE(_xlfn.MAXIFS(Acuses!$D$5:$D$3004,Acuses!$A$5:$A$3004,$A44,Acuses!$B$5:$B$3004,AQ$4,Acuses!$C$5:$C$3004,AQ$5),AQ$8)&lt;Resumen!$C$4+30,"Caduca pronto","OK"))))))</f>
        <v/>
      </c>
    </row>
    <row r="45" customFormat="false" ht="15" hidden="false" customHeight="false" outlineLevel="0" collapsed="false">
      <c r="A45" s="25" t="str">
        <f aca="false">IF(AND(Trabajadores!$A$40&lt;&gt;"",Trabajadores!$G$40&lt;&gt;"No"),Trabajadores!$A$40,"")</f>
        <v/>
      </c>
      <c r="B45" s="25" t="str">
        <f aca="false">IF($A45="","",Trabajadores!$B$40)</f>
        <v/>
      </c>
      <c r="C45" s="25" t="str">
        <f aca="false">IF($A45="","",Trabajadores!$C$40)</f>
        <v/>
      </c>
      <c r="D45" s="26" t="str">
        <f aca="false">IF(OR($A45="",D$4=""),"",IF(NOT(OR(D$6="Toda la plantilla",ISNUMBER(SEARCH(";"&amp;SUBSTITUTE($C45," ","")&amp;";",";"&amp;SUBSTITUTE(D$7," ","")&amp;";")))),"—",IF(_xlfn.MAXIFS(Acuses!$C$5:$C$3004,Acuses!$A$5:$A$3004,$A45,Acuses!$B$5:$B$3004,D$4)&lt;D$5,"Pendiente",IF(D$8=0,"OK",IF(EDATE(_xlfn.MAXIFS(Acuses!$D$5:$D$3004,Acuses!$A$5:$A$3004,$A45,Acuses!$B$5:$B$3004,D$4,Acuses!$C$5:$C$3004,D$5),D$8)&lt;Resumen!$C$4,"Caducado",IF(EDATE(_xlfn.MAXIFS(Acuses!$D$5:$D$3004,Acuses!$A$5:$A$3004,$A45,Acuses!$B$5:$B$3004,D$4,Acuses!$C$5:$C$3004,D$5),D$8)&lt;Resumen!$C$4+30,"Caduca pronto","OK"))))))</f>
        <v/>
      </c>
      <c r="E45" s="26" t="str">
        <f aca="false">IF(OR($A45="",E$4=""),"",IF(NOT(OR(E$6="Toda la plantilla",ISNUMBER(SEARCH(";"&amp;SUBSTITUTE($C45," ","")&amp;";",";"&amp;SUBSTITUTE(E$7," ","")&amp;";")))),"—",IF(_xlfn.MAXIFS(Acuses!$C$5:$C$3004,Acuses!$A$5:$A$3004,$A45,Acuses!$B$5:$B$3004,E$4)&lt;E$5,"Pendiente",IF(E$8=0,"OK",IF(EDATE(_xlfn.MAXIFS(Acuses!$D$5:$D$3004,Acuses!$A$5:$A$3004,$A45,Acuses!$B$5:$B$3004,E$4,Acuses!$C$5:$C$3004,E$5),E$8)&lt;Resumen!$C$4,"Caducado",IF(EDATE(_xlfn.MAXIFS(Acuses!$D$5:$D$3004,Acuses!$A$5:$A$3004,$A45,Acuses!$B$5:$B$3004,E$4,Acuses!$C$5:$C$3004,E$5),E$8)&lt;Resumen!$C$4+30,"Caduca pronto","OK"))))))</f>
        <v/>
      </c>
      <c r="F45" s="26" t="str">
        <f aca="false">IF(OR($A45="",F$4=""),"",IF(NOT(OR(F$6="Toda la plantilla",ISNUMBER(SEARCH(";"&amp;SUBSTITUTE($C45," ","")&amp;";",";"&amp;SUBSTITUTE(F$7," ","")&amp;";")))),"—",IF(_xlfn.MAXIFS(Acuses!$C$5:$C$3004,Acuses!$A$5:$A$3004,$A45,Acuses!$B$5:$B$3004,F$4)&lt;F$5,"Pendiente",IF(F$8=0,"OK",IF(EDATE(_xlfn.MAXIFS(Acuses!$D$5:$D$3004,Acuses!$A$5:$A$3004,$A45,Acuses!$B$5:$B$3004,F$4,Acuses!$C$5:$C$3004,F$5),F$8)&lt;Resumen!$C$4,"Caducado",IF(EDATE(_xlfn.MAXIFS(Acuses!$D$5:$D$3004,Acuses!$A$5:$A$3004,$A45,Acuses!$B$5:$B$3004,F$4,Acuses!$C$5:$C$3004,F$5),F$8)&lt;Resumen!$C$4+30,"Caduca pronto","OK"))))))</f>
        <v/>
      </c>
      <c r="G45" s="26" t="str">
        <f aca="false">IF(OR($A45="",G$4=""),"",IF(NOT(OR(G$6="Toda la plantilla",ISNUMBER(SEARCH(";"&amp;SUBSTITUTE($C45," ","")&amp;";",";"&amp;SUBSTITUTE(G$7," ","")&amp;";")))),"—",IF(_xlfn.MAXIFS(Acuses!$C$5:$C$3004,Acuses!$A$5:$A$3004,$A45,Acuses!$B$5:$B$3004,G$4)&lt;G$5,"Pendiente",IF(G$8=0,"OK",IF(EDATE(_xlfn.MAXIFS(Acuses!$D$5:$D$3004,Acuses!$A$5:$A$3004,$A45,Acuses!$B$5:$B$3004,G$4,Acuses!$C$5:$C$3004,G$5),G$8)&lt;Resumen!$C$4,"Caducado",IF(EDATE(_xlfn.MAXIFS(Acuses!$D$5:$D$3004,Acuses!$A$5:$A$3004,$A45,Acuses!$B$5:$B$3004,G$4,Acuses!$C$5:$C$3004,G$5),G$8)&lt;Resumen!$C$4+30,"Caduca pronto","OK"))))))</f>
        <v/>
      </c>
      <c r="H45" s="26" t="str">
        <f aca="false">IF(OR($A45="",H$4=""),"",IF(NOT(OR(H$6="Toda la plantilla",ISNUMBER(SEARCH(";"&amp;SUBSTITUTE($C45," ","")&amp;";",";"&amp;SUBSTITUTE(H$7," ","")&amp;";")))),"—",IF(_xlfn.MAXIFS(Acuses!$C$5:$C$3004,Acuses!$A$5:$A$3004,$A45,Acuses!$B$5:$B$3004,H$4)&lt;H$5,"Pendiente",IF(H$8=0,"OK",IF(EDATE(_xlfn.MAXIFS(Acuses!$D$5:$D$3004,Acuses!$A$5:$A$3004,$A45,Acuses!$B$5:$B$3004,H$4,Acuses!$C$5:$C$3004,H$5),H$8)&lt;Resumen!$C$4,"Caducado",IF(EDATE(_xlfn.MAXIFS(Acuses!$D$5:$D$3004,Acuses!$A$5:$A$3004,$A45,Acuses!$B$5:$B$3004,H$4,Acuses!$C$5:$C$3004,H$5),H$8)&lt;Resumen!$C$4+30,"Caduca pronto","OK"))))))</f>
        <v/>
      </c>
      <c r="I45" s="26" t="str">
        <f aca="false">IF(OR($A45="",I$4=""),"",IF(NOT(OR(I$6="Toda la plantilla",ISNUMBER(SEARCH(";"&amp;SUBSTITUTE($C45," ","")&amp;";",";"&amp;SUBSTITUTE(I$7," ","")&amp;";")))),"—",IF(_xlfn.MAXIFS(Acuses!$C$5:$C$3004,Acuses!$A$5:$A$3004,$A45,Acuses!$B$5:$B$3004,I$4)&lt;I$5,"Pendiente",IF(I$8=0,"OK",IF(EDATE(_xlfn.MAXIFS(Acuses!$D$5:$D$3004,Acuses!$A$5:$A$3004,$A45,Acuses!$B$5:$B$3004,I$4,Acuses!$C$5:$C$3004,I$5),I$8)&lt;Resumen!$C$4,"Caducado",IF(EDATE(_xlfn.MAXIFS(Acuses!$D$5:$D$3004,Acuses!$A$5:$A$3004,$A45,Acuses!$B$5:$B$3004,I$4,Acuses!$C$5:$C$3004,I$5),I$8)&lt;Resumen!$C$4+30,"Caduca pronto","OK"))))))</f>
        <v/>
      </c>
      <c r="J45" s="26" t="str">
        <f aca="false">IF(OR($A45="",J$4=""),"",IF(NOT(OR(J$6="Toda la plantilla",ISNUMBER(SEARCH(";"&amp;SUBSTITUTE($C45," ","")&amp;";",";"&amp;SUBSTITUTE(J$7," ","")&amp;";")))),"—",IF(_xlfn.MAXIFS(Acuses!$C$5:$C$3004,Acuses!$A$5:$A$3004,$A45,Acuses!$B$5:$B$3004,J$4)&lt;J$5,"Pendiente",IF(J$8=0,"OK",IF(EDATE(_xlfn.MAXIFS(Acuses!$D$5:$D$3004,Acuses!$A$5:$A$3004,$A45,Acuses!$B$5:$B$3004,J$4,Acuses!$C$5:$C$3004,J$5),J$8)&lt;Resumen!$C$4,"Caducado",IF(EDATE(_xlfn.MAXIFS(Acuses!$D$5:$D$3004,Acuses!$A$5:$A$3004,$A45,Acuses!$B$5:$B$3004,J$4,Acuses!$C$5:$C$3004,J$5),J$8)&lt;Resumen!$C$4+30,"Caduca pronto","OK"))))))</f>
        <v/>
      </c>
      <c r="K45" s="26" t="str">
        <f aca="false">IF(OR($A45="",K$4=""),"",IF(NOT(OR(K$6="Toda la plantilla",ISNUMBER(SEARCH(";"&amp;SUBSTITUTE($C45," ","")&amp;";",";"&amp;SUBSTITUTE(K$7," ","")&amp;";")))),"—",IF(_xlfn.MAXIFS(Acuses!$C$5:$C$3004,Acuses!$A$5:$A$3004,$A45,Acuses!$B$5:$B$3004,K$4)&lt;K$5,"Pendiente",IF(K$8=0,"OK",IF(EDATE(_xlfn.MAXIFS(Acuses!$D$5:$D$3004,Acuses!$A$5:$A$3004,$A45,Acuses!$B$5:$B$3004,K$4,Acuses!$C$5:$C$3004,K$5),K$8)&lt;Resumen!$C$4,"Caducado",IF(EDATE(_xlfn.MAXIFS(Acuses!$D$5:$D$3004,Acuses!$A$5:$A$3004,$A45,Acuses!$B$5:$B$3004,K$4,Acuses!$C$5:$C$3004,K$5),K$8)&lt;Resumen!$C$4+30,"Caduca pronto","OK"))))))</f>
        <v/>
      </c>
      <c r="L45" s="26" t="str">
        <f aca="false">IF(OR($A45="",L$4=""),"",IF(NOT(OR(L$6="Toda la plantilla",ISNUMBER(SEARCH(";"&amp;SUBSTITUTE($C45," ","")&amp;";",";"&amp;SUBSTITUTE(L$7," ","")&amp;";")))),"—",IF(_xlfn.MAXIFS(Acuses!$C$5:$C$3004,Acuses!$A$5:$A$3004,$A45,Acuses!$B$5:$B$3004,L$4)&lt;L$5,"Pendiente",IF(L$8=0,"OK",IF(EDATE(_xlfn.MAXIFS(Acuses!$D$5:$D$3004,Acuses!$A$5:$A$3004,$A45,Acuses!$B$5:$B$3004,L$4,Acuses!$C$5:$C$3004,L$5),L$8)&lt;Resumen!$C$4,"Caducado",IF(EDATE(_xlfn.MAXIFS(Acuses!$D$5:$D$3004,Acuses!$A$5:$A$3004,$A45,Acuses!$B$5:$B$3004,L$4,Acuses!$C$5:$C$3004,L$5),L$8)&lt;Resumen!$C$4+30,"Caduca pronto","OK"))))))</f>
        <v/>
      </c>
      <c r="M45" s="26" t="str">
        <f aca="false">IF(OR($A45="",M$4=""),"",IF(NOT(OR(M$6="Toda la plantilla",ISNUMBER(SEARCH(";"&amp;SUBSTITUTE($C45," ","")&amp;";",";"&amp;SUBSTITUTE(M$7," ","")&amp;";")))),"—",IF(_xlfn.MAXIFS(Acuses!$C$5:$C$3004,Acuses!$A$5:$A$3004,$A45,Acuses!$B$5:$B$3004,M$4)&lt;M$5,"Pendiente",IF(M$8=0,"OK",IF(EDATE(_xlfn.MAXIFS(Acuses!$D$5:$D$3004,Acuses!$A$5:$A$3004,$A45,Acuses!$B$5:$B$3004,M$4,Acuses!$C$5:$C$3004,M$5),M$8)&lt;Resumen!$C$4,"Caducado",IF(EDATE(_xlfn.MAXIFS(Acuses!$D$5:$D$3004,Acuses!$A$5:$A$3004,$A45,Acuses!$B$5:$B$3004,M$4,Acuses!$C$5:$C$3004,M$5),M$8)&lt;Resumen!$C$4+30,"Caduca pronto","OK"))))))</f>
        <v/>
      </c>
      <c r="N45" s="26" t="str">
        <f aca="false">IF(OR($A45="",N$4=""),"",IF(NOT(OR(N$6="Toda la plantilla",ISNUMBER(SEARCH(";"&amp;SUBSTITUTE($C45," ","")&amp;";",";"&amp;SUBSTITUTE(N$7," ","")&amp;";")))),"—",IF(_xlfn.MAXIFS(Acuses!$C$5:$C$3004,Acuses!$A$5:$A$3004,$A45,Acuses!$B$5:$B$3004,N$4)&lt;N$5,"Pendiente",IF(N$8=0,"OK",IF(EDATE(_xlfn.MAXIFS(Acuses!$D$5:$D$3004,Acuses!$A$5:$A$3004,$A45,Acuses!$B$5:$B$3004,N$4,Acuses!$C$5:$C$3004,N$5),N$8)&lt;Resumen!$C$4,"Caducado",IF(EDATE(_xlfn.MAXIFS(Acuses!$D$5:$D$3004,Acuses!$A$5:$A$3004,$A45,Acuses!$B$5:$B$3004,N$4,Acuses!$C$5:$C$3004,N$5),N$8)&lt;Resumen!$C$4+30,"Caduca pronto","OK"))))))</f>
        <v/>
      </c>
      <c r="O45" s="26" t="str">
        <f aca="false">IF(OR($A45="",O$4=""),"",IF(NOT(OR(O$6="Toda la plantilla",ISNUMBER(SEARCH(";"&amp;SUBSTITUTE($C45," ","")&amp;";",";"&amp;SUBSTITUTE(O$7," ","")&amp;";")))),"—",IF(_xlfn.MAXIFS(Acuses!$C$5:$C$3004,Acuses!$A$5:$A$3004,$A45,Acuses!$B$5:$B$3004,O$4)&lt;O$5,"Pendiente",IF(O$8=0,"OK",IF(EDATE(_xlfn.MAXIFS(Acuses!$D$5:$D$3004,Acuses!$A$5:$A$3004,$A45,Acuses!$B$5:$B$3004,O$4,Acuses!$C$5:$C$3004,O$5),O$8)&lt;Resumen!$C$4,"Caducado",IF(EDATE(_xlfn.MAXIFS(Acuses!$D$5:$D$3004,Acuses!$A$5:$A$3004,$A45,Acuses!$B$5:$B$3004,O$4,Acuses!$C$5:$C$3004,O$5),O$8)&lt;Resumen!$C$4+30,"Caduca pronto","OK"))))))</f>
        <v/>
      </c>
      <c r="P45" s="26" t="str">
        <f aca="false">IF(OR($A45="",P$4=""),"",IF(NOT(OR(P$6="Toda la plantilla",ISNUMBER(SEARCH(";"&amp;SUBSTITUTE($C45," ","")&amp;";",";"&amp;SUBSTITUTE(P$7," ","")&amp;";")))),"—",IF(_xlfn.MAXIFS(Acuses!$C$5:$C$3004,Acuses!$A$5:$A$3004,$A45,Acuses!$B$5:$B$3004,P$4)&lt;P$5,"Pendiente",IF(P$8=0,"OK",IF(EDATE(_xlfn.MAXIFS(Acuses!$D$5:$D$3004,Acuses!$A$5:$A$3004,$A45,Acuses!$B$5:$B$3004,P$4,Acuses!$C$5:$C$3004,P$5),P$8)&lt;Resumen!$C$4,"Caducado",IF(EDATE(_xlfn.MAXIFS(Acuses!$D$5:$D$3004,Acuses!$A$5:$A$3004,$A45,Acuses!$B$5:$B$3004,P$4,Acuses!$C$5:$C$3004,P$5),P$8)&lt;Resumen!$C$4+30,"Caduca pronto","OK"))))))</f>
        <v/>
      </c>
      <c r="Q45" s="26" t="str">
        <f aca="false">IF(OR($A45="",Q$4=""),"",IF(NOT(OR(Q$6="Toda la plantilla",ISNUMBER(SEARCH(";"&amp;SUBSTITUTE($C45," ","")&amp;";",";"&amp;SUBSTITUTE(Q$7," ","")&amp;";")))),"—",IF(_xlfn.MAXIFS(Acuses!$C$5:$C$3004,Acuses!$A$5:$A$3004,$A45,Acuses!$B$5:$B$3004,Q$4)&lt;Q$5,"Pendiente",IF(Q$8=0,"OK",IF(EDATE(_xlfn.MAXIFS(Acuses!$D$5:$D$3004,Acuses!$A$5:$A$3004,$A45,Acuses!$B$5:$B$3004,Q$4,Acuses!$C$5:$C$3004,Q$5),Q$8)&lt;Resumen!$C$4,"Caducado",IF(EDATE(_xlfn.MAXIFS(Acuses!$D$5:$D$3004,Acuses!$A$5:$A$3004,$A45,Acuses!$B$5:$B$3004,Q$4,Acuses!$C$5:$C$3004,Q$5),Q$8)&lt;Resumen!$C$4+30,"Caduca pronto","OK"))))))</f>
        <v/>
      </c>
      <c r="R45" s="26" t="str">
        <f aca="false">IF(OR($A45="",R$4=""),"",IF(NOT(OR(R$6="Toda la plantilla",ISNUMBER(SEARCH(";"&amp;SUBSTITUTE($C45," ","")&amp;";",";"&amp;SUBSTITUTE(R$7," ","")&amp;";")))),"—",IF(_xlfn.MAXIFS(Acuses!$C$5:$C$3004,Acuses!$A$5:$A$3004,$A45,Acuses!$B$5:$B$3004,R$4)&lt;R$5,"Pendiente",IF(R$8=0,"OK",IF(EDATE(_xlfn.MAXIFS(Acuses!$D$5:$D$3004,Acuses!$A$5:$A$3004,$A45,Acuses!$B$5:$B$3004,R$4,Acuses!$C$5:$C$3004,R$5),R$8)&lt;Resumen!$C$4,"Caducado",IF(EDATE(_xlfn.MAXIFS(Acuses!$D$5:$D$3004,Acuses!$A$5:$A$3004,$A45,Acuses!$B$5:$B$3004,R$4,Acuses!$C$5:$C$3004,R$5),R$8)&lt;Resumen!$C$4+30,"Caduca pronto","OK"))))))</f>
        <v/>
      </c>
      <c r="S45" s="26" t="str">
        <f aca="false">IF(OR($A45="",S$4=""),"",IF(NOT(OR(S$6="Toda la plantilla",ISNUMBER(SEARCH(";"&amp;SUBSTITUTE($C45," ","")&amp;";",";"&amp;SUBSTITUTE(S$7," ","")&amp;";")))),"—",IF(_xlfn.MAXIFS(Acuses!$C$5:$C$3004,Acuses!$A$5:$A$3004,$A45,Acuses!$B$5:$B$3004,S$4)&lt;S$5,"Pendiente",IF(S$8=0,"OK",IF(EDATE(_xlfn.MAXIFS(Acuses!$D$5:$D$3004,Acuses!$A$5:$A$3004,$A45,Acuses!$B$5:$B$3004,S$4,Acuses!$C$5:$C$3004,S$5),S$8)&lt;Resumen!$C$4,"Caducado",IF(EDATE(_xlfn.MAXIFS(Acuses!$D$5:$D$3004,Acuses!$A$5:$A$3004,$A45,Acuses!$B$5:$B$3004,S$4,Acuses!$C$5:$C$3004,S$5),S$8)&lt;Resumen!$C$4+30,"Caduca pronto","OK"))))))</f>
        <v/>
      </c>
      <c r="T45" s="26" t="str">
        <f aca="false">IF(OR($A45="",T$4=""),"",IF(NOT(OR(T$6="Toda la plantilla",ISNUMBER(SEARCH(";"&amp;SUBSTITUTE($C45," ","")&amp;";",";"&amp;SUBSTITUTE(T$7," ","")&amp;";")))),"—",IF(_xlfn.MAXIFS(Acuses!$C$5:$C$3004,Acuses!$A$5:$A$3004,$A45,Acuses!$B$5:$B$3004,T$4)&lt;T$5,"Pendiente",IF(T$8=0,"OK",IF(EDATE(_xlfn.MAXIFS(Acuses!$D$5:$D$3004,Acuses!$A$5:$A$3004,$A45,Acuses!$B$5:$B$3004,T$4,Acuses!$C$5:$C$3004,T$5),T$8)&lt;Resumen!$C$4,"Caducado",IF(EDATE(_xlfn.MAXIFS(Acuses!$D$5:$D$3004,Acuses!$A$5:$A$3004,$A45,Acuses!$B$5:$B$3004,T$4,Acuses!$C$5:$C$3004,T$5),T$8)&lt;Resumen!$C$4+30,"Caduca pronto","OK"))))))</f>
        <v/>
      </c>
      <c r="U45" s="26" t="str">
        <f aca="false">IF(OR($A45="",U$4=""),"",IF(NOT(OR(U$6="Toda la plantilla",ISNUMBER(SEARCH(";"&amp;SUBSTITUTE($C45," ","")&amp;";",";"&amp;SUBSTITUTE(U$7," ","")&amp;";")))),"—",IF(_xlfn.MAXIFS(Acuses!$C$5:$C$3004,Acuses!$A$5:$A$3004,$A45,Acuses!$B$5:$B$3004,U$4)&lt;U$5,"Pendiente",IF(U$8=0,"OK",IF(EDATE(_xlfn.MAXIFS(Acuses!$D$5:$D$3004,Acuses!$A$5:$A$3004,$A45,Acuses!$B$5:$B$3004,U$4,Acuses!$C$5:$C$3004,U$5),U$8)&lt;Resumen!$C$4,"Caducado",IF(EDATE(_xlfn.MAXIFS(Acuses!$D$5:$D$3004,Acuses!$A$5:$A$3004,$A45,Acuses!$B$5:$B$3004,U$4,Acuses!$C$5:$C$3004,U$5),U$8)&lt;Resumen!$C$4+30,"Caduca pronto","OK"))))))</f>
        <v/>
      </c>
      <c r="V45" s="26" t="str">
        <f aca="false">IF(OR($A45="",V$4=""),"",IF(NOT(OR(V$6="Toda la plantilla",ISNUMBER(SEARCH(";"&amp;SUBSTITUTE($C45," ","")&amp;";",";"&amp;SUBSTITUTE(V$7," ","")&amp;";")))),"—",IF(_xlfn.MAXIFS(Acuses!$C$5:$C$3004,Acuses!$A$5:$A$3004,$A45,Acuses!$B$5:$B$3004,V$4)&lt;V$5,"Pendiente",IF(V$8=0,"OK",IF(EDATE(_xlfn.MAXIFS(Acuses!$D$5:$D$3004,Acuses!$A$5:$A$3004,$A45,Acuses!$B$5:$B$3004,V$4,Acuses!$C$5:$C$3004,V$5),V$8)&lt;Resumen!$C$4,"Caducado",IF(EDATE(_xlfn.MAXIFS(Acuses!$D$5:$D$3004,Acuses!$A$5:$A$3004,$A45,Acuses!$B$5:$B$3004,V$4,Acuses!$C$5:$C$3004,V$5),V$8)&lt;Resumen!$C$4+30,"Caduca pronto","OK"))))))</f>
        <v/>
      </c>
      <c r="W45" s="26" t="str">
        <f aca="false">IF(OR($A45="",W$4=""),"",IF(NOT(OR(W$6="Toda la plantilla",ISNUMBER(SEARCH(";"&amp;SUBSTITUTE($C45," ","")&amp;";",";"&amp;SUBSTITUTE(W$7," ","")&amp;";")))),"—",IF(_xlfn.MAXIFS(Acuses!$C$5:$C$3004,Acuses!$A$5:$A$3004,$A45,Acuses!$B$5:$B$3004,W$4)&lt;W$5,"Pendiente",IF(W$8=0,"OK",IF(EDATE(_xlfn.MAXIFS(Acuses!$D$5:$D$3004,Acuses!$A$5:$A$3004,$A45,Acuses!$B$5:$B$3004,W$4,Acuses!$C$5:$C$3004,W$5),W$8)&lt;Resumen!$C$4,"Caducado",IF(EDATE(_xlfn.MAXIFS(Acuses!$D$5:$D$3004,Acuses!$A$5:$A$3004,$A45,Acuses!$B$5:$B$3004,W$4,Acuses!$C$5:$C$3004,W$5),W$8)&lt;Resumen!$C$4+30,"Caduca pronto","OK"))))))</f>
        <v/>
      </c>
      <c r="X45" s="26" t="str">
        <f aca="false">IF(OR($A45="",X$4=""),"",IF(NOT(OR(X$6="Toda la plantilla",ISNUMBER(SEARCH(";"&amp;SUBSTITUTE($C45," ","")&amp;";",";"&amp;SUBSTITUTE(X$7," ","")&amp;";")))),"—",IF(_xlfn.MAXIFS(Acuses!$C$5:$C$3004,Acuses!$A$5:$A$3004,$A45,Acuses!$B$5:$B$3004,X$4)&lt;X$5,"Pendiente",IF(X$8=0,"OK",IF(EDATE(_xlfn.MAXIFS(Acuses!$D$5:$D$3004,Acuses!$A$5:$A$3004,$A45,Acuses!$B$5:$B$3004,X$4,Acuses!$C$5:$C$3004,X$5),X$8)&lt;Resumen!$C$4,"Caducado",IF(EDATE(_xlfn.MAXIFS(Acuses!$D$5:$D$3004,Acuses!$A$5:$A$3004,$A45,Acuses!$B$5:$B$3004,X$4,Acuses!$C$5:$C$3004,X$5),X$8)&lt;Resumen!$C$4+30,"Caduca pronto","OK"))))))</f>
        <v/>
      </c>
      <c r="Y45" s="26" t="str">
        <f aca="false">IF(OR($A45="",Y$4=""),"",IF(NOT(OR(Y$6="Toda la plantilla",ISNUMBER(SEARCH(";"&amp;SUBSTITUTE($C45," ","")&amp;";",";"&amp;SUBSTITUTE(Y$7," ","")&amp;";")))),"—",IF(_xlfn.MAXIFS(Acuses!$C$5:$C$3004,Acuses!$A$5:$A$3004,$A45,Acuses!$B$5:$B$3004,Y$4)&lt;Y$5,"Pendiente",IF(Y$8=0,"OK",IF(EDATE(_xlfn.MAXIFS(Acuses!$D$5:$D$3004,Acuses!$A$5:$A$3004,$A45,Acuses!$B$5:$B$3004,Y$4,Acuses!$C$5:$C$3004,Y$5),Y$8)&lt;Resumen!$C$4,"Caducado",IF(EDATE(_xlfn.MAXIFS(Acuses!$D$5:$D$3004,Acuses!$A$5:$A$3004,$A45,Acuses!$B$5:$B$3004,Y$4,Acuses!$C$5:$C$3004,Y$5),Y$8)&lt;Resumen!$C$4+30,"Caduca pronto","OK"))))))</f>
        <v/>
      </c>
      <c r="Z45" s="26" t="str">
        <f aca="false">IF(OR($A45="",Z$4=""),"",IF(NOT(OR(Z$6="Toda la plantilla",ISNUMBER(SEARCH(";"&amp;SUBSTITUTE($C45," ","")&amp;";",";"&amp;SUBSTITUTE(Z$7," ","")&amp;";")))),"—",IF(_xlfn.MAXIFS(Acuses!$C$5:$C$3004,Acuses!$A$5:$A$3004,$A45,Acuses!$B$5:$B$3004,Z$4)&lt;Z$5,"Pendiente",IF(Z$8=0,"OK",IF(EDATE(_xlfn.MAXIFS(Acuses!$D$5:$D$3004,Acuses!$A$5:$A$3004,$A45,Acuses!$B$5:$B$3004,Z$4,Acuses!$C$5:$C$3004,Z$5),Z$8)&lt;Resumen!$C$4,"Caducado",IF(EDATE(_xlfn.MAXIFS(Acuses!$D$5:$D$3004,Acuses!$A$5:$A$3004,$A45,Acuses!$B$5:$B$3004,Z$4,Acuses!$C$5:$C$3004,Z$5),Z$8)&lt;Resumen!$C$4+30,"Caduca pronto","OK"))))))</f>
        <v/>
      </c>
      <c r="AA45" s="26" t="str">
        <f aca="false">IF(OR($A45="",AA$4=""),"",IF(NOT(OR(AA$6="Toda la plantilla",ISNUMBER(SEARCH(";"&amp;SUBSTITUTE($C45," ","")&amp;";",";"&amp;SUBSTITUTE(AA$7," ","")&amp;";")))),"—",IF(_xlfn.MAXIFS(Acuses!$C$5:$C$3004,Acuses!$A$5:$A$3004,$A45,Acuses!$B$5:$B$3004,AA$4)&lt;AA$5,"Pendiente",IF(AA$8=0,"OK",IF(EDATE(_xlfn.MAXIFS(Acuses!$D$5:$D$3004,Acuses!$A$5:$A$3004,$A45,Acuses!$B$5:$B$3004,AA$4,Acuses!$C$5:$C$3004,AA$5),AA$8)&lt;Resumen!$C$4,"Caducado",IF(EDATE(_xlfn.MAXIFS(Acuses!$D$5:$D$3004,Acuses!$A$5:$A$3004,$A45,Acuses!$B$5:$B$3004,AA$4,Acuses!$C$5:$C$3004,AA$5),AA$8)&lt;Resumen!$C$4+30,"Caduca pronto","OK"))))))</f>
        <v/>
      </c>
      <c r="AB45" s="26" t="str">
        <f aca="false">IF(OR($A45="",AB$4=""),"",IF(NOT(OR(AB$6="Toda la plantilla",ISNUMBER(SEARCH(";"&amp;SUBSTITUTE($C45," ","")&amp;";",";"&amp;SUBSTITUTE(AB$7," ","")&amp;";")))),"—",IF(_xlfn.MAXIFS(Acuses!$C$5:$C$3004,Acuses!$A$5:$A$3004,$A45,Acuses!$B$5:$B$3004,AB$4)&lt;AB$5,"Pendiente",IF(AB$8=0,"OK",IF(EDATE(_xlfn.MAXIFS(Acuses!$D$5:$D$3004,Acuses!$A$5:$A$3004,$A45,Acuses!$B$5:$B$3004,AB$4,Acuses!$C$5:$C$3004,AB$5),AB$8)&lt;Resumen!$C$4,"Caducado",IF(EDATE(_xlfn.MAXIFS(Acuses!$D$5:$D$3004,Acuses!$A$5:$A$3004,$A45,Acuses!$B$5:$B$3004,AB$4,Acuses!$C$5:$C$3004,AB$5),AB$8)&lt;Resumen!$C$4+30,"Caduca pronto","OK"))))))</f>
        <v/>
      </c>
      <c r="AC45" s="26" t="str">
        <f aca="false">IF(OR($A45="",AC$4=""),"",IF(NOT(OR(AC$6="Toda la plantilla",ISNUMBER(SEARCH(";"&amp;SUBSTITUTE($C45," ","")&amp;";",";"&amp;SUBSTITUTE(AC$7," ","")&amp;";")))),"—",IF(_xlfn.MAXIFS(Acuses!$C$5:$C$3004,Acuses!$A$5:$A$3004,$A45,Acuses!$B$5:$B$3004,AC$4)&lt;AC$5,"Pendiente",IF(AC$8=0,"OK",IF(EDATE(_xlfn.MAXIFS(Acuses!$D$5:$D$3004,Acuses!$A$5:$A$3004,$A45,Acuses!$B$5:$B$3004,AC$4,Acuses!$C$5:$C$3004,AC$5),AC$8)&lt;Resumen!$C$4,"Caducado",IF(EDATE(_xlfn.MAXIFS(Acuses!$D$5:$D$3004,Acuses!$A$5:$A$3004,$A45,Acuses!$B$5:$B$3004,AC$4,Acuses!$C$5:$C$3004,AC$5),AC$8)&lt;Resumen!$C$4+30,"Caduca pronto","OK"))))))</f>
        <v/>
      </c>
      <c r="AD45" s="26" t="str">
        <f aca="false">IF(OR($A45="",AD$4=""),"",IF(NOT(OR(AD$6="Toda la plantilla",ISNUMBER(SEARCH(";"&amp;SUBSTITUTE($C45," ","")&amp;";",";"&amp;SUBSTITUTE(AD$7," ","")&amp;";")))),"—",IF(_xlfn.MAXIFS(Acuses!$C$5:$C$3004,Acuses!$A$5:$A$3004,$A45,Acuses!$B$5:$B$3004,AD$4)&lt;AD$5,"Pendiente",IF(AD$8=0,"OK",IF(EDATE(_xlfn.MAXIFS(Acuses!$D$5:$D$3004,Acuses!$A$5:$A$3004,$A45,Acuses!$B$5:$B$3004,AD$4,Acuses!$C$5:$C$3004,AD$5),AD$8)&lt;Resumen!$C$4,"Caducado",IF(EDATE(_xlfn.MAXIFS(Acuses!$D$5:$D$3004,Acuses!$A$5:$A$3004,$A45,Acuses!$B$5:$B$3004,AD$4,Acuses!$C$5:$C$3004,AD$5),AD$8)&lt;Resumen!$C$4+30,"Caduca pronto","OK"))))))</f>
        <v/>
      </c>
      <c r="AE45" s="26" t="str">
        <f aca="false">IF(OR($A45="",AE$4=""),"",IF(NOT(OR(AE$6="Toda la plantilla",ISNUMBER(SEARCH(";"&amp;SUBSTITUTE($C45," ","")&amp;";",";"&amp;SUBSTITUTE(AE$7," ","")&amp;";")))),"—",IF(_xlfn.MAXIFS(Acuses!$C$5:$C$3004,Acuses!$A$5:$A$3004,$A45,Acuses!$B$5:$B$3004,AE$4)&lt;AE$5,"Pendiente",IF(AE$8=0,"OK",IF(EDATE(_xlfn.MAXIFS(Acuses!$D$5:$D$3004,Acuses!$A$5:$A$3004,$A45,Acuses!$B$5:$B$3004,AE$4,Acuses!$C$5:$C$3004,AE$5),AE$8)&lt;Resumen!$C$4,"Caducado",IF(EDATE(_xlfn.MAXIFS(Acuses!$D$5:$D$3004,Acuses!$A$5:$A$3004,$A45,Acuses!$B$5:$B$3004,AE$4,Acuses!$C$5:$C$3004,AE$5),AE$8)&lt;Resumen!$C$4+30,"Caduca pronto","OK"))))))</f>
        <v/>
      </c>
      <c r="AF45" s="26" t="str">
        <f aca="false">IF(OR($A45="",AF$4=""),"",IF(NOT(OR(AF$6="Toda la plantilla",ISNUMBER(SEARCH(";"&amp;SUBSTITUTE($C45," ","")&amp;";",";"&amp;SUBSTITUTE(AF$7," ","")&amp;";")))),"—",IF(_xlfn.MAXIFS(Acuses!$C$5:$C$3004,Acuses!$A$5:$A$3004,$A45,Acuses!$B$5:$B$3004,AF$4)&lt;AF$5,"Pendiente",IF(AF$8=0,"OK",IF(EDATE(_xlfn.MAXIFS(Acuses!$D$5:$D$3004,Acuses!$A$5:$A$3004,$A45,Acuses!$B$5:$B$3004,AF$4,Acuses!$C$5:$C$3004,AF$5),AF$8)&lt;Resumen!$C$4,"Caducado",IF(EDATE(_xlfn.MAXIFS(Acuses!$D$5:$D$3004,Acuses!$A$5:$A$3004,$A45,Acuses!$B$5:$B$3004,AF$4,Acuses!$C$5:$C$3004,AF$5),AF$8)&lt;Resumen!$C$4+30,"Caduca pronto","OK"))))))</f>
        <v/>
      </c>
      <c r="AG45" s="26" t="str">
        <f aca="false">IF(OR($A45="",AG$4=""),"",IF(NOT(OR(AG$6="Toda la plantilla",ISNUMBER(SEARCH(";"&amp;SUBSTITUTE($C45," ","")&amp;";",";"&amp;SUBSTITUTE(AG$7," ","")&amp;";")))),"—",IF(_xlfn.MAXIFS(Acuses!$C$5:$C$3004,Acuses!$A$5:$A$3004,$A45,Acuses!$B$5:$B$3004,AG$4)&lt;AG$5,"Pendiente",IF(AG$8=0,"OK",IF(EDATE(_xlfn.MAXIFS(Acuses!$D$5:$D$3004,Acuses!$A$5:$A$3004,$A45,Acuses!$B$5:$B$3004,AG$4,Acuses!$C$5:$C$3004,AG$5),AG$8)&lt;Resumen!$C$4,"Caducado",IF(EDATE(_xlfn.MAXIFS(Acuses!$D$5:$D$3004,Acuses!$A$5:$A$3004,$A45,Acuses!$B$5:$B$3004,AG$4,Acuses!$C$5:$C$3004,AG$5),AG$8)&lt;Resumen!$C$4+30,"Caduca pronto","OK"))))))</f>
        <v/>
      </c>
      <c r="AH45" s="26" t="str">
        <f aca="false">IF(OR($A45="",AH$4=""),"",IF(NOT(OR(AH$6="Toda la plantilla",ISNUMBER(SEARCH(";"&amp;SUBSTITUTE($C45," ","")&amp;";",";"&amp;SUBSTITUTE(AH$7," ","")&amp;";")))),"—",IF(_xlfn.MAXIFS(Acuses!$C$5:$C$3004,Acuses!$A$5:$A$3004,$A45,Acuses!$B$5:$B$3004,AH$4)&lt;AH$5,"Pendiente",IF(AH$8=0,"OK",IF(EDATE(_xlfn.MAXIFS(Acuses!$D$5:$D$3004,Acuses!$A$5:$A$3004,$A45,Acuses!$B$5:$B$3004,AH$4,Acuses!$C$5:$C$3004,AH$5),AH$8)&lt;Resumen!$C$4,"Caducado",IF(EDATE(_xlfn.MAXIFS(Acuses!$D$5:$D$3004,Acuses!$A$5:$A$3004,$A45,Acuses!$B$5:$B$3004,AH$4,Acuses!$C$5:$C$3004,AH$5),AH$8)&lt;Resumen!$C$4+30,"Caduca pronto","OK"))))))</f>
        <v/>
      </c>
      <c r="AI45" s="26" t="str">
        <f aca="false">IF(OR($A45="",AI$4=""),"",IF(NOT(OR(AI$6="Toda la plantilla",ISNUMBER(SEARCH(";"&amp;SUBSTITUTE($C45," ","")&amp;";",";"&amp;SUBSTITUTE(AI$7," ","")&amp;";")))),"—",IF(_xlfn.MAXIFS(Acuses!$C$5:$C$3004,Acuses!$A$5:$A$3004,$A45,Acuses!$B$5:$B$3004,AI$4)&lt;AI$5,"Pendiente",IF(AI$8=0,"OK",IF(EDATE(_xlfn.MAXIFS(Acuses!$D$5:$D$3004,Acuses!$A$5:$A$3004,$A45,Acuses!$B$5:$B$3004,AI$4,Acuses!$C$5:$C$3004,AI$5),AI$8)&lt;Resumen!$C$4,"Caducado",IF(EDATE(_xlfn.MAXIFS(Acuses!$D$5:$D$3004,Acuses!$A$5:$A$3004,$A45,Acuses!$B$5:$B$3004,AI$4,Acuses!$C$5:$C$3004,AI$5),AI$8)&lt;Resumen!$C$4+30,"Caduca pronto","OK"))))))</f>
        <v/>
      </c>
      <c r="AJ45" s="26" t="str">
        <f aca="false">IF(OR($A45="",AJ$4=""),"",IF(NOT(OR(AJ$6="Toda la plantilla",ISNUMBER(SEARCH(";"&amp;SUBSTITUTE($C45," ","")&amp;";",";"&amp;SUBSTITUTE(AJ$7," ","")&amp;";")))),"—",IF(_xlfn.MAXIFS(Acuses!$C$5:$C$3004,Acuses!$A$5:$A$3004,$A45,Acuses!$B$5:$B$3004,AJ$4)&lt;AJ$5,"Pendiente",IF(AJ$8=0,"OK",IF(EDATE(_xlfn.MAXIFS(Acuses!$D$5:$D$3004,Acuses!$A$5:$A$3004,$A45,Acuses!$B$5:$B$3004,AJ$4,Acuses!$C$5:$C$3004,AJ$5),AJ$8)&lt;Resumen!$C$4,"Caducado",IF(EDATE(_xlfn.MAXIFS(Acuses!$D$5:$D$3004,Acuses!$A$5:$A$3004,$A45,Acuses!$B$5:$B$3004,AJ$4,Acuses!$C$5:$C$3004,AJ$5),AJ$8)&lt;Resumen!$C$4+30,"Caduca pronto","OK"))))))</f>
        <v/>
      </c>
      <c r="AK45" s="26" t="str">
        <f aca="false">IF(OR($A45="",AK$4=""),"",IF(NOT(OR(AK$6="Toda la plantilla",ISNUMBER(SEARCH(";"&amp;SUBSTITUTE($C45," ","")&amp;";",";"&amp;SUBSTITUTE(AK$7," ","")&amp;";")))),"—",IF(_xlfn.MAXIFS(Acuses!$C$5:$C$3004,Acuses!$A$5:$A$3004,$A45,Acuses!$B$5:$B$3004,AK$4)&lt;AK$5,"Pendiente",IF(AK$8=0,"OK",IF(EDATE(_xlfn.MAXIFS(Acuses!$D$5:$D$3004,Acuses!$A$5:$A$3004,$A45,Acuses!$B$5:$B$3004,AK$4,Acuses!$C$5:$C$3004,AK$5),AK$8)&lt;Resumen!$C$4,"Caducado",IF(EDATE(_xlfn.MAXIFS(Acuses!$D$5:$D$3004,Acuses!$A$5:$A$3004,$A45,Acuses!$B$5:$B$3004,AK$4,Acuses!$C$5:$C$3004,AK$5),AK$8)&lt;Resumen!$C$4+30,"Caduca pronto","OK"))))))</f>
        <v/>
      </c>
      <c r="AL45" s="26" t="str">
        <f aca="false">IF(OR($A45="",AL$4=""),"",IF(NOT(OR(AL$6="Toda la plantilla",ISNUMBER(SEARCH(";"&amp;SUBSTITUTE($C45," ","")&amp;";",";"&amp;SUBSTITUTE(AL$7," ","")&amp;";")))),"—",IF(_xlfn.MAXIFS(Acuses!$C$5:$C$3004,Acuses!$A$5:$A$3004,$A45,Acuses!$B$5:$B$3004,AL$4)&lt;AL$5,"Pendiente",IF(AL$8=0,"OK",IF(EDATE(_xlfn.MAXIFS(Acuses!$D$5:$D$3004,Acuses!$A$5:$A$3004,$A45,Acuses!$B$5:$B$3004,AL$4,Acuses!$C$5:$C$3004,AL$5),AL$8)&lt;Resumen!$C$4,"Caducado",IF(EDATE(_xlfn.MAXIFS(Acuses!$D$5:$D$3004,Acuses!$A$5:$A$3004,$A45,Acuses!$B$5:$B$3004,AL$4,Acuses!$C$5:$C$3004,AL$5),AL$8)&lt;Resumen!$C$4+30,"Caduca pronto","OK"))))))</f>
        <v/>
      </c>
      <c r="AM45" s="26" t="str">
        <f aca="false">IF(OR($A45="",AM$4=""),"",IF(NOT(OR(AM$6="Toda la plantilla",ISNUMBER(SEARCH(";"&amp;SUBSTITUTE($C45," ","")&amp;";",";"&amp;SUBSTITUTE(AM$7," ","")&amp;";")))),"—",IF(_xlfn.MAXIFS(Acuses!$C$5:$C$3004,Acuses!$A$5:$A$3004,$A45,Acuses!$B$5:$B$3004,AM$4)&lt;AM$5,"Pendiente",IF(AM$8=0,"OK",IF(EDATE(_xlfn.MAXIFS(Acuses!$D$5:$D$3004,Acuses!$A$5:$A$3004,$A45,Acuses!$B$5:$B$3004,AM$4,Acuses!$C$5:$C$3004,AM$5),AM$8)&lt;Resumen!$C$4,"Caducado",IF(EDATE(_xlfn.MAXIFS(Acuses!$D$5:$D$3004,Acuses!$A$5:$A$3004,$A45,Acuses!$B$5:$B$3004,AM$4,Acuses!$C$5:$C$3004,AM$5),AM$8)&lt;Resumen!$C$4+30,"Caduca pronto","OK"))))))</f>
        <v/>
      </c>
      <c r="AN45" s="26" t="str">
        <f aca="false">IF(OR($A45="",AN$4=""),"",IF(NOT(OR(AN$6="Toda la plantilla",ISNUMBER(SEARCH(";"&amp;SUBSTITUTE($C45," ","")&amp;";",";"&amp;SUBSTITUTE(AN$7," ","")&amp;";")))),"—",IF(_xlfn.MAXIFS(Acuses!$C$5:$C$3004,Acuses!$A$5:$A$3004,$A45,Acuses!$B$5:$B$3004,AN$4)&lt;AN$5,"Pendiente",IF(AN$8=0,"OK",IF(EDATE(_xlfn.MAXIFS(Acuses!$D$5:$D$3004,Acuses!$A$5:$A$3004,$A45,Acuses!$B$5:$B$3004,AN$4,Acuses!$C$5:$C$3004,AN$5),AN$8)&lt;Resumen!$C$4,"Caducado",IF(EDATE(_xlfn.MAXIFS(Acuses!$D$5:$D$3004,Acuses!$A$5:$A$3004,$A45,Acuses!$B$5:$B$3004,AN$4,Acuses!$C$5:$C$3004,AN$5),AN$8)&lt;Resumen!$C$4+30,"Caduca pronto","OK"))))))</f>
        <v/>
      </c>
      <c r="AO45" s="26" t="str">
        <f aca="false">IF(OR($A45="",AO$4=""),"",IF(NOT(OR(AO$6="Toda la plantilla",ISNUMBER(SEARCH(";"&amp;SUBSTITUTE($C45," ","")&amp;";",";"&amp;SUBSTITUTE(AO$7," ","")&amp;";")))),"—",IF(_xlfn.MAXIFS(Acuses!$C$5:$C$3004,Acuses!$A$5:$A$3004,$A45,Acuses!$B$5:$B$3004,AO$4)&lt;AO$5,"Pendiente",IF(AO$8=0,"OK",IF(EDATE(_xlfn.MAXIFS(Acuses!$D$5:$D$3004,Acuses!$A$5:$A$3004,$A45,Acuses!$B$5:$B$3004,AO$4,Acuses!$C$5:$C$3004,AO$5),AO$8)&lt;Resumen!$C$4,"Caducado",IF(EDATE(_xlfn.MAXIFS(Acuses!$D$5:$D$3004,Acuses!$A$5:$A$3004,$A45,Acuses!$B$5:$B$3004,AO$4,Acuses!$C$5:$C$3004,AO$5),AO$8)&lt;Resumen!$C$4+30,"Caduca pronto","OK"))))))</f>
        <v/>
      </c>
      <c r="AP45" s="26" t="str">
        <f aca="false">IF(OR($A45="",AP$4=""),"",IF(NOT(OR(AP$6="Toda la plantilla",ISNUMBER(SEARCH(";"&amp;SUBSTITUTE($C45," ","")&amp;";",";"&amp;SUBSTITUTE(AP$7," ","")&amp;";")))),"—",IF(_xlfn.MAXIFS(Acuses!$C$5:$C$3004,Acuses!$A$5:$A$3004,$A45,Acuses!$B$5:$B$3004,AP$4)&lt;AP$5,"Pendiente",IF(AP$8=0,"OK",IF(EDATE(_xlfn.MAXIFS(Acuses!$D$5:$D$3004,Acuses!$A$5:$A$3004,$A45,Acuses!$B$5:$B$3004,AP$4,Acuses!$C$5:$C$3004,AP$5),AP$8)&lt;Resumen!$C$4,"Caducado",IF(EDATE(_xlfn.MAXIFS(Acuses!$D$5:$D$3004,Acuses!$A$5:$A$3004,$A45,Acuses!$B$5:$B$3004,AP$4,Acuses!$C$5:$C$3004,AP$5),AP$8)&lt;Resumen!$C$4+30,"Caduca pronto","OK"))))))</f>
        <v/>
      </c>
      <c r="AQ45" s="26" t="str">
        <f aca="false">IF(OR($A45="",AQ$4=""),"",IF(NOT(OR(AQ$6="Toda la plantilla",ISNUMBER(SEARCH(";"&amp;SUBSTITUTE($C45," ","")&amp;";",";"&amp;SUBSTITUTE(AQ$7," ","")&amp;";")))),"—",IF(_xlfn.MAXIFS(Acuses!$C$5:$C$3004,Acuses!$A$5:$A$3004,$A45,Acuses!$B$5:$B$3004,AQ$4)&lt;AQ$5,"Pendiente",IF(AQ$8=0,"OK",IF(EDATE(_xlfn.MAXIFS(Acuses!$D$5:$D$3004,Acuses!$A$5:$A$3004,$A45,Acuses!$B$5:$B$3004,AQ$4,Acuses!$C$5:$C$3004,AQ$5),AQ$8)&lt;Resumen!$C$4,"Caducado",IF(EDATE(_xlfn.MAXIFS(Acuses!$D$5:$D$3004,Acuses!$A$5:$A$3004,$A45,Acuses!$B$5:$B$3004,AQ$4,Acuses!$C$5:$C$3004,AQ$5),AQ$8)&lt;Resumen!$C$4+30,"Caduca pronto","OK"))))))</f>
        <v/>
      </c>
    </row>
    <row r="46" customFormat="false" ht="15" hidden="false" customHeight="false" outlineLevel="0" collapsed="false">
      <c r="A46" s="25" t="str">
        <f aca="false">IF(AND(Trabajadores!$A$41&lt;&gt;"",Trabajadores!$G$41&lt;&gt;"No"),Trabajadores!$A$41,"")</f>
        <v/>
      </c>
      <c r="B46" s="25" t="str">
        <f aca="false">IF($A46="","",Trabajadores!$B$41)</f>
        <v/>
      </c>
      <c r="C46" s="25" t="str">
        <f aca="false">IF($A46="","",Trabajadores!$C$41)</f>
        <v/>
      </c>
      <c r="D46" s="26" t="str">
        <f aca="false">IF(OR($A46="",D$4=""),"",IF(NOT(OR(D$6="Toda la plantilla",ISNUMBER(SEARCH(";"&amp;SUBSTITUTE($C46," ","")&amp;";",";"&amp;SUBSTITUTE(D$7," ","")&amp;";")))),"—",IF(_xlfn.MAXIFS(Acuses!$C$5:$C$3004,Acuses!$A$5:$A$3004,$A46,Acuses!$B$5:$B$3004,D$4)&lt;D$5,"Pendiente",IF(D$8=0,"OK",IF(EDATE(_xlfn.MAXIFS(Acuses!$D$5:$D$3004,Acuses!$A$5:$A$3004,$A46,Acuses!$B$5:$B$3004,D$4,Acuses!$C$5:$C$3004,D$5),D$8)&lt;Resumen!$C$4,"Caducado",IF(EDATE(_xlfn.MAXIFS(Acuses!$D$5:$D$3004,Acuses!$A$5:$A$3004,$A46,Acuses!$B$5:$B$3004,D$4,Acuses!$C$5:$C$3004,D$5),D$8)&lt;Resumen!$C$4+30,"Caduca pronto","OK"))))))</f>
        <v/>
      </c>
      <c r="E46" s="26" t="str">
        <f aca="false">IF(OR($A46="",E$4=""),"",IF(NOT(OR(E$6="Toda la plantilla",ISNUMBER(SEARCH(";"&amp;SUBSTITUTE($C46," ","")&amp;";",";"&amp;SUBSTITUTE(E$7," ","")&amp;";")))),"—",IF(_xlfn.MAXIFS(Acuses!$C$5:$C$3004,Acuses!$A$5:$A$3004,$A46,Acuses!$B$5:$B$3004,E$4)&lt;E$5,"Pendiente",IF(E$8=0,"OK",IF(EDATE(_xlfn.MAXIFS(Acuses!$D$5:$D$3004,Acuses!$A$5:$A$3004,$A46,Acuses!$B$5:$B$3004,E$4,Acuses!$C$5:$C$3004,E$5),E$8)&lt;Resumen!$C$4,"Caducado",IF(EDATE(_xlfn.MAXIFS(Acuses!$D$5:$D$3004,Acuses!$A$5:$A$3004,$A46,Acuses!$B$5:$B$3004,E$4,Acuses!$C$5:$C$3004,E$5),E$8)&lt;Resumen!$C$4+30,"Caduca pronto","OK"))))))</f>
        <v/>
      </c>
      <c r="F46" s="26" t="str">
        <f aca="false">IF(OR($A46="",F$4=""),"",IF(NOT(OR(F$6="Toda la plantilla",ISNUMBER(SEARCH(";"&amp;SUBSTITUTE($C46," ","")&amp;";",";"&amp;SUBSTITUTE(F$7," ","")&amp;";")))),"—",IF(_xlfn.MAXIFS(Acuses!$C$5:$C$3004,Acuses!$A$5:$A$3004,$A46,Acuses!$B$5:$B$3004,F$4)&lt;F$5,"Pendiente",IF(F$8=0,"OK",IF(EDATE(_xlfn.MAXIFS(Acuses!$D$5:$D$3004,Acuses!$A$5:$A$3004,$A46,Acuses!$B$5:$B$3004,F$4,Acuses!$C$5:$C$3004,F$5),F$8)&lt;Resumen!$C$4,"Caducado",IF(EDATE(_xlfn.MAXIFS(Acuses!$D$5:$D$3004,Acuses!$A$5:$A$3004,$A46,Acuses!$B$5:$B$3004,F$4,Acuses!$C$5:$C$3004,F$5),F$8)&lt;Resumen!$C$4+30,"Caduca pronto","OK"))))))</f>
        <v/>
      </c>
      <c r="G46" s="26" t="str">
        <f aca="false">IF(OR($A46="",G$4=""),"",IF(NOT(OR(G$6="Toda la plantilla",ISNUMBER(SEARCH(";"&amp;SUBSTITUTE($C46," ","")&amp;";",";"&amp;SUBSTITUTE(G$7," ","")&amp;";")))),"—",IF(_xlfn.MAXIFS(Acuses!$C$5:$C$3004,Acuses!$A$5:$A$3004,$A46,Acuses!$B$5:$B$3004,G$4)&lt;G$5,"Pendiente",IF(G$8=0,"OK",IF(EDATE(_xlfn.MAXIFS(Acuses!$D$5:$D$3004,Acuses!$A$5:$A$3004,$A46,Acuses!$B$5:$B$3004,G$4,Acuses!$C$5:$C$3004,G$5),G$8)&lt;Resumen!$C$4,"Caducado",IF(EDATE(_xlfn.MAXIFS(Acuses!$D$5:$D$3004,Acuses!$A$5:$A$3004,$A46,Acuses!$B$5:$B$3004,G$4,Acuses!$C$5:$C$3004,G$5),G$8)&lt;Resumen!$C$4+30,"Caduca pronto","OK"))))))</f>
        <v/>
      </c>
      <c r="H46" s="26" t="str">
        <f aca="false">IF(OR($A46="",H$4=""),"",IF(NOT(OR(H$6="Toda la plantilla",ISNUMBER(SEARCH(";"&amp;SUBSTITUTE($C46," ","")&amp;";",";"&amp;SUBSTITUTE(H$7," ","")&amp;";")))),"—",IF(_xlfn.MAXIFS(Acuses!$C$5:$C$3004,Acuses!$A$5:$A$3004,$A46,Acuses!$B$5:$B$3004,H$4)&lt;H$5,"Pendiente",IF(H$8=0,"OK",IF(EDATE(_xlfn.MAXIFS(Acuses!$D$5:$D$3004,Acuses!$A$5:$A$3004,$A46,Acuses!$B$5:$B$3004,H$4,Acuses!$C$5:$C$3004,H$5),H$8)&lt;Resumen!$C$4,"Caducado",IF(EDATE(_xlfn.MAXIFS(Acuses!$D$5:$D$3004,Acuses!$A$5:$A$3004,$A46,Acuses!$B$5:$B$3004,H$4,Acuses!$C$5:$C$3004,H$5),H$8)&lt;Resumen!$C$4+30,"Caduca pronto","OK"))))))</f>
        <v/>
      </c>
      <c r="I46" s="26" t="str">
        <f aca="false">IF(OR($A46="",I$4=""),"",IF(NOT(OR(I$6="Toda la plantilla",ISNUMBER(SEARCH(";"&amp;SUBSTITUTE($C46," ","")&amp;";",";"&amp;SUBSTITUTE(I$7," ","")&amp;";")))),"—",IF(_xlfn.MAXIFS(Acuses!$C$5:$C$3004,Acuses!$A$5:$A$3004,$A46,Acuses!$B$5:$B$3004,I$4)&lt;I$5,"Pendiente",IF(I$8=0,"OK",IF(EDATE(_xlfn.MAXIFS(Acuses!$D$5:$D$3004,Acuses!$A$5:$A$3004,$A46,Acuses!$B$5:$B$3004,I$4,Acuses!$C$5:$C$3004,I$5),I$8)&lt;Resumen!$C$4,"Caducado",IF(EDATE(_xlfn.MAXIFS(Acuses!$D$5:$D$3004,Acuses!$A$5:$A$3004,$A46,Acuses!$B$5:$B$3004,I$4,Acuses!$C$5:$C$3004,I$5),I$8)&lt;Resumen!$C$4+30,"Caduca pronto","OK"))))))</f>
        <v/>
      </c>
      <c r="J46" s="26" t="str">
        <f aca="false">IF(OR($A46="",J$4=""),"",IF(NOT(OR(J$6="Toda la plantilla",ISNUMBER(SEARCH(";"&amp;SUBSTITUTE($C46," ","")&amp;";",";"&amp;SUBSTITUTE(J$7," ","")&amp;";")))),"—",IF(_xlfn.MAXIFS(Acuses!$C$5:$C$3004,Acuses!$A$5:$A$3004,$A46,Acuses!$B$5:$B$3004,J$4)&lt;J$5,"Pendiente",IF(J$8=0,"OK",IF(EDATE(_xlfn.MAXIFS(Acuses!$D$5:$D$3004,Acuses!$A$5:$A$3004,$A46,Acuses!$B$5:$B$3004,J$4,Acuses!$C$5:$C$3004,J$5),J$8)&lt;Resumen!$C$4,"Caducado",IF(EDATE(_xlfn.MAXIFS(Acuses!$D$5:$D$3004,Acuses!$A$5:$A$3004,$A46,Acuses!$B$5:$B$3004,J$4,Acuses!$C$5:$C$3004,J$5),J$8)&lt;Resumen!$C$4+30,"Caduca pronto","OK"))))))</f>
        <v/>
      </c>
      <c r="K46" s="26" t="str">
        <f aca="false">IF(OR($A46="",K$4=""),"",IF(NOT(OR(K$6="Toda la plantilla",ISNUMBER(SEARCH(";"&amp;SUBSTITUTE($C46," ","")&amp;";",";"&amp;SUBSTITUTE(K$7," ","")&amp;";")))),"—",IF(_xlfn.MAXIFS(Acuses!$C$5:$C$3004,Acuses!$A$5:$A$3004,$A46,Acuses!$B$5:$B$3004,K$4)&lt;K$5,"Pendiente",IF(K$8=0,"OK",IF(EDATE(_xlfn.MAXIFS(Acuses!$D$5:$D$3004,Acuses!$A$5:$A$3004,$A46,Acuses!$B$5:$B$3004,K$4,Acuses!$C$5:$C$3004,K$5),K$8)&lt;Resumen!$C$4,"Caducado",IF(EDATE(_xlfn.MAXIFS(Acuses!$D$5:$D$3004,Acuses!$A$5:$A$3004,$A46,Acuses!$B$5:$B$3004,K$4,Acuses!$C$5:$C$3004,K$5),K$8)&lt;Resumen!$C$4+30,"Caduca pronto","OK"))))))</f>
        <v/>
      </c>
      <c r="L46" s="26" t="str">
        <f aca="false">IF(OR($A46="",L$4=""),"",IF(NOT(OR(L$6="Toda la plantilla",ISNUMBER(SEARCH(";"&amp;SUBSTITUTE($C46," ","")&amp;";",";"&amp;SUBSTITUTE(L$7," ","")&amp;";")))),"—",IF(_xlfn.MAXIFS(Acuses!$C$5:$C$3004,Acuses!$A$5:$A$3004,$A46,Acuses!$B$5:$B$3004,L$4)&lt;L$5,"Pendiente",IF(L$8=0,"OK",IF(EDATE(_xlfn.MAXIFS(Acuses!$D$5:$D$3004,Acuses!$A$5:$A$3004,$A46,Acuses!$B$5:$B$3004,L$4,Acuses!$C$5:$C$3004,L$5),L$8)&lt;Resumen!$C$4,"Caducado",IF(EDATE(_xlfn.MAXIFS(Acuses!$D$5:$D$3004,Acuses!$A$5:$A$3004,$A46,Acuses!$B$5:$B$3004,L$4,Acuses!$C$5:$C$3004,L$5),L$8)&lt;Resumen!$C$4+30,"Caduca pronto","OK"))))))</f>
        <v/>
      </c>
      <c r="M46" s="26" t="str">
        <f aca="false">IF(OR($A46="",M$4=""),"",IF(NOT(OR(M$6="Toda la plantilla",ISNUMBER(SEARCH(";"&amp;SUBSTITUTE($C46," ","")&amp;";",";"&amp;SUBSTITUTE(M$7," ","")&amp;";")))),"—",IF(_xlfn.MAXIFS(Acuses!$C$5:$C$3004,Acuses!$A$5:$A$3004,$A46,Acuses!$B$5:$B$3004,M$4)&lt;M$5,"Pendiente",IF(M$8=0,"OK",IF(EDATE(_xlfn.MAXIFS(Acuses!$D$5:$D$3004,Acuses!$A$5:$A$3004,$A46,Acuses!$B$5:$B$3004,M$4,Acuses!$C$5:$C$3004,M$5),M$8)&lt;Resumen!$C$4,"Caducado",IF(EDATE(_xlfn.MAXIFS(Acuses!$D$5:$D$3004,Acuses!$A$5:$A$3004,$A46,Acuses!$B$5:$B$3004,M$4,Acuses!$C$5:$C$3004,M$5),M$8)&lt;Resumen!$C$4+30,"Caduca pronto","OK"))))))</f>
        <v/>
      </c>
      <c r="N46" s="26" t="str">
        <f aca="false">IF(OR($A46="",N$4=""),"",IF(NOT(OR(N$6="Toda la plantilla",ISNUMBER(SEARCH(";"&amp;SUBSTITUTE($C46," ","")&amp;";",";"&amp;SUBSTITUTE(N$7," ","")&amp;";")))),"—",IF(_xlfn.MAXIFS(Acuses!$C$5:$C$3004,Acuses!$A$5:$A$3004,$A46,Acuses!$B$5:$B$3004,N$4)&lt;N$5,"Pendiente",IF(N$8=0,"OK",IF(EDATE(_xlfn.MAXIFS(Acuses!$D$5:$D$3004,Acuses!$A$5:$A$3004,$A46,Acuses!$B$5:$B$3004,N$4,Acuses!$C$5:$C$3004,N$5),N$8)&lt;Resumen!$C$4,"Caducado",IF(EDATE(_xlfn.MAXIFS(Acuses!$D$5:$D$3004,Acuses!$A$5:$A$3004,$A46,Acuses!$B$5:$B$3004,N$4,Acuses!$C$5:$C$3004,N$5),N$8)&lt;Resumen!$C$4+30,"Caduca pronto","OK"))))))</f>
        <v/>
      </c>
      <c r="O46" s="26" t="str">
        <f aca="false">IF(OR($A46="",O$4=""),"",IF(NOT(OR(O$6="Toda la plantilla",ISNUMBER(SEARCH(";"&amp;SUBSTITUTE($C46," ","")&amp;";",";"&amp;SUBSTITUTE(O$7," ","")&amp;";")))),"—",IF(_xlfn.MAXIFS(Acuses!$C$5:$C$3004,Acuses!$A$5:$A$3004,$A46,Acuses!$B$5:$B$3004,O$4)&lt;O$5,"Pendiente",IF(O$8=0,"OK",IF(EDATE(_xlfn.MAXIFS(Acuses!$D$5:$D$3004,Acuses!$A$5:$A$3004,$A46,Acuses!$B$5:$B$3004,O$4,Acuses!$C$5:$C$3004,O$5),O$8)&lt;Resumen!$C$4,"Caducado",IF(EDATE(_xlfn.MAXIFS(Acuses!$D$5:$D$3004,Acuses!$A$5:$A$3004,$A46,Acuses!$B$5:$B$3004,O$4,Acuses!$C$5:$C$3004,O$5),O$8)&lt;Resumen!$C$4+30,"Caduca pronto","OK"))))))</f>
        <v/>
      </c>
      <c r="P46" s="26" t="str">
        <f aca="false">IF(OR($A46="",P$4=""),"",IF(NOT(OR(P$6="Toda la plantilla",ISNUMBER(SEARCH(";"&amp;SUBSTITUTE($C46," ","")&amp;";",";"&amp;SUBSTITUTE(P$7," ","")&amp;";")))),"—",IF(_xlfn.MAXIFS(Acuses!$C$5:$C$3004,Acuses!$A$5:$A$3004,$A46,Acuses!$B$5:$B$3004,P$4)&lt;P$5,"Pendiente",IF(P$8=0,"OK",IF(EDATE(_xlfn.MAXIFS(Acuses!$D$5:$D$3004,Acuses!$A$5:$A$3004,$A46,Acuses!$B$5:$B$3004,P$4,Acuses!$C$5:$C$3004,P$5),P$8)&lt;Resumen!$C$4,"Caducado",IF(EDATE(_xlfn.MAXIFS(Acuses!$D$5:$D$3004,Acuses!$A$5:$A$3004,$A46,Acuses!$B$5:$B$3004,P$4,Acuses!$C$5:$C$3004,P$5),P$8)&lt;Resumen!$C$4+30,"Caduca pronto","OK"))))))</f>
        <v/>
      </c>
      <c r="Q46" s="26" t="str">
        <f aca="false">IF(OR($A46="",Q$4=""),"",IF(NOT(OR(Q$6="Toda la plantilla",ISNUMBER(SEARCH(";"&amp;SUBSTITUTE($C46," ","")&amp;";",";"&amp;SUBSTITUTE(Q$7," ","")&amp;";")))),"—",IF(_xlfn.MAXIFS(Acuses!$C$5:$C$3004,Acuses!$A$5:$A$3004,$A46,Acuses!$B$5:$B$3004,Q$4)&lt;Q$5,"Pendiente",IF(Q$8=0,"OK",IF(EDATE(_xlfn.MAXIFS(Acuses!$D$5:$D$3004,Acuses!$A$5:$A$3004,$A46,Acuses!$B$5:$B$3004,Q$4,Acuses!$C$5:$C$3004,Q$5),Q$8)&lt;Resumen!$C$4,"Caducado",IF(EDATE(_xlfn.MAXIFS(Acuses!$D$5:$D$3004,Acuses!$A$5:$A$3004,$A46,Acuses!$B$5:$B$3004,Q$4,Acuses!$C$5:$C$3004,Q$5),Q$8)&lt;Resumen!$C$4+30,"Caduca pronto","OK"))))))</f>
        <v/>
      </c>
      <c r="R46" s="26" t="str">
        <f aca="false">IF(OR($A46="",R$4=""),"",IF(NOT(OR(R$6="Toda la plantilla",ISNUMBER(SEARCH(";"&amp;SUBSTITUTE($C46," ","")&amp;";",";"&amp;SUBSTITUTE(R$7," ","")&amp;";")))),"—",IF(_xlfn.MAXIFS(Acuses!$C$5:$C$3004,Acuses!$A$5:$A$3004,$A46,Acuses!$B$5:$B$3004,R$4)&lt;R$5,"Pendiente",IF(R$8=0,"OK",IF(EDATE(_xlfn.MAXIFS(Acuses!$D$5:$D$3004,Acuses!$A$5:$A$3004,$A46,Acuses!$B$5:$B$3004,R$4,Acuses!$C$5:$C$3004,R$5),R$8)&lt;Resumen!$C$4,"Caducado",IF(EDATE(_xlfn.MAXIFS(Acuses!$D$5:$D$3004,Acuses!$A$5:$A$3004,$A46,Acuses!$B$5:$B$3004,R$4,Acuses!$C$5:$C$3004,R$5),R$8)&lt;Resumen!$C$4+30,"Caduca pronto","OK"))))))</f>
        <v/>
      </c>
      <c r="S46" s="26" t="str">
        <f aca="false">IF(OR($A46="",S$4=""),"",IF(NOT(OR(S$6="Toda la plantilla",ISNUMBER(SEARCH(";"&amp;SUBSTITUTE($C46," ","")&amp;";",";"&amp;SUBSTITUTE(S$7," ","")&amp;";")))),"—",IF(_xlfn.MAXIFS(Acuses!$C$5:$C$3004,Acuses!$A$5:$A$3004,$A46,Acuses!$B$5:$B$3004,S$4)&lt;S$5,"Pendiente",IF(S$8=0,"OK",IF(EDATE(_xlfn.MAXIFS(Acuses!$D$5:$D$3004,Acuses!$A$5:$A$3004,$A46,Acuses!$B$5:$B$3004,S$4,Acuses!$C$5:$C$3004,S$5),S$8)&lt;Resumen!$C$4,"Caducado",IF(EDATE(_xlfn.MAXIFS(Acuses!$D$5:$D$3004,Acuses!$A$5:$A$3004,$A46,Acuses!$B$5:$B$3004,S$4,Acuses!$C$5:$C$3004,S$5),S$8)&lt;Resumen!$C$4+30,"Caduca pronto","OK"))))))</f>
        <v/>
      </c>
      <c r="T46" s="26" t="str">
        <f aca="false">IF(OR($A46="",T$4=""),"",IF(NOT(OR(T$6="Toda la plantilla",ISNUMBER(SEARCH(";"&amp;SUBSTITUTE($C46," ","")&amp;";",";"&amp;SUBSTITUTE(T$7," ","")&amp;";")))),"—",IF(_xlfn.MAXIFS(Acuses!$C$5:$C$3004,Acuses!$A$5:$A$3004,$A46,Acuses!$B$5:$B$3004,T$4)&lt;T$5,"Pendiente",IF(T$8=0,"OK",IF(EDATE(_xlfn.MAXIFS(Acuses!$D$5:$D$3004,Acuses!$A$5:$A$3004,$A46,Acuses!$B$5:$B$3004,T$4,Acuses!$C$5:$C$3004,T$5),T$8)&lt;Resumen!$C$4,"Caducado",IF(EDATE(_xlfn.MAXIFS(Acuses!$D$5:$D$3004,Acuses!$A$5:$A$3004,$A46,Acuses!$B$5:$B$3004,T$4,Acuses!$C$5:$C$3004,T$5),T$8)&lt;Resumen!$C$4+30,"Caduca pronto","OK"))))))</f>
        <v/>
      </c>
      <c r="U46" s="26" t="str">
        <f aca="false">IF(OR($A46="",U$4=""),"",IF(NOT(OR(U$6="Toda la plantilla",ISNUMBER(SEARCH(";"&amp;SUBSTITUTE($C46," ","")&amp;";",";"&amp;SUBSTITUTE(U$7," ","")&amp;";")))),"—",IF(_xlfn.MAXIFS(Acuses!$C$5:$C$3004,Acuses!$A$5:$A$3004,$A46,Acuses!$B$5:$B$3004,U$4)&lt;U$5,"Pendiente",IF(U$8=0,"OK",IF(EDATE(_xlfn.MAXIFS(Acuses!$D$5:$D$3004,Acuses!$A$5:$A$3004,$A46,Acuses!$B$5:$B$3004,U$4,Acuses!$C$5:$C$3004,U$5),U$8)&lt;Resumen!$C$4,"Caducado",IF(EDATE(_xlfn.MAXIFS(Acuses!$D$5:$D$3004,Acuses!$A$5:$A$3004,$A46,Acuses!$B$5:$B$3004,U$4,Acuses!$C$5:$C$3004,U$5),U$8)&lt;Resumen!$C$4+30,"Caduca pronto","OK"))))))</f>
        <v/>
      </c>
      <c r="V46" s="26" t="str">
        <f aca="false">IF(OR($A46="",V$4=""),"",IF(NOT(OR(V$6="Toda la plantilla",ISNUMBER(SEARCH(";"&amp;SUBSTITUTE($C46," ","")&amp;";",";"&amp;SUBSTITUTE(V$7," ","")&amp;";")))),"—",IF(_xlfn.MAXIFS(Acuses!$C$5:$C$3004,Acuses!$A$5:$A$3004,$A46,Acuses!$B$5:$B$3004,V$4)&lt;V$5,"Pendiente",IF(V$8=0,"OK",IF(EDATE(_xlfn.MAXIFS(Acuses!$D$5:$D$3004,Acuses!$A$5:$A$3004,$A46,Acuses!$B$5:$B$3004,V$4,Acuses!$C$5:$C$3004,V$5),V$8)&lt;Resumen!$C$4,"Caducado",IF(EDATE(_xlfn.MAXIFS(Acuses!$D$5:$D$3004,Acuses!$A$5:$A$3004,$A46,Acuses!$B$5:$B$3004,V$4,Acuses!$C$5:$C$3004,V$5),V$8)&lt;Resumen!$C$4+30,"Caduca pronto","OK"))))))</f>
        <v/>
      </c>
      <c r="W46" s="26" t="str">
        <f aca="false">IF(OR($A46="",W$4=""),"",IF(NOT(OR(W$6="Toda la plantilla",ISNUMBER(SEARCH(";"&amp;SUBSTITUTE($C46," ","")&amp;";",";"&amp;SUBSTITUTE(W$7," ","")&amp;";")))),"—",IF(_xlfn.MAXIFS(Acuses!$C$5:$C$3004,Acuses!$A$5:$A$3004,$A46,Acuses!$B$5:$B$3004,W$4)&lt;W$5,"Pendiente",IF(W$8=0,"OK",IF(EDATE(_xlfn.MAXIFS(Acuses!$D$5:$D$3004,Acuses!$A$5:$A$3004,$A46,Acuses!$B$5:$B$3004,W$4,Acuses!$C$5:$C$3004,W$5),W$8)&lt;Resumen!$C$4,"Caducado",IF(EDATE(_xlfn.MAXIFS(Acuses!$D$5:$D$3004,Acuses!$A$5:$A$3004,$A46,Acuses!$B$5:$B$3004,W$4,Acuses!$C$5:$C$3004,W$5),W$8)&lt;Resumen!$C$4+30,"Caduca pronto","OK"))))))</f>
        <v/>
      </c>
      <c r="X46" s="26" t="str">
        <f aca="false">IF(OR($A46="",X$4=""),"",IF(NOT(OR(X$6="Toda la plantilla",ISNUMBER(SEARCH(";"&amp;SUBSTITUTE($C46," ","")&amp;";",";"&amp;SUBSTITUTE(X$7," ","")&amp;";")))),"—",IF(_xlfn.MAXIFS(Acuses!$C$5:$C$3004,Acuses!$A$5:$A$3004,$A46,Acuses!$B$5:$B$3004,X$4)&lt;X$5,"Pendiente",IF(X$8=0,"OK",IF(EDATE(_xlfn.MAXIFS(Acuses!$D$5:$D$3004,Acuses!$A$5:$A$3004,$A46,Acuses!$B$5:$B$3004,X$4,Acuses!$C$5:$C$3004,X$5),X$8)&lt;Resumen!$C$4,"Caducado",IF(EDATE(_xlfn.MAXIFS(Acuses!$D$5:$D$3004,Acuses!$A$5:$A$3004,$A46,Acuses!$B$5:$B$3004,X$4,Acuses!$C$5:$C$3004,X$5),X$8)&lt;Resumen!$C$4+30,"Caduca pronto","OK"))))))</f>
        <v/>
      </c>
      <c r="Y46" s="26" t="str">
        <f aca="false">IF(OR($A46="",Y$4=""),"",IF(NOT(OR(Y$6="Toda la plantilla",ISNUMBER(SEARCH(";"&amp;SUBSTITUTE($C46," ","")&amp;";",";"&amp;SUBSTITUTE(Y$7," ","")&amp;";")))),"—",IF(_xlfn.MAXIFS(Acuses!$C$5:$C$3004,Acuses!$A$5:$A$3004,$A46,Acuses!$B$5:$B$3004,Y$4)&lt;Y$5,"Pendiente",IF(Y$8=0,"OK",IF(EDATE(_xlfn.MAXIFS(Acuses!$D$5:$D$3004,Acuses!$A$5:$A$3004,$A46,Acuses!$B$5:$B$3004,Y$4,Acuses!$C$5:$C$3004,Y$5),Y$8)&lt;Resumen!$C$4,"Caducado",IF(EDATE(_xlfn.MAXIFS(Acuses!$D$5:$D$3004,Acuses!$A$5:$A$3004,$A46,Acuses!$B$5:$B$3004,Y$4,Acuses!$C$5:$C$3004,Y$5),Y$8)&lt;Resumen!$C$4+30,"Caduca pronto","OK"))))))</f>
        <v/>
      </c>
      <c r="Z46" s="26" t="str">
        <f aca="false">IF(OR($A46="",Z$4=""),"",IF(NOT(OR(Z$6="Toda la plantilla",ISNUMBER(SEARCH(";"&amp;SUBSTITUTE($C46," ","")&amp;";",";"&amp;SUBSTITUTE(Z$7," ","")&amp;";")))),"—",IF(_xlfn.MAXIFS(Acuses!$C$5:$C$3004,Acuses!$A$5:$A$3004,$A46,Acuses!$B$5:$B$3004,Z$4)&lt;Z$5,"Pendiente",IF(Z$8=0,"OK",IF(EDATE(_xlfn.MAXIFS(Acuses!$D$5:$D$3004,Acuses!$A$5:$A$3004,$A46,Acuses!$B$5:$B$3004,Z$4,Acuses!$C$5:$C$3004,Z$5),Z$8)&lt;Resumen!$C$4,"Caducado",IF(EDATE(_xlfn.MAXIFS(Acuses!$D$5:$D$3004,Acuses!$A$5:$A$3004,$A46,Acuses!$B$5:$B$3004,Z$4,Acuses!$C$5:$C$3004,Z$5),Z$8)&lt;Resumen!$C$4+30,"Caduca pronto","OK"))))))</f>
        <v/>
      </c>
      <c r="AA46" s="26" t="str">
        <f aca="false">IF(OR($A46="",AA$4=""),"",IF(NOT(OR(AA$6="Toda la plantilla",ISNUMBER(SEARCH(";"&amp;SUBSTITUTE($C46," ","")&amp;";",";"&amp;SUBSTITUTE(AA$7," ","")&amp;";")))),"—",IF(_xlfn.MAXIFS(Acuses!$C$5:$C$3004,Acuses!$A$5:$A$3004,$A46,Acuses!$B$5:$B$3004,AA$4)&lt;AA$5,"Pendiente",IF(AA$8=0,"OK",IF(EDATE(_xlfn.MAXIFS(Acuses!$D$5:$D$3004,Acuses!$A$5:$A$3004,$A46,Acuses!$B$5:$B$3004,AA$4,Acuses!$C$5:$C$3004,AA$5),AA$8)&lt;Resumen!$C$4,"Caducado",IF(EDATE(_xlfn.MAXIFS(Acuses!$D$5:$D$3004,Acuses!$A$5:$A$3004,$A46,Acuses!$B$5:$B$3004,AA$4,Acuses!$C$5:$C$3004,AA$5),AA$8)&lt;Resumen!$C$4+30,"Caduca pronto","OK"))))))</f>
        <v/>
      </c>
      <c r="AB46" s="26" t="str">
        <f aca="false">IF(OR($A46="",AB$4=""),"",IF(NOT(OR(AB$6="Toda la plantilla",ISNUMBER(SEARCH(";"&amp;SUBSTITUTE($C46," ","")&amp;";",";"&amp;SUBSTITUTE(AB$7," ","")&amp;";")))),"—",IF(_xlfn.MAXIFS(Acuses!$C$5:$C$3004,Acuses!$A$5:$A$3004,$A46,Acuses!$B$5:$B$3004,AB$4)&lt;AB$5,"Pendiente",IF(AB$8=0,"OK",IF(EDATE(_xlfn.MAXIFS(Acuses!$D$5:$D$3004,Acuses!$A$5:$A$3004,$A46,Acuses!$B$5:$B$3004,AB$4,Acuses!$C$5:$C$3004,AB$5),AB$8)&lt;Resumen!$C$4,"Caducado",IF(EDATE(_xlfn.MAXIFS(Acuses!$D$5:$D$3004,Acuses!$A$5:$A$3004,$A46,Acuses!$B$5:$B$3004,AB$4,Acuses!$C$5:$C$3004,AB$5),AB$8)&lt;Resumen!$C$4+30,"Caduca pronto","OK"))))))</f>
        <v/>
      </c>
      <c r="AC46" s="26" t="str">
        <f aca="false">IF(OR($A46="",AC$4=""),"",IF(NOT(OR(AC$6="Toda la plantilla",ISNUMBER(SEARCH(";"&amp;SUBSTITUTE($C46," ","")&amp;";",";"&amp;SUBSTITUTE(AC$7," ","")&amp;";")))),"—",IF(_xlfn.MAXIFS(Acuses!$C$5:$C$3004,Acuses!$A$5:$A$3004,$A46,Acuses!$B$5:$B$3004,AC$4)&lt;AC$5,"Pendiente",IF(AC$8=0,"OK",IF(EDATE(_xlfn.MAXIFS(Acuses!$D$5:$D$3004,Acuses!$A$5:$A$3004,$A46,Acuses!$B$5:$B$3004,AC$4,Acuses!$C$5:$C$3004,AC$5),AC$8)&lt;Resumen!$C$4,"Caducado",IF(EDATE(_xlfn.MAXIFS(Acuses!$D$5:$D$3004,Acuses!$A$5:$A$3004,$A46,Acuses!$B$5:$B$3004,AC$4,Acuses!$C$5:$C$3004,AC$5),AC$8)&lt;Resumen!$C$4+30,"Caduca pronto","OK"))))))</f>
        <v/>
      </c>
      <c r="AD46" s="26" t="str">
        <f aca="false">IF(OR($A46="",AD$4=""),"",IF(NOT(OR(AD$6="Toda la plantilla",ISNUMBER(SEARCH(";"&amp;SUBSTITUTE($C46," ","")&amp;";",";"&amp;SUBSTITUTE(AD$7," ","")&amp;";")))),"—",IF(_xlfn.MAXIFS(Acuses!$C$5:$C$3004,Acuses!$A$5:$A$3004,$A46,Acuses!$B$5:$B$3004,AD$4)&lt;AD$5,"Pendiente",IF(AD$8=0,"OK",IF(EDATE(_xlfn.MAXIFS(Acuses!$D$5:$D$3004,Acuses!$A$5:$A$3004,$A46,Acuses!$B$5:$B$3004,AD$4,Acuses!$C$5:$C$3004,AD$5),AD$8)&lt;Resumen!$C$4,"Caducado",IF(EDATE(_xlfn.MAXIFS(Acuses!$D$5:$D$3004,Acuses!$A$5:$A$3004,$A46,Acuses!$B$5:$B$3004,AD$4,Acuses!$C$5:$C$3004,AD$5),AD$8)&lt;Resumen!$C$4+30,"Caduca pronto","OK"))))))</f>
        <v/>
      </c>
      <c r="AE46" s="26" t="str">
        <f aca="false">IF(OR($A46="",AE$4=""),"",IF(NOT(OR(AE$6="Toda la plantilla",ISNUMBER(SEARCH(";"&amp;SUBSTITUTE($C46," ","")&amp;";",";"&amp;SUBSTITUTE(AE$7," ","")&amp;";")))),"—",IF(_xlfn.MAXIFS(Acuses!$C$5:$C$3004,Acuses!$A$5:$A$3004,$A46,Acuses!$B$5:$B$3004,AE$4)&lt;AE$5,"Pendiente",IF(AE$8=0,"OK",IF(EDATE(_xlfn.MAXIFS(Acuses!$D$5:$D$3004,Acuses!$A$5:$A$3004,$A46,Acuses!$B$5:$B$3004,AE$4,Acuses!$C$5:$C$3004,AE$5),AE$8)&lt;Resumen!$C$4,"Caducado",IF(EDATE(_xlfn.MAXIFS(Acuses!$D$5:$D$3004,Acuses!$A$5:$A$3004,$A46,Acuses!$B$5:$B$3004,AE$4,Acuses!$C$5:$C$3004,AE$5),AE$8)&lt;Resumen!$C$4+30,"Caduca pronto","OK"))))))</f>
        <v/>
      </c>
      <c r="AF46" s="26" t="str">
        <f aca="false">IF(OR($A46="",AF$4=""),"",IF(NOT(OR(AF$6="Toda la plantilla",ISNUMBER(SEARCH(";"&amp;SUBSTITUTE($C46," ","")&amp;";",";"&amp;SUBSTITUTE(AF$7," ","")&amp;";")))),"—",IF(_xlfn.MAXIFS(Acuses!$C$5:$C$3004,Acuses!$A$5:$A$3004,$A46,Acuses!$B$5:$B$3004,AF$4)&lt;AF$5,"Pendiente",IF(AF$8=0,"OK",IF(EDATE(_xlfn.MAXIFS(Acuses!$D$5:$D$3004,Acuses!$A$5:$A$3004,$A46,Acuses!$B$5:$B$3004,AF$4,Acuses!$C$5:$C$3004,AF$5),AF$8)&lt;Resumen!$C$4,"Caducado",IF(EDATE(_xlfn.MAXIFS(Acuses!$D$5:$D$3004,Acuses!$A$5:$A$3004,$A46,Acuses!$B$5:$B$3004,AF$4,Acuses!$C$5:$C$3004,AF$5),AF$8)&lt;Resumen!$C$4+30,"Caduca pronto","OK"))))))</f>
        <v/>
      </c>
      <c r="AG46" s="26" t="str">
        <f aca="false">IF(OR($A46="",AG$4=""),"",IF(NOT(OR(AG$6="Toda la plantilla",ISNUMBER(SEARCH(";"&amp;SUBSTITUTE($C46," ","")&amp;";",";"&amp;SUBSTITUTE(AG$7," ","")&amp;";")))),"—",IF(_xlfn.MAXIFS(Acuses!$C$5:$C$3004,Acuses!$A$5:$A$3004,$A46,Acuses!$B$5:$B$3004,AG$4)&lt;AG$5,"Pendiente",IF(AG$8=0,"OK",IF(EDATE(_xlfn.MAXIFS(Acuses!$D$5:$D$3004,Acuses!$A$5:$A$3004,$A46,Acuses!$B$5:$B$3004,AG$4,Acuses!$C$5:$C$3004,AG$5),AG$8)&lt;Resumen!$C$4,"Caducado",IF(EDATE(_xlfn.MAXIFS(Acuses!$D$5:$D$3004,Acuses!$A$5:$A$3004,$A46,Acuses!$B$5:$B$3004,AG$4,Acuses!$C$5:$C$3004,AG$5),AG$8)&lt;Resumen!$C$4+30,"Caduca pronto","OK"))))))</f>
        <v/>
      </c>
      <c r="AH46" s="26" t="str">
        <f aca="false">IF(OR($A46="",AH$4=""),"",IF(NOT(OR(AH$6="Toda la plantilla",ISNUMBER(SEARCH(";"&amp;SUBSTITUTE($C46," ","")&amp;";",";"&amp;SUBSTITUTE(AH$7," ","")&amp;";")))),"—",IF(_xlfn.MAXIFS(Acuses!$C$5:$C$3004,Acuses!$A$5:$A$3004,$A46,Acuses!$B$5:$B$3004,AH$4)&lt;AH$5,"Pendiente",IF(AH$8=0,"OK",IF(EDATE(_xlfn.MAXIFS(Acuses!$D$5:$D$3004,Acuses!$A$5:$A$3004,$A46,Acuses!$B$5:$B$3004,AH$4,Acuses!$C$5:$C$3004,AH$5),AH$8)&lt;Resumen!$C$4,"Caducado",IF(EDATE(_xlfn.MAXIFS(Acuses!$D$5:$D$3004,Acuses!$A$5:$A$3004,$A46,Acuses!$B$5:$B$3004,AH$4,Acuses!$C$5:$C$3004,AH$5),AH$8)&lt;Resumen!$C$4+30,"Caduca pronto","OK"))))))</f>
        <v/>
      </c>
      <c r="AI46" s="26" t="str">
        <f aca="false">IF(OR($A46="",AI$4=""),"",IF(NOT(OR(AI$6="Toda la plantilla",ISNUMBER(SEARCH(";"&amp;SUBSTITUTE($C46," ","")&amp;";",";"&amp;SUBSTITUTE(AI$7," ","")&amp;";")))),"—",IF(_xlfn.MAXIFS(Acuses!$C$5:$C$3004,Acuses!$A$5:$A$3004,$A46,Acuses!$B$5:$B$3004,AI$4)&lt;AI$5,"Pendiente",IF(AI$8=0,"OK",IF(EDATE(_xlfn.MAXIFS(Acuses!$D$5:$D$3004,Acuses!$A$5:$A$3004,$A46,Acuses!$B$5:$B$3004,AI$4,Acuses!$C$5:$C$3004,AI$5),AI$8)&lt;Resumen!$C$4,"Caducado",IF(EDATE(_xlfn.MAXIFS(Acuses!$D$5:$D$3004,Acuses!$A$5:$A$3004,$A46,Acuses!$B$5:$B$3004,AI$4,Acuses!$C$5:$C$3004,AI$5),AI$8)&lt;Resumen!$C$4+30,"Caduca pronto","OK"))))))</f>
        <v/>
      </c>
      <c r="AJ46" s="26" t="str">
        <f aca="false">IF(OR($A46="",AJ$4=""),"",IF(NOT(OR(AJ$6="Toda la plantilla",ISNUMBER(SEARCH(";"&amp;SUBSTITUTE($C46," ","")&amp;";",";"&amp;SUBSTITUTE(AJ$7," ","")&amp;";")))),"—",IF(_xlfn.MAXIFS(Acuses!$C$5:$C$3004,Acuses!$A$5:$A$3004,$A46,Acuses!$B$5:$B$3004,AJ$4)&lt;AJ$5,"Pendiente",IF(AJ$8=0,"OK",IF(EDATE(_xlfn.MAXIFS(Acuses!$D$5:$D$3004,Acuses!$A$5:$A$3004,$A46,Acuses!$B$5:$B$3004,AJ$4,Acuses!$C$5:$C$3004,AJ$5),AJ$8)&lt;Resumen!$C$4,"Caducado",IF(EDATE(_xlfn.MAXIFS(Acuses!$D$5:$D$3004,Acuses!$A$5:$A$3004,$A46,Acuses!$B$5:$B$3004,AJ$4,Acuses!$C$5:$C$3004,AJ$5),AJ$8)&lt;Resumen!$C$4+30,"Caduca pronto","OK"))))))</f>
        <v/>
      </c>
      <c r="AK46" s="26" t="str">
        <f aca="false">IF(OR($A46="",AK$4=""),"",IF(NOT(OR(AK$6="Toda la plantilla",ISNUMBER(SEARCH(";"&amp;SUBSTITUTE($C46," ","")&amp;";",";"&amp;SUBSTITUTE(AK$7," ","")&amp;";")))),"—",IF(_xlfn.MAXIFS(Acuses!$C$5:$C$3004,Acuses!$A$5:$A$3004,$A46,Acuses!$B$5:$B$3004,AK$4)&lt;AK$5,"Pendiente",IF(AK$8=0,"OK",IF(EDATE(_xlfn.MAXIFS(Acuses!$D$5:$D$3004,Acuses!$A$5:$A$3004,$A46,Acuses!$B$5:$B$3004,AK$4,Acuses!$C$5:$C$3004,AK$5),AK$8)&lt;Resumen!$C$4,"Caducado",IF(EDATE(_xlfn.MAXIFS(Acuses!$D$5:$D$3004,Acuses!$A$5:$A$3004,$A46,Acuses!$B$5:$B$3004,AK$4,Acuses!$C$5:$C$3004,AK$5),AK$8)&lt;Resumen!$C$4+30,"Caduca pronto","OK"))))))</f>
        <v/>
      </c>
      <c r="AL46" s="26" t="str">
        <f aca="false">IF(OR($A46="",AL$4=""),"",IF(NOT(OR(AL$6="Toda la plantilla",ISNUMBER(SEARCH(";"&amp;SUBSTITUTE($C46," ","")&amp;";",";"&amp;SUBSTITUTE(AL$7," ","")&amp;";")))),"—",IF(_xlfn.MAXIFS(Acuses!$C$5:$C$3004,Acuses!$A$5:$A$3004,$A46,Acuses!$B$5:$B$3004,AL$4)&lt;AL$5,"Pendiente",IF(AL$8=0,"OK",IF(EDATE(_xlfn.MAXIFS(Acuses!$D$5:$D$3004,Acuses!$A$5:$A$3004,$A46,Acuses!$B$5:$B$3004,AL$4,Acuses!$C$5:$C$3004,AL$5),AL$8)&lt;Resumen!$C$4,"Caducado",IF(EDATE(_xlfn.MAXIFS(Acuses!$D$5:$D$3004,Acuses!$A$5:$A$3004,$A46,Acuses!$B$5:$B$3004,AL$4,Acuses!$C$5:$C$3004,AL$5),AL$8)&lt;Resumen!$C$4+30,"Caduca pronto","OK"))))))</f>
        <v/>
      </c>
      <c r="AM46" s="26" t="str">
        <f aca="false">IF(OR($A46="",AM$4=""),"",IF(NOT(OR(AM$6="Toda la plantilla",ISNUMBER(SEARCH(";"&amp;SUBSTITUTE($C46," ","")&amp;";",";"&amp;SUBSTITUTE(AM$7," ","")&amp;";")))),"—",IF(_xlfn.MAXIFS(Acuses!$C$5:$C$3004,Acuses!$A$5:$A$3004,$A46,Acuses!$B$5:$B$3004,AM$4)&lt;AM$5,"Pendiente",IF(AM$8=0,"OK",IF(EDATE(_xlfn.MAXIFS(Acuses!$D$5:$D$3004,Acuses!$A$5:$A$3004,$A46,Acuses!$B$5:$B$3004,AM$4,Acuses!$C$5:$C$3004,AM$5),AM$8)&lt;Resumen!$C$4,"Caducado",IF(EDATE(_xlfn.MAXIFS(Acuses!$D$5:$D$3004,Acuses!$A$5:$A$3004,$A46,Acuses!$B$5:$B$3004,AM$4,Acuses!$C$5:$C$3004,AM$5),AM$8)&lt;Resumen!$C$4+30,"Caduca pronto","OK"))))))</f>
        <v/>
      </c>
      <c r="AN46" s="26" t="str">
        <f aca="false">IF(OR($A46="",AN$4=""),"",IF(NOT(OR(AN$6="Toda la plantilla",ISNUMBER(SEARCH(";"&amp;SUBSTITUTE($C46," ","")&amp;";",";"&amp;SUBSTITUTE(AN$7," ","")&amp;";")))),"—",IF(_xlfn.MAXIFS(Acuses!$C$5:$C$3004,Acuses!$A$5:$A$3004,$A46,Acuses!$B$5:$B$3004,AN$4)&lt;AN$5,"Pendiente",IF(AN$8=0,"OK",IF(EDATE(_xlfn.MAXIFS(Acuses!$D$5:$D$3004,Acuses!$A$5:$A$3004,$A46,Acuses!$B$5:$B$3004,AN$4,Acuses!$C$5:$C$3004,AN$5),AN$8)&lt;Resumen!$C$4,"Caducado",IF(EDATE(_xlfn.MAXIFS(Acuses!$D$5:$D$3004,Acuses!$A$5:$A$3004,$A46,Acuses!$B$5:$B$3004,AN$4,Acuses!$C$5:$C$3004,AN$5),AN$8)&lt;Resumen!$C$4+30,"Caduca pronto","OK"))))))</f>
        <v/>
      </c>
      <c r="AO46" s="26" t="str">
        <f aca="false">IF(OR($A46="",AO$4=""),"",IF(NOT(OR(AO$6="Toda la plantilla",ISNUMBER(SEARCH(";"&amp;SUBSTITUTE($C46," ","")&amp;";",";"&amp;SUBSTITUTE(AO$7," ","")&amp;";")))),"—",IF(_xlfn.MAXIFS(Acuses!$C$5:$C$3004,Acuses!$A$5:$A$3004,$A46,Acuses!$B$5:$B$3004,AO$4)&lt;AO$5,"Pendiente",IF(AO$8=0,"OK",IF(EDATE(_xlfn.MAXIFS(Acuses!$D$5:$D$3004,Acuses!$A$5:$A$3004,$A46,Acuses!$B$5:$B$3004,AO$4,Acuses!$C$5:$C$3004,AO$5),AO$8)&lt;Resumen!$C$4,"Caducado",IF(EDATE(_xlfn.MAXIFS(Acuses!$D$5:$D$3004,Acuses!$A$5:$A$3004,$A46,Acuses!$B$5:$B$3004,AO$4,Acuses!$C$5:$C$3004,AO$5),AO$8)&lt;Resumen!$C$4+30,"Caduca pronto","OK"))))))</f>
        <v/>
      </c>
      <c r="AP46" s="26" t="str">
        <f aca="false">IF(OR($A46="",AP$4=""),"",IF(NOT(OR(AP$6="Toda la plantilla",ISNUMBER(SEARCH(";"&amp;SUBSTITUTE($C46," ","")&amp;";",";"&amp;SUBSTITUTE(AP$7," ","")&amp;";")))),"—",IF(_xlfn.MAXIFS(Acuses!$C$5:$C$3004,Acuses!$A$5:$A$3004,$A46,Acuses!$B$5:$B$3004,AP$4)&lt;AP$5,"Pendiente",IF(AP$8=0,"OK",IF(EDATE(_xlfn.MAXIFS(Acuses!$D$5:$D$3004,Acuses!$A$5:$A$3004,$A46,Acuses!$B$5:$B$3004,AP$4,Acuses!$C$5:$C$3004,AP$5),AP$8)&lt;Resumen!$C$4,"Caducado",IF(EDATE(_xlfn.MAXIFS(Acuses!$D$5:$D$3004,Acuses!$A$5:$A$3004,$A46,Acuses!$B$5:$B$3004,AP$4,Acuses!$C$5:$C$3004,AP$5),AP$8)&lt;Resumen!$C$4+30,"Caduca pronto","OK"))))))</f>
        <v/>
      </c>
      <c r="AQ46" s="26" t="str">
        <f aca="false">IF(OR($A46="",AQ$4=""),"",IF(NOT(OR(AQ$6="Toda la plantilla",ISNUMBER(SEARCH(";"&amp;SUBSTITUTE($C46," ","")&amp;";",";"&amp;SUBSTITUTE(AQ$7," ","")&amp;";")))),"—",IF(_xlfn.MAXIFS(Acuses!$C$5:$C$3004,Acuses!$A$5:$A$3004,$A46,Acuses!$B$5:$B$3004,AQ$4)&lt;AQ$5,"Pendiente",IF(AQ$8=0,"OK",IF(EDATE(_xlfn.MAXIFS(Acuses!$D$5:$D$3004,Acuses!$A$5:$A$3004,$A46,Acuses!$B$5:$B$3004,AQ$4,Acuses!$C$5:$C$3004,AQ$5),AQ$8)&lt;Resumen!$C$4,"Caducado",IF(EDATE(_xlfn.MAXIFS(Acuses!$D$5:$D$3004,Acuses!$A$5:$A$3004,$A46,Acuses!$B$5:$B$3004,AQ$4,Acuses!$C$5:$C$3004,AQ$5),AQ$8)&lt;Resumen!$C$4+30,"Caduca pronto","OK"))))))</f>
        <v/>
      </c>
    </row>
    <row r="47" customFormat="false" ht="15" hidden="false" customHeight="false" outlineLevel="0" collapsed="false">
      <c r="A47" s="25" t="str">
        <f aca="false">IF(AND(Trabajadores!$A$42&lt;&gt;"",Trabajadores!$G$42&lt;&gt;"No"),Trabajadores!$A$42,"")</f>
        <v/>
      </c>
      <c r="B47" s="25" t="str">
        <f aca="false">IF($A47="","",Trabajadores!$B$42)</f>
        <v/>
      </c>
      <c r="C47" s="25" t="str">
        <f aca="false">IF($A47="","",Trabajadores!$C$42)</f>
        <v/>
      </c>
      <c r="D47" s="26" t="str">
        <f aca="false">IF(OR($A47="",D$4=""),"",IF(NOT(OR(D$6="Toda la plantilla",ISNUMBER(SEARCH(";"&amp;SUBSTITUTE($C47," ","")&amp;";",";"&amp;SUBSTITUTE(D$7," ","")&amp;";")))),"—",IF(_xlfn.MAXIFS(Acuses!$C$5:$C$3004,Acuses!$A$5:$A$3004,$A47,Acuses!$B$5:$B$3004,D$4)&lt;D$5,"Pendiente",IF(D$8=0,"OK",IF(EDATE(_xlfn.MAXIFS(Acuses!$D$5:$D$3004,Acuses!$A$5:$A$3004,$A47,Acuses!$B$5:$B$3004,D$4,Acuses!$C$5:$C$3004,D$5),D$8)&lt;Resumen!$C$4,"Caducado",IF(EDATE(_xlfn.MAXIFS(Acuses!$D$5:$D$3004,Acuses!$A$5:$A$3004,$A47,Acuses!$B$5:$B$3004,D$4,Acuses!$C$5:$C$3004,D$5),D$8)&lt;Resumen!$C$4+30,"Caduca pronto","OK"))))))</f>
        <v/>
      </c>
      <c r="E47" s="26" t="str">
        <f aca="false">IF(OR($A47="",E$4=""),"",IF(NOT(OR(E$6="Toda la plantilla",ISNUMBER(SEARCH(";"&amp;SUBSTITUTE($C47," ","")&amp;";",";"&amp;SUBSTITUTE(E$7," ","")&amp;";")))),"—",IF(_xlfn.MAXIFS(Acuses!$C$5:$C$3004,Acuses!$A$5:$A$3004,$A47,Acuses!$B$5:$B$3004,E$4)&lt;E$5,"Pendiente",IF(E$8=0,"OK",IF(EDATE(_xlfn.MAXIFS(Acuses!$D$5:$D$3004,Acuses!$A$5:$A$3004,$A47,Acuses!$B$5:$B$3004,E$4,Acuses!$C$5:$C$3004,E$5),E$8)&lt;Resumen!$C$4,"Caducado",IF(EDATE(_xlfn.MAXIFS(Acuses!$D$5:$D$3004,Acuses!$A$5:$A$3004,$A47,Acuses!$B$5:$B$3004,E$4,Acuses!$C$5:$C$3004,E$5),E$8)&lt;Resumen!$C$4+30,"Caduca pronto","OK"))))))</f>
        <v/>
      </c>
      <c r="F47" s="26" t="str">
        <f aca="false">IF(OR($A47="",F$4=""),"",IF(NOT(OR(F$6="Toda la plantilla",ISNUMBER(SEARCH(";"&amp;SUBSTITUTE($C47," ","")&amp;";",";"&amp;SUBSTITUTE(F$7," ","")&amp;";")))),"—",IF(_xlfn.MAXIFS(Acuses!$C$5:$C$3004,Acuses!$A$5:$A$3004,$A47,Acuses!$B$5:$B$3004,F$4)&lt;F$5,"Pendiente",IF(F$8=0,"OK",IF(EDATE(_xlfn.MAXIFS(Acuses!$D$5:$D$3004,Acuses!$A$5:$A$3004,$A47,Acuses!$B$5:$B$3004,F$4,Acuses!$C$5:$C$3004,F$5),F$8)&lt;Resumen!$C$4,"Caducado",IF(EDATE(_xlfn.MAXIFS(Acuses!$D$5:$D$3004,Acuses!$A$5:$A$3004,$A47,Acuses!$B$5:$B$3004,F$4,Acuses!$C$5:$C$3004,F$5),F$8)&lt;Resumen!$C$4+30,"Caduca pronto","OK"))))))</f>
        <v/>
      </c>
      <c r="G47" s="26" t="str">
        <f aca="false">IF(OR($A47="",G$4=""),"",IF(NOT(OR(G$6="Toda la plantilla",ISNUMBER(SEARCH(";"&amp;SUBSTITUTE($C47," ","")&amp;";",";"&amp;SUBSTITUTE(G$7," ","")&amp;";")))),"—",IF(_xlfn.MAXIFS(Acuses!$C$5:$C$3004,Acuses!$A$5:$A$3004,$A47,Acuses!$B$5:$B$3004,G$4)&lt;G$5,"Pendiente",IF(G$8=0,"OK",IF(EDATE(_xlfn.MAXIFS(Acuses!$D$5:$D$3004,Acuses!$A$5:$A$3004,$A47,Acuses!$B$5:$B$3004,G$4,Acuses!$C$5:$C$3004,G$5),G$8)&lt;Resumen!$C$4,"Caducado",IF(EDATE(_xlfn.MAXIFS(Acuses!$D$5:$D$3004,Acuses!$A$5:$A$3004,$A47,Acuses!$B$5:$B$3004,G$4,Acuses!$C$5:$C$3004,G$5),G$8)&lt;Resumen!$C$4+30,"Caduca pronto","OK"))))))</f>
        <v/>
      </c>
      <c r="H47" s="26" t="str">
        <f aca="false">IF(OR($A47="",H$4=""),"",IF(NOT(OR(H$6="Toda la plantilla",ISNUMBER(SEARCH(";"&amp;SUBSTITUTE($C47," ","")&amp;";",";"&amp;SUBSTITUTE(H$7," ","")&amp;";")))),"—",IF(_xlfn.MAXIFS(Acuses!$C$5:$C$3004,Acuses!$A$5:$A$3004,$A47,Acuses!$B$5:$B$3004,H$4)&lt;H$5,"Pendiente",IF(H$8=0,"OK",IF(EDATE(_xlfn.MAXIFS(Acuses!$D$5:$D$3004,Acuses!$A$5:$A$3004,$A47,Acuses!$B$5:$B$3004,H$4,Acuses!$C$5:$C$3004,H$5),H$8)&lt;Resumen!$C$4,"Caducado",IF(EDATE(_xlfn.MAXIFS(Acuses!$D$5:$D$3004,Acuses!$A$5:$A$3004,$A47,Acuses!$B$5:$B$3004,H$4,Acuses!$C$5:$C$3004,H$5),H$8)&lt;Resumen!$C$4+30,"Caduca pronto","OK"))))))</f>
        <v/>
      </c>
      <c r="I47" s="26" t="str">
        <f aca="false">IF(OR($A47="",I$4=""),"",IF(NOT(OR(I$6="Toda la plantilla",ISNUMBER(SEARCH(";"&amp;SUBSTITUTE($C47," ","")&amp;";",";"&amp;SUBSTITUTE(I$7," ","")&amp;";")))),"—",IF(_xlfn.MAXIFS(Acuses!$C$5:$C$3004,Acuses!$A$5:$A$3004,$A47,Acuses!$B$5:$B$3004,I$4)&lt;I$5,"Pendiente",IF(I$8=0,"OK",IF(EDATE(_xlfn.MAXIFS(Acuses!$D$5:$D$3004,Acuses!$A$5:$A$3004,$A47,Acuses!$B$5:$B$3004,I$4,Acuses!$C$5:$C$3004,I$5),I$8)&lt;Resumen!$C$4,"Caducado",IF(EDATE(_xlfn.MAXIFS(Acuses!$D$5:$D$3004,Acuses!$A$5:$A$3004,$A47,Acuses!$B$5:$B$3004,I$4,Acuses!$C$5:$C$3004,I$5),I$8)&lt;Resumen!$C$4+30,"Caduca pronto","OK"))))))</f>
        <v/>
      </c>
      <c r="J47" s="26" t="str">
        <f aca="false">IF(OR($A47="",J$4=""),"",IF(NOT(OR(J$6="Toda la plantilla",ISNUMBER(SEARCH(";"&amp;SUBSTITUTE($C47," ","")&amp;";",";"&amp;SUBSTITUTE(J$7," ","")&amp;";")))),"—",IF(_xlfn.MAXIFS(Acuses!$C$5:$C$3004,Acuses!$A$5:$A$3004,$A47,Acuses!$B$5:$B$3004,J$4)&lt;J$5,"Pendiente",IF(J$8=0,"OK",IF(EDATE(_xlfn.MAXIFS(Acuses!$D$5:$D$3004,Acuses!$A$5:$A$3004,$A47,Acuses!$B$5:$B$3004,J$4,Acuses!$C$5:$C$3004,J$5),J$8)&lt;Resumen!$C$4,"Caducado",IF(EDATE(_xlfn.MAXIFS(Acuses!$D$5:$D$3004,Acuses!$A$5:$A$3004,$A47,Acuses!$B$5:$B$3004,J$4,Acuses!$C$5:$C$3004,J$5),J$8)&lt;Resumen!$C$4+30,"Caduca pronto","OK"))))))</f>
        <v/>
      </c>
      <c r="K47" s="26" t="str">
        <f aca="false">IF(OR($A47="",K$4=""),"",IF(NOT(OR(K$6="Toda la plantilla",ISNUMBER(SEARCH(";"&amp;SUBSTITUTE($C47," ","")&amp;";",";"&amp;SUBSTITUTE(K$7," ","")&amp;";")))),"—",IF(_xlfn.MAXIFS(Acuses!$C$5:$C$3004,Acuses!$A$5:$A$3004,$A47,Acuses!$B$5:$B$3004,K$4)&lt;K$5,"Pendiente",IF(K$8=0,"OK",IF(EDATE(_xlfn.MAXIFS(Acuses!$D$5:$D$3004,Acuses!$A$5:$A$3004,$A47,Acuses!$B$5:$B$3004,K$4,Acuses!$C$5:$C$3004,K$5),K$8)&lt;Resumen!$C$4,"Caducado",IF(EDATE(_xlfn.MAXIFS(Acuses!$D$5:$D$3004,Acuses!$A$5:$A$3004,$A47,Acuses!$B$5:$B$3004,K$4,Acuses!$C$5:$C$3004,K$5),K$8)&lt;Resumen!$C$4+30,"Caduca pronto","OK"))))))</f>
        <v/>
      </c>
      <c r="L47" s="26" t="str">
        <f aca="false">IF(OR($A47="",L$4=""),"",IF(NOT(OR(L$6="Toda la plantilla",ISNUMBER(SEARCH(";"&amp;SUBSTITUTE($C47," ","")&amp;";",";"&amp;SUBSTITUTE(L$7," ","")&amp;";")))),"—",IF(_xlfn.MAXIFS(Acuses!$C$5:$C$3004,Acuses!$A$5:$A$3004,$A47,Acuses!$B$5:$B$3004,L$4)&lt;L$5,"Pendiente",IF(L$8=0,"OK",IF(EDATE(_xlfn.MAXIFS(Acuses!$D$5:$D$3004,Acuses!$A$5:$A$3004,$A47,Acuses!$B$5:$B$3004,L$4,Acuses!$C$5:$C$3004,L$5),L$8)&lt;Resumen!$C$4,"Caducado",IF(EDATE(_xlfn.MAXIFS(Acuses!$D$5:$D$3004,Acuses!$A$5:$A$3004,$A47,Acuses!$B$5:$B$3004,L$4,Acuses!$C$5:$C$3004,L$5),L$8)&lt;Resumen!$C$4+30,"Caduca pronto","OK"))))))</f>
        <v/>
      </c>
      <c r="M47" s="26" t="str">
        <f aca="false">IF(OR($A47="",M$4=""),"",IF(NOT(OR(M$6="Toda la plantilla",ISNUMBER(SEARCH(";"&amp;SUBSTITUTE($C47," ","")&amp;";",";"&amp;SUBSTITUTE(M$7," ","")&amp;";")))),"—",IF(_xlfn.MAXIFS(Acuses!$C$5:$C$3004,Acuses!$A$5:$A$3004,$A47,Acuses!$B$5:$B$3004,M$4)&lt;M$5,"Pendiente",IF(M$8=0,"OK",IF(EDATE(_xlfn.MAXIFS(Acuses!$D$5:$D$3004,Acuses!$A$5:$A$3004,$A47,Acuses!$B$5:$B$3004,M$4,Acuses!$C$5:$C$3004,M$5),M$8)&lt;Resumen!$C$4,"Caducado",IF(EDATE(_xlfn.MAXIFS(Acuses!$D$5:$D$3004,Acuses!$A$5:$A$3004,$A47,Acuses!$B$5:$B$3004,M$4,Acuses!$C$5:$C$3004,M$5),M$8)&lt;Resumen!$C$4+30,"Caduca pronto","OK"))))))</f>
        <v/>
      </c>
      <c r="N47" s="26" t="str">
        <f aca="false">IF(OR($A47="",N$4=""),"",IF(NOT(OR(N$6="Toda la plantilla",ISNUMBER(SEARCH(";"&amp;SUBSTITUTE($C47," ","")&amp;";",";"&amp;SUBSTITUTE(N$7," ","")&amp;";")))),"—",IF(_xlfn.MAXIFS(Acuses!$C$5:$C$3004,Acuses!$A$5:$A$3004,$A47,Acuses!$B$5:$B$3004,N$4)&lt;N$5,"Pendiente",IF(N$8=0,"OK",IF(EDATE(_xlfn.MAXIFS(Acuses!$D$5:$D$3004,Acuses!$A$5:$A$3004,$A47,Acuses!$B$5:$B$3004,N$4,Acuses!$C$5:$C$3004,N$5),N$8)&lt;Resumen!$C$4,"Caducado",IF(EDATE(_xlfn.MAXIFS(Acuses!$D$5:$D$3004,Acuses!$A$5:$A$3004,$A47,Acuses!$B$5:$B$3004,N$4,Acuses!$C$5:$C$3004,N$5),N$8)&lt;Resumen!$C$4+30,"Caduca pronto","OK"))))))</f>
        <v/>
      </c>
      <c r="O47" s="26" t="str">
        <f aca="false">IF(OR($A47="",O$4=""),"",IF(NOT(OR(O$6="Toda la plantilla",ISNUMBER(SEARCH(";"&amp;SUBSTITUTE($C47," ","")&amp;";",";"&amp;SUBSTITUTE(O$7," ","")&amp;";")))),"—",IF(_xlfn.MAXIFS(Acuses!$C$5:$C$3004,Acuses!$A$5:$A$3004,$A47,Acuses!$B$5:$B$3004,O$4)&lt;O$5,"Pendiente",IF(O$8=0,"OK",IF(EDATE(_xlfn.MAXIFS(Acuses!$D$5:$D$3004,Acuses!$A$5:$A$3004,$A47,Acuses!$B$5:$B$3004,O$4,Acuses!$C$5:$C$3004,O$5),O$8)&lt;Resumen!$C$4,"Caducado",IF(EDATE(_xlfn.MAXIFS(Acuses!$D$5:$D$3004,Acuses!$A$5:$A$3004,$A47,Acuses!$B$5:$B$3004,O$4,Acuses!$C$5:$C$3004,O$5),O$8)&lt;Resumen!$C$4+30,"Caduca pronto","OK"))))))</f>
        <v/>
      </c>
      <c r="P47" s="26" t="str">
        <f aca="false">IF(OR($A47="",P$4=""),"",IF(NOT(OR(P$6="Toda la plantilla",ISNUMBER(SEARCH(";"&amp;SUBSTITUTE($C47," ","")&amp;";",";"&amp;SUBSTITUTE(P$7," ","")&amp;";")))),"—",IF(_xlfn.MAXIFS(Acuses!$C$5:$C$3004,Acuses!$A$5:$A$3004,$A47,Acuses!$B$5:$B$3004,P$4)&lt;P$5,"Pendiente",IF(P$8=0,"OK",IF(EDATE(_xlfn.MAXIFS(Acuses!$D$5:$D$3004,Acuses!$A$5:$A$3004,$A47,Acuses!$B$5:$B$3004,P$4,Acuses!$C$5:$C$3004,P$5),P$8)&lt;Resumen!$C$4,"Caducado",IF(EDATE(_xlfn.MAXIFS(Acuses!$D$5:$D$3004,Acuses!$A$5:$A$3004,$A47,Acuses!$B$5:$B$3004,P$4,Acuses!$C$5:$C$3004,P$5),P$8)&lt;Resumen!$C$4+30,"Caduca pronto","OK"))))))</f>
        <v/>
      </c>
      <c r="Q47" s="26" t="str">
        <f aca="false">IF(OR($A47="",Q$4=""),"",IF(NOT(OR(Q$6="Toda la plantilla",ISNUMBER(SEARCH(";"&amp;SUBSTITUTE($C47," ","")&amp;";",";"&amp;SUBSTITUTE(Q$7," ","")&amp;";")))),"—",IF(_xlfn.MAXIFS(Acuses!$C$5:$C$3004,Acuses!$A$5:$A$3004,$A47,Acuses!$B$5:$B$3004,Q$4)&lt;Q$5,"Pendiente",IF(Q$8=0,"OK",IF(EDATE(_xlfn.MAXIFS(Acuses!$D$5:$D$3004,Acuses!$A$5:$A$3004,$A47,Acuses!$B$5:$B$3004,Q$4,Acuses!$C$5:$C$3004,Q$5),Q$8)&lt;Resumen!$C$4,"Caducado",IF(EDATE(_xlfn.MAXIFS(Acuses!$D$5:$D$3004,Acuses!$A$5:$A$3004,$A47,Acuses!$B$5:$B$3004,Q$4,Acuses!$C$5:$C$3004,Q$5),Q$8)&lt;Resumen!$C$4+30,"Caduca pronto","OK"))))))</f>
        <v/>
      </c>
      <c r="R47" s="26" t="str">
        <f aca="false">IF(OR($A47="",R$4=""),"",IF(NOT(OR(R$6="Toda la plantilla",ISNUMBER(SEARCH(";"&amp;SUBSTITUTE($C47," ","")&amp;";",";"&amp;SUBSTITUTE(R$7," ","")&amp;";")))),"—",IF(_xlfn.MAXIFS(Acuses!$C$5:$C$3004,Acuses!$A$5:$A$3004,$A47,Acuses!$B$5:$B$3004,R$4)&lt;R$5,"Pendiente",IF(R$8=0,"OK",IF(EDATE(_xlfn.MAXIFS(Acuses!$D$5:$D$3004,Acuses!$A$5:$A$3004,$A47,Acuses!$B$5:$B$3004,R$4,Acuses!$C$5:$C$3004,R$5),R$8)&lt;Resumen!$C$4,"Caducado",IF(EDATE(_xlfn.MAXIFS(Acuses!$D$5:$D$3004,Acuses!$A$5:$A$3004,$A47,Acuses!$B$5:$B$3004,R$4,Acuses!$C$5:$C$3004,R$5),R$8)&lt;Resumen!$C$4+30,"Caduca pronto","OK"))))))</f>
        <v/>
      </c>
      <c r="S47" s="26" t="str">
        <f aca="false">IF(OR($A47="",S$4=""),"",IF(NOT(OR(S$6="Toda la plantilla",ISNUMBER(SEARCH(";"&amp;SUBSTITUTE($C47," ","")&amp;";",";"&amp;SUBSTITUTE(S$7," ","")&amp;";")))),"—",IF(_xlfn.MAXIFS(Acuses!$C$5:$C$3004,Acuses!$A$5:$A$3004,$A47,Acuses!$B$5:$B$3004,S$4)&lt;S$5,"Pendiente",IF(S$8=0,"OK",IF(EDATE(_xlfn.MAXIFS(Acuses!$D$5:$D$3004,Acuses!$A$5:$A$3004,$A47,Acuses!$B$5:$B$3004,S$4,Acuses!$C$5:$C$3004,S$5),S$8)&lt;Resumen!$C$4,"Caducado",IF(EDATE(_xlfn.MAXIFS(Acuses!$D$5:$D$3004,Acuses!$A$5:$A$3004,$A47,Acuses!$B$5:$B$3004,S$4,Acuses!$C$5:$C$3004,S$5),S$8)&lt;Resumen!$C$4+30,"Caduca pronto","OK"))))))</f>
        <v/>
      </c>
      <c r="T47" s="26" t="str">
        <f aca="false">IF(OR($A47="",T$4=""),"",IF(NOT(OR(T$6="Toda la plantilla",ISNUMBER(SEARCH(";"&amp;SUBSTITUTE($C47," ","")&amp;";",";"&amp;SUBSTITUTE(T$7," ","")&amp;";")))),"—",IF(_xlfn.MAXIFS(Acuses!$C$5:$C$3004,Acuses!$A$5:$A$3004,$A47,Acuses!$B$5:$B$3004,T$4)&lt;T$5,"Pendiente",IF(T$8=0,"OK",IF(EDATE(_xlfn.MAXIFS(Acuses!$D$5:$D$3004,Acuses!$A$5:$A$3004,$A47,Acuses!$B$5:$B$3004,T$4,Acuses!$C$5:$C$3004,T$5),T$8)&lt;Resumen!$C$4,"Caducado",IF(EDATE(_xlfn.MAXIFS(Acuses!$D$5:$D$3004,Acuses!$A$5:$A$3004,$A47,Acuses!$B$5:$B$3004,T$4,Acuses!$C$5:$C$3004,T$5),T$8)&lt;Resumen!$C$4+30,"Caduca pronto","OK"))))))</f>
        <v/>
      </c>
      <c r="U47" s="26" t="str">
        <f aca="false">IF(OR($A47="",U$4=""),"",IF(NOT(OR(U$6="Toda la plantilla",ISNUMBER(SEARCH(";"&amp;SUBSTITUTE($C47," ","")&amp;";",";"&amp;SUBSTITUTE(U$7," ","")&amp;";")))),"—",IF(_xlfn.MAXIFS(Acuses!$C$5:$C$3004,Acuses!$A$5:$A$3004,$A47,Acuses!$B$5:$B$3004,U$4)&lt;U$5,"Pendiente",IF(U$8=0,"OK",IF(EDATE(_xlfn.MAXIFS(Acuses!$D$5:$D$3004,Acuses!$A$5:$A$3004,$A47,Acuses!$B$5:$B$3004,U$4,Acuses!$C$5:$C$3004,U$5),U$8)&lt;Resumen!$C$4,"Caducado",IF(EDATE(_xlfn.MAXIFS(Acuses!$D$5:$D$3004,Acuses!$A$5:$A$3004,$A47,Acuses!$B$5:$B$3004,U$4,Acuses!$C$5:$C$3004,U$5),U$8)&lt;Resumen!$C$4+30,"Caduca pronto","OK"))))))</f>
        <v/>
      </c>
      <c r="V47" s="26" t="str">
        <f aca="false">IF(OR($A47="",V$4=""),"",IF(NOT(OR(V$6="Toda la plantilla",ISNUMBER(SEARCH(";"&amp;SUBSTITUTE($C47," ","")&amp;";",";"&amp;SUBSTITUTE(V$7," ","")&amp;";")))),"—",IF(_xlfn.MAXIFS(Acuses!$C$5:$C$3004,Acuses!$A$5:$A$3004,$A47,Acuses!$B$5:$B$3004,V$4)&lt;V$5,"Pendiente",IF(V$8=0,"OK",IF(EDATE(_xlfn.MAXIFS(Acuses!$D$5:$D$3004,Acuses!$A$5:$A$3004,$A47,Acuses!$B$5:$B$3004,V$4,Acuses!$C$5:$C$3004,V$5),V$8)&lt;Resumen!$C$4,"Caducado",IF(EDATE(_xlfn.MAXIFS(Acuses!$D$5:$D$3004,Acuses!$A$5:$A$3004,$A47,Acuses!$B$5:$B$3004,V$4,Acuses!$C$5:$C$3004,V$5),V$8)&lt;Resumen!$C$4+30,"Caduca pronto","OK"))))))</f>
        <v/>
      </c>
      <c r="W47" s="26" t="str">
        <f aca="false">IF(OR($A47="",W$4=""),"",IF(NOT(OR(W$6="Toda la plantilla",ISNUMBER(SEARCH(";"&amp;SUBSTITUTE($C47," ","")&amp;";",";"&amp;SUBSTITUTE(W$7," ","")&amp;";")))),"—",IF(_xlfn.MAXIFS(Acuses!$C$5:$C$3004,Acuses!$A$5:$A$3004,$A47,Acuses!$B$5:$B$3004,W$4)&lt;W$5,"Pendiente",IF(W$8=0,"OK",IF(EDATE(_xlfn.MAXIFS(Acuses!$D$5:$D$3004,Acuses!$A$5:$A$3004,$A47,Acuses!$B$5:$B$3004,W$4,Acuses!$C$5:$C$3004,W$5),W$8)&lt;Resumen!$C$4,"Caducado",IF(EDATE(_xlfn.MAXIFS(Acuses!$D$5:$D$3004,Acuses!$A$5:$A$3004,$A47,Acuses!$B$5:$B$3004,W$4,Acuses!$C$5:$C$3004,W$5),W$8)&lt;Resumen!$C$4+30,"Caduca pronto","OK"))))))</f>
        <v/>
      </c>
      <c r="X47" s="26" t="str">
        <f aca="false">IF(OR($A47="",X$4=""),"",IF(NOT(OR(X$6="Toda la plantilla",ISNUMBER(SEARCH(";"&amp;SUBSTITUTE($C47," ","")&amp;";",";"&amp;SUBSTITUTE(X$7," ","")&amp;";")))),"—",IF(_xlfn.MAXIFS(Acuses!$C$5:$C$3004,Acuses!$A$5:$A$3004,$A47,Acuses!$B$5:$B$3004,X$4)&lt;X$5,"Pendiente",IF(X$8=0,"OK",IF(EDATE(_xlfn.MAXIFS(Acuses!$D$5:$D$3004,Acuses!$A$5:$A$3004,$A47,Acuses!$B$5:$B$3004,X$4,Acuses!$C$5:$C$3004,X$5),X$8)&lt;Resumen!$C$4,"Caducado",IF(EDATE(_xlfn.MAXIFS(Acuses!$D$5:$D$3004,Acuses!$A$5:$A$3004,$A47,Acuses!$B$5:$B$3004,X$4,Acuses!$C$5:$C$3004,X$5),X$8)&lt;Resumen!$C$4+30,"Caduca pronto","OK"))))))</f>
        <v/>
      </c>
      <c r="Y47" s="26" t="str">
        <f aca="false">IF(OR($A47="",Y$4=""),"",IF(NOT(OR(Y$6="Toda la plantilla",ISNUMBER(SEARCH(";"&amp;SUBSTITUTE($C47," ","")&amp;";",";"&amp;SUBSTITUTE(Y$7," ","")&amp;";")))),"—",IF(_xlfn.MAXIFS(Acuses!$C$5:$C$3004,Acuses!$A$5:$A$3004,$A47,Acuses!$B$5:$B$3004,Y$4)&lt;Y$5,"Pendiente",IF(Y$8=0,"OK",IF(EDATE(_xlfn.MAXIFS(Acuses!$D$5:$D$3004,Acuses!$A$5:$A$3004,$A47,Acuses!$B$5:$B$3004,Y$4,Acuses!$C$5:$C$3004,Y$5),Y$8)&lt;Resumen!$C$4,"Caducado",IF(EDATE(_xlfn.MAXIFS(Acuses!$D$5:$D$3004,Acuses!$A$5:$A$3004,$A47,Acuses!$B$5:$B$3004,Y$4,Acuses!$C$5:$C$3004,Y$5),Y$8)&lt;Resumen!$C$4+30,"Caduca pronto","OK"))))))</f>
        <v/>
      </c>
      <c r="Z47" s="26" t="str">
        <f aca="false">IF(OR($A47="",Z$4=""),"",IF(NOT(OR(Z$6="Toda la plantilla",ISNUMBER(SEARCH(";"&amp;SUBSTITUTE($C47," ","")&amp;";",";"&amp;SUBSTITUTE(Z$7," ","")&amp;";")))),"—",IF(_xlfn.MAXIFS(Acuses!$C$5:$C$3004,Acuses!$A$5:$A$3004,$A47,Acuses!$B$5:$B$3004,Z$4)&lt;Z$5,"Pendiente",IF(Z$8=0,"OK",IF(EDATE(_xlfn.MAXIFS(Acuses!$D$5:$D$3004,Acuses!$A$5:$A$3004,$A47,Acuses!$B$5:$B$3004,Z$4,Acuses!$C$5:$C$3004,Z$5),Z$8)&lt;Resumen!$C$4,"Caducado",IF(EDATE(_xlfn.MAXIFS(Acuses!$D$5:$D$3004,Acuses!$A$5:$A$3004,$A47,Acuses!$B$5:$B$3004,Z$4,Acuses!$C$5:$C$3004,Z$5),Z$8)&lt;Resumen!$C$4+30,"Caduca pronto","OK"))))))</f>
        <v/>
      </c>
      <c r="AA47" s="26" t="str">
        <f aca="false">IF(OR($A47="",AA$4=""),"",IF(NOT(OR(AA$6="Toda la plantilla",ISNUMBER(SEARCH(";"&amp;SUBSTITUTE($C47," ","")&amp;";",";"&amp;SUBSTITUTE(AA$7," ","")&amp;";")))),"—",IF(_xlfn.MAXIFS(Acuses!$C$5:$C$3004,Acuses!$A$5:$A$3004,$A47,Acuses!$B$5:$B$3004,AA$4)&lt;AA$5,"Pendiente",IF(AA$8=0,"OK",IF(EDATE(_xlfn.MAXIFS(Acuses!$D$5:$D$3004,Acuses!$A$5:$A$3004,$A47,Acuses!$B$5:$B$3004,AA$4,Acuses!$C$5:$C$3004,AA$5),AA$8)&lt;Resumen!$C$4,"Caducado",IF(EDATE(_xlfn.MAXIFS(Acuses!$D$5:$D$3004,Acuses!$A$5:$A$3004,$A47,Acuses!$B$5:$B$3004,AA$4,Acuses!$C$5:$C$3004,AA$5),AA$8)&lt;Resumen!$C$4+30,"Caduca pronto","OK"))))))</f>
        <v/>
      </c>
      <c r="AB47" s="26" t="str">
        <f aca="false">IF(OR($A47="",AB$4=""),"",IF(NOT(OR(AB$6="Toda la plantilla",ISNUMBER(SEARCH(";"&amp;SUBSTITUTE($C47," ","")&amp;";",";"&amp;SUBSTITUTE(AB$7," ","")&amp;";")))),"—",IF(_xlfn.MAXIFS(Acuses!$C$5:$C$3004,Acuses!$A$5:$A$3004,$A47,Acuses!$B$5:$B$3004,AB$4)&lt;AB$5,"Pendiente",IF(AB$8=0,"OK",IF(EDATE(_xlfn.MAXIFS(Acuses!$D$5:$D$3004,Acuses!$A$5:$A$3004,$A47,Acuses!$B$5:$B$3004,AB$4,Acuses!$C$5:$C$3004,AB$5),AB$8)&lt;Resumen!$C$4,"Caducado",IF(EDATE(_xlfn.MAXIFS(Acuses!$D$5:$D$3004,Acuses!$A$5:$A$3004,$A47,Acuses!$B$5:$B$3004,AB$4,Acuses!$C$5:$C$3004,AB$5),AB$8)&lt;Resumen!$C$4+30,"Caduca pronto","OK"))))))</f>
        <v/>
      </c>
      <c r="AC47" s="26" t="str">
        <f aca="false">IF(OR($A47="",AC$4=""),"",IF(NOT(OR(AC$6="Toda la plantilla",ISNUMBER(SEARCH(";"&amp;SUBSTITUTE($C47," ","")&amp;";",";"&amp;SUBSTITUTE(AC$7," ","")&amp;";")))),"—",IF(_xlfn.MAXIFS(Acuses!$C$5:$C$3004,Acuses!$A$5:$A$3004,$A47,Acuses!$B$5:$B$3004,AC$4)&lt;AC$5,"Pendiente",IF(AC$8=0,"OK",IF(EDATE(_xlfn.MAXIFS(Acuses!$D$5:$D$3004,Acuses!$A$5:$A$3004,$A47,Acuses!$B$5:$B$3004,AC$4,Acuses!$C$5:$C$3004,AC$5),AC$8)&lt;Resumen!$C$4,"Caducado",IF(EDATE(_xlfn.MAXIFS(Acuses!$D$5:$D$3004,Acuses!$A$5:$A$3004,$A47,Acuses!$B$5:$B$3004,AC$4,Acuses!$C$5:$C$3004,AC$5),AC$8)&lt;Resumen!$C$4+30,"Caduca pronto","OK"))))))</f>
        <v/>
      </c>
      <c r="AD47" s="26" t="str">
        <f aca="false">IF(OR($A47="",AD$4=""),"",IF(NOT(OR(AD$6="Toda la plantilla",ISNUMBER(SEARCH(";"&amp;SUBSTITUTE($C47," ","")&amp;";",";"&amp;SUBSTITUTE(AD$7," ","")&amp;";")))),"—",IF(_xlfn.MAXIFS(Acuses!$C$5:$C$3004,Acuses!$A$5:$A$3004,$A47,Acuses!$B$5:$B$3004,AD$4)&lt;AD$5,"Pendiente",IF(AD$8=0,"OK",IF(EDATE(_xlfn.MAXIFS(Acuses!$D$5:$D$3004,Acuses!$A$5:$A$3004,$A47,Acuses!$B$5:$B$3004,AD$4,Acuses!$C$5:$C$3004,AD$5),AD$8)&lt;Resumen!$C$4,"Caducado",IF(EDATE(_xlfn.MAXIFS(Acuses!$D$5:$D$3004,Acuses!$A$5:$A$3004,$A47,Acuses!$B$5:$B$3004,AD$4,Acuses!$C$5:$C$3004,AD$5),AD$8)&lt;Resumen!$C$4+30,"Caduca pronto","OK"))))))</f>
        <v/>
      </c>
      <c r="AE47" s="26" t="str">
        <f aca="false">IF(OR($A47="",AE$4=""),"",IF(NOT(OR(AE$6="Toda la plantilla",ISNUMBER(SEARCH(";"&amp;SUBSTITUTE($C47," ","")&amp;";",";"&amp;SUBSTITUTE(AE$7," ","")&amp;";")))),"—",IF(_xlfn.MAXIFS(Acuses!$C$5:$C$3004,Acuses!$A$5:$A$3004,$A47,Acuses!$B$5:$B$3004,AE$4)&lt;AE$5,"Pendiente",IF(AE$8=0,"OK",IF(EDATE(_xlfn.MAXIFS(Acuses!$D$5:$D$3004,Acuses!$A$5:$A$3004,$A47,Acuses!$B$5:$B$3004,AE$4,Acuses!$C$5:$C$3004,AE$5),AE$8)&lt;Resumen!$C$4,"Caducado",IF(EDATE(_xlfn.MAXIFS(Acuses!$D$5:$D$3004,Acuses!$A$5:$A$3004,$A47,Acuses!$B$5:$B$3004,AE$4,Acuses!$C$5:$C$3004,AE$5),AE$8)&lt;Resumen!$C$4+30,"Caduca pronto","OK"))))))</f>
        <v/>
      </c>
      <c r="AF47" s="26" t="str">
        <f aca="false">IF(OR($A47="",AF$4=""),"",IF(NOT(OR(AF$6="Toda la plantilla",ISNUMBER(SEARCH(";"&amp;SUBSTITUTE($C47," ","")&amp;";",";"&amp;SUBSTITUTE(AF$7," ","")&amp;";")))),"—",IF(_xlfn.MAXIFS(Acuses!$C$5:$C$3004,Acuses!$A$5:$A$3004,$A47,Acuses!$B$5:$B$3004,AF$4)&lt;AF$5,"Pendiente",IF(AF$8=0,"OK",IF(EDATE(_xlfn.MAXIFS(Acuses!$D$5:$D$3004,Acuses!$A$5:$A$3004,$A47,Acuses!$B$5:$B$3004,AF$4,Acuses!$C$5:$C$3004,AF$5),AF$8)&lt;Resumen!$C$4,"Caducado",IF(EDATE(_xlfn.MAXIFS(Acuses!$D$5:$D$3004,Acuses!$A$5:$A$3004,$A47,Acuses!$B$5:$B$3004,AF$4,Acuses!$C$5:$C$3004,AF$5),AF$8)&lt;Resumen!$C$4+30,"Caduca pronto","OK"))))))</f>
        <v/>
      </c>
      <c r="AG47" s="26" t="str">
        <f aca="false">IF(OR($A47="",AG$4=""),"",IF(NOT(OR(AG$6="Toda la plantilla",ISNUMBER(SEARCH(";"&amp;SUBSTITUTE($C47," ","")&amp;";",";"&amp;SUBSTITUTE(AG$7," ","")&amp;";")))),"—",IF(_xlfn.MAXIFS(Acuses!$C$5:$C$3004,Acuses!$A$5:$A$3004,$A47,Acuses!$B$5:$B$3004,AG$4)&lt;AG$5,"Pendiente",IF(AG$8=0,"OK",IF(EDATE(_xlfn.MAXIFS(Acuses!$D$5:$D$3004,Acuses!$A$5:$A$3004,$A47,Acuses!$B$5:$B$3004,AG$4,Acuses!$C$5:$C$3004,AG$5),AG$8)&lt;Resumen!$C$4,"Caducado",IF(EDATE(_xlfn.MAXIFS(Acuses!$D$5:$D$3004,Acuses!$A$5:$A$3004,$A47,Acuses!$B$5:$B$3004,AG$4,Acuses!$C$5:$C$3004,AG$5),AG$8)&lt;Resumen!$C$4+30,"Caduca pronto","OK"))))))</f>
        <v/>
      </c>
      <c r="AH47" s="26" t="str">
        <f aca="false">IF(OR($A47="",AH$4=""),"",IF(NOT(OR(AH$6="Toda la plantilla",ISNUMBER(SEARCH(";"&amp;SUBSTITUTE($C47," ","")&amp;";",";"&amp;SUBSTITUTE(AH$7," ","")&amp;";")))),"—",IF(_xlfn.MAXIFS(Acuses!$C$5:$C$3004,Acuses!$A$5:$A$3004,$A47,Acuses!$B$5:$B$3004,AH$4)&lt;AH$5,"Pendiente",IF(AH$8=0,"OK",IF(EDATE(_xlfn.MAXIFS(Acuses!$D$5:$D$3004,Acuses!$A$5:$A$3004,$A47,Acuses!$B$5:$B$3004,AH$4,Acuses!$C$5:$C$3004,AH$5),AH$8)&lt;Resumen!$C$4,"Caducado",IF(EDATE(_xlfn.MAXIFS(Acuses!$D$5:$D$3004,Acuses!$A$5:$A$3004,$A47,Acuses!$B$5:$B$3004,AH$4,Acuses!$C$5:$C$3004,AH$5),AH$8)&lt;Resumen!$C$4+30,"Caduca pronto","OK"))))))</f>
        <v/>
      </c>
      <c r="AI47" s="26" t="str">
        <f aca="false">IF(OR($A47="",AI$4=""),"",IF(NOT(OR(AI$6="Toda la plantilla",ISNUMBER(SEARCH(";"&amp;SUBSTITUTE($C47," ","")&amp;";",";"&amp;SUBSTITUTE(AI$7," ","")&amp;";")))),"—",IF(_xlfn.MAXIFS(Acuses!$C$5:$C$3004,Acuses!$A$5:$A$3004,$A47,Acuses!$B$5:$B$3004,AI$4)&lt;AI$5,"Pendiente",IF(AI$8=0,"OK",IF(EDATE(_xlfn.MAXIFS(Acuses!$D$5:$D$3004,Acuses!$A$5:$A$3004,$A47,Acuses!$B$5:$B$3004,AI$4,Acuses!$C$5:$C$3004,AI$5),AI$8)&lt;Resumen!$C$4,"Caducado",IF(EDATE(_xlfn.MAXIFS(Acuses!$D$5:$D$3004,Acuses!$A$5:$A$3004,$A47,Acuses!$B$5:$B$3004,AI$4,Acuses!$C$5:$C$3004,AI$5),AI$8)&lt;Resumen!$C$4+30,"Caduca pronto","OK"))))))</f>
        <v/>
      </c>
      <c r="AJ47" s="26" t="str">
        <f aca="false">IF(OR($A47="",AJ$4=""),"",IF(NOT(OR(AJ$6="Toda la plantilla",ISNUMBER(SEARCH(";"&amp;SUBSTITUTE($C47," ","")&amp;";",";"&amp;SUBSTITUTE(AJ$7," ","")&amp;";")))),"—",IF(_xlfn.MAXIFS(Acuses!$C$5:$C$3004,Acuses!$A$5:$A$3004,$A47,Acuses!$B$5:$B$3004,AJ$4)&lt;AJ$5,"Pendiente",IF(AJ$8=0,"OK",IF(EDATE(_xlfn.MAXIFS(Acuses!$D$5:$D$3004,Acuses!$A$5:$A$3004,$A47,Acuses!$B$5:$B$3004,AJ$4,Acuses!$C$5:$C$3004,AJ$5),AJ$8)&lt;Resumen!$C$4,"Caducado",IF(EDATE(_xlfn.MAXIFS(Acuses!$D$5:$D$3004,Acuses!$A$5:$A$3004,$A47,Acuses!$B$5:$B$3004,AJ$4,Acuses!$C$5:$C$3004,AJ$5),AJ$8)&lt;Resumen!$C$4+30,"Caduca pronto","OK"))))))</f>
        <v/>
      </c>
      <c r="AK47" s="26" t="str">
        <f aca="false">IF(OR($A47="",AK$4=""),"",IF(NOT(OR(AK$6="Toda la plantilla",ISNUMBER(SEARCH(";"&amp;SUBSTITUTE($C47," ","")&amp;";",";"&amp;SUBSTITUTE(AK$7," ","")&amp;";")))),"—",IF(_xlfn.MAXIFS(Acuses!$C$5:$C$3004,Acuses!$A$5:$A$3004,$A47,Acuses!$B$5:$B$3004,AK$4)&lt;AK$5,"Pendiente",IF(AK$8=0,"OK",IF(EDATE(_xlfn.MAXIFS(Acuses!$D$5:$D$3004,Acuses!$A$5:$A$3004,$A47,Acuses!$B$5:$B$3004,AK$4,Acuses!$C$5:$C$3004,AK$5),AK$8)&lt;Resumen!$C$4,"Caducado",IF(EDATE(_xlfn.MAXIFS(Acuses!$D$5:$D$3004,Acuses!$A$5:$A$3004,$A47,Acuses!$B$5:$B$3004,AK$4,Acuses!$C$5:$C$3004,AK$5),AK$8)&lt;Resumen!$C$4+30,"Caduca pronto","OK"))))))</f>
        <v/>
      </c>
      <c r="AL47" s="26" t="str">
        <f aca="false">IF(OR($A47="",AL$4=""),"",IF(NOT(OR(AL$6="Toda la plantilla",ISNUMBER(SEARCH(";"&amp;SUBSTITUTE($C47," ","")&amp;";",";"&amp;SUBSTITUTE(AL$7," ","")&amp;";")))),"—",IF(_xlfn.MAXIFS(Acuses!$C$5:$C$3004,Acuses!$A$5:$A$3004,$A47,Acuses!$B$5:$B$3004,AL$4)&lt;AL$5,"Pendiente",IF(AL$8=0,"OK",IF(EDATE(_xlfn.MAXIFS(Acuses!$D$5:$D$3004,Acuses!$A$5:$A$3004,$A47,Acuses!$B$5:$B$3004,AL$4,Acuses!$C$5:$C$3004,AL$5),AL$8)&lt;Resumen!$C$4,"Caducado",IF(EDATE(_xlfn.MAXIFS(Acuses!$D$5:$D$3004,Acuses!$A$5:$A$3004,$A47,Acuses!$B$5:$B$3004,AL$4,Acuses!$C$5:$C$3004,AL$5),AL$8)&lt;Resumen!$C$4+30,"Caduca pronto","OK"))))))</f>
        <v/>
      </c>
      <c r="AM47" s="26" t="str">
        <f aca="false">IF(OR($A47="",AM$4=""),"",IF(NOT(OR(AM$6="Toda la plantilla",ISNUMBER(SEARCH(";"&amp;SUBSTITUTE($C47," ","")&amp;";",";"&amp;SUBSTITUTE(AM$7," ","")&amp;";")))),"—",IF(_xlfn.MAXIFS(Acuses!$C$5:$C$3004,Acuses!$A$5:$A$3004,$A47,Acuses!$B$5:$B$3004,AM$4)&lt;AM$5,"Pendiente",IF(AM$8=0,"OK",IF(EDATE(_xlfn.MAXIFS(Acuses!$D$5:$D$3004,Acuses!$A$5:$A$3004,$A47,Acuses!$B$5:$B$3004,AM$4,Acuses!$C$5:$C$3004,AM$5),AM$8)&lt;Resumen!$C$4,"Caducado",IF(EDATE(_xlfn.MAXIFS(Acuses!$D$5:$D$3004,Acuses!$A$5:$A$3004,$A47,Acuses!$B$5:$B$3004,AM$4,Acuses!$C$5:$C$3004,AM$5),AM$8)&lt;Resumen!$C$4+30,"Caduca pronto","OK"))))))</f>
        <v/>
      </c>
      <c r="AN47" s="26" t="str">
        <f aca="false">IF(OR($A47="",AN$4=""),"",IF(NOT(OR(AN$6="Toda la plantilla",ISNUMBER(SEARCH(";"&amp;SUBSTITUTE($C47," ","")&amp;";",";"&amp;SUBSTITUTE(AN$7," ","")&amp;";")))),"—",IF(_xlfn.MAXIFS(Acuses!$C$5:$C$3004,Acuses!$A$5:$A$3004,$A47,Acuses!$B$5:$B$3004,AN$4)&lt;AN$5,"Pendiente",IF(AN$8=0,"OK",IF(EDATE(_xlfn.MAXIFS(Acuses!$D$5:$D$3004,Acuses!$A$5:$A$3004,$A47,Acuses!$B$5:$B$3004,AN$4,Acuses!$C$5:$C$3004,AN$5),AN$8)&lt;Resumen!$C$4,"Caducado",IF(EDATE(_xlfn.MAXIFS(Acuses!$D$5:$D$3004,Acuses!$A$5:$A$3004,$A47,Acuses!$B$5:$B$3004,AN$4,Acuses!$C$5:$C$3004,AN$5),AN$8)&lt;Resumen!$C$4+30,"Caduca pronto","OK"))))))</f>
        <v/>
      </c>
      <c r="AO47" s="26" t="str">
        <f aca="false">IF(OR($A47="",AO$4=""),"",IF(NOT(OR(AO$6="Toda la plantilla",ISNUMBER(SEARCH(";"&amp;SUBSTITUTE($C47," ","")&amp;";",";"&amp;SUBSTITUTE(AO$7," ","")&amp;";")))),"—",IF(_xlfn.MAXIFS(Acuses!$C$5:$C$3004,Acuses!$A$5:$A$3004,$A47,Acuses!$B$5:$B$3004,AO$4)&lt;AO$5,"Pendiente",IF(AO$8=0,"OK",IF(EDATE(_xlfn.MAXIFS(Acuses!$D$5:$D$3004,Acuses!$A$5:$A$3004,$A47,Acuses!$B$5:$B$3004,AO$4,Acuses!$C$5:$C$3004,AO$5),AO$8)&lt;Resumen!$C$4,"Caducado",IF(EDATE(_xlfn.MAXIFS(Acuses!$D$5:$D$3004,Acuses!$A$5:$A$3004,$A47,Acuses!$B$5:$B$3004,AO$4,Acuses!$C$5:$C$3004,AO$5),AO$8)&lt;Resumen!$C$4+30,"Caduca pronto","OK"))))))</f>
        <v/>
      </c>
      <c r="AP47" s="26" t="str">
        <f aca="false">IF(OR($A47="",AP$4=""),"",IF(NOT(OR(AP$6="Toda la plantilla",ISNUMBER(SEARCH(";"&amp;SUBSTITUTE($C47," ","")&amp;";",";"&amp;SUBSTITUTE(AP$7," ","")&amp;";")))),"—",IF(_xlfn.MAXIFS(Acuses!$C$5:$C$3004,Acuses!$A$5:$A$3004,$A47,Acuses!$B$5:$B$3004,AP$4)&lt;AP$5,"Pendiente",IF(AP$8=0,"OK",IF(EDATE(_xlfn.MAXIFS(Acuses!$D$5:$D$3004,Acuses!$A$5:$A$3004,$A47,Acuses!$B$5:$B$3004,AP$4,Acuses!$C$5:$C$3004,AP$5),AP$8)&lt;Resumen!$C$4,"Caducado",IF(EDATE(_xlfn.MAXIFS(Acuses!$D$5:$D$3004,Acuses!$A$5:$A$3004,$A47,Acuses!$B$5:$B$3004,AP$4,Acuses!$C$5:$C$3004,AP$5),AP$8)&lt;Resumen!$C$4+30,"Caduca pronto","OK"))))))</f>
        <v/>
      </c>
      <c r="AQ47" s="26" t="str">
        <f aca="false">IF(OR($A47="",AQ$4=""),"",IF(NOT(OR(AQ$6="Toda la plantilla",ISNUMBER(SEARCH(";"&amp;SUBSTITUTE($C47," ","")&amp;";",";"&amp;SUBSTITUTE(AQ$7," ","")&amp;";")))),"—",IF(_xlfn.MAXIFS(Acuses!$C$5:$C$3004,Acuses!$A$5:$A$3004,$A47,Acuses!$B$5:$B$3004,AQ$4)&lt;AQ$5,"Pendiente",IF(AQ$8=0,"OK",IF(EDATE(_xlfn.MAXIFS(Acuses!$D$5:$D$3004,Acuses!$A$5:$A$3004,$A47,Acuses!$B$5:$B$3004,AQ$4,Acuses!$C$5:$C$3004,AQ$5),AQ$8)&lt;Resumen!$C$4,"Caducado",IF(EDATE(_xlfn.MAXIFS(Acuses!$D$5:$D$3004,Acuses!$A$5:$A$3004,$A47,Acuses!$B$5:$B$3004,AQ$4,Acuses!$C$5:$C$3004,AQ$5),AQ$8)&lt;Resumen!$C$4+30,"Caduca pronto","OK"))))))</f>
        <v/>
      </c>
    </row>
    <row r="48" customFormat="false" ht="15" hidden="false" customHeight="false" outlineLevel="0" collapsed="false">
      <c r="A48" s="25" t="str">
        <f aca="false">IF(AND(Trabajadores!$A$43&lt;&gt;"",Trabajadores!$G$43&lt;&gt;"No"),Trabajadores!$A$43,"")</f>
        <v/>
      </c>
      <c r="B48" s="25" t="str">
        <f aca="false">IF($A48="","",Trabajadores!$B$43)</f>
        <v/>
      </c>
      <c r="C48" s="25" t="str">
        <f aca="false">IF($A48="","",Trabajadores!$C$43)</f>
        <v/>
      </c>
      <c r="D48" s="26" t="str">
        <f aca="false">IF(OR($A48="",D$4=""),"",IF(NOT(OR(D$6="Toda la plantilla",ISNUMBER(SEARCH(";"&amp;SUBSTITUTE($C48," ","")&amp;";",";"&amp;SUBSTITUTE(D$7," ","")&amp;";")))),"—",IF(_xlfn.MAXIFS(Acuses!$C$5:$C$3004,Acuses!$A$5:$A$3004,$A48,Acuses!$B$5:$B$3004,D$4)&lt;D$5,"Pendiente",IF(D$8=0,"OK",IF(EDATE(_xlfn.MAXIFS(Acuses!$D$5:$D$3004,Acuses!$A$5:$A$3004,$A48,Acuses!$B$5:$B$3004,D$4,Acuses!$C$5:$C$3004,D$5),D$8)&lt;Resumen!$C$4,"Caducado",IF(EDATE(_xlfn.MAXIFS(Acuses!$D$5:$D$3004,Acuses!$A$5:$A$3004,$A48,Acuses!$B$5:$B$3004,D$4,Acuses!$C$5:$C$3004,D$5),D$8)&lt;Resumen!$C$4+30,"Caduca pronto","OK"))))))</f>
        <v/>
      </c>
      <c r="E48" s="26" t="str">
        <f aca="false">IF(OR($A48="",E$4=""),"",IF(NOT(OR(E$6="Toda la plantilla",ISNUMBER(SEARCH(";"&amp;SUBSTITUTE($C48," ","")&amp;";",";"&amp;SUBSTITUTE(E$7," ","")&amp;";")))),"—",IF(_xlfn.MAXIFS(Acuses!$C$5:$C$3004,Acuses!$A$5:$A$3004,$A48,Acuses!$B$5:$B$3004,E$4)&lt;E$5,"Pendiente",IF(E$8=0,"OK",IF(EDATE(_xlfn.MAXIFS(Acuses!$D$5:$D$3004,Acuses!$A$5:$A$3004,$A48,Acuses!$B$5:$B$3004,E$4,Acuses!$C$5:$C$3004,E$5),E$8)&lt;Resumen!$C$4,"Caducado",IF(EDATE(_xlfn.MAXIFS(Acuses!$D$5:$D$3004,Acuses!$A$5:$A$3004,$A48,Acuses!$B$5:$B$3004,E$4,Acuses!$C$5:$C$3004,E$5),E$8)&lt;Resumen!$C$4+30,"Caduca pronto","OK"))))))</f>
        <v/>
      </c>
      <c r="F48" s="26" t="str">
        <f aca="false">IF(OR($A48="",F$4=""),"",IF(NOT(OR(F$6="Toda la plantilla",ISNUMBER(SEARCH(";"&amp;SUBSTITUTE($C48," ","")&amp;";",";"&amp;SUBSTITUTE(F$7," ","")&amp;";")))),"—",IF(_xlfn.MAXIFS(Acuses!$C$5:$C$3004,Acuses!$A$5:$A$3004,$A48,Acuses!$B$5:$B$3004,F$4)&lt;F$5,"Pendiente",IF(F$8=0,"OK",IF(EDATE(_xlfn.MAXIFS(Acuses!$D$5:$D$3004,Acuses!$A$5:$A$3004,$A48,Acuses!$B$5:$B$3004,F$4,Acuses!$C$5:$C$3004,F$5),F$8)&lt;Resumen!$C$4,"Caducado",IF(EDATE(_xlfn.MAXIFS(Acuses!$D$5:$D$3004,Acuses!$A$5:$A$3004,$A48,Acuses!$B$5:$B$3004,F$4,Acuses!$C$5:$C$3004,F$5),F$8)&lt;Resumen!$C$4+30,"Caduca pronto","OK"))))))</f>
        <v/>
      </c>
      <c r="G48" s="26" t="str">
        <f aca="false">IF(OR($A48="",G$4=""),"",IF(NOT(OR(G$6="Toda la plantilla",ISNUMBER(SEARCH(";"&amp;SUBSTITUTE($C48," ","")&amp;";",";"&amp;SUBSTITUTE(G$7," ","")&amp;";")))),"—",IF(_xlfn.MAXIFS(Acuses!$C$5:$C$3004,Acuses!$A$5:$A$3004,$A48,Acuses!$B$5:$B$3004,G$4)&lt;G$5,"Pendiente",IF(G$8=0,"OK",IF(EDATE(_xlfn.MAXIFS(Acuses!$D$5:$D$3004,Acuses!$A$5:$A$3004,$A48,Acuses!$B$5:$B$3004,G$4,Acuses!$C$5:$C$3004,G$5),G$8)&lt;Resumen!$C$4,"Caducado",IF(EDATE(_xlfn.MAXIFS(Acuses!$D$5:$D$3004,Acuses!$A$5:$A$3004,$A48,Acuses!$B$5:$B$3004,G$4,Acuses!$C$5:$C$3004,G$5),G$8)&lt;Resumen!$C$4+30,"Caduca pronto","OK"))))))</f>
        <v/>
      </c>
      <c r="H48" s="26" t="str">
        <f aca="false">IF(OR($A48="",H$4=""),"",IF(NOT(OR(H$6="Toda la plantilla",ISNUMBER(SEARCH(";"&amp;SUBSTITUTE($C48," ","")&amp;";",";"&amp;SUBSTITUTE(H$7," ","")&amp;";")))),"—",IF(_xlfn.MAXIFS(Acuses!$C$5:$C$3004,Acuses!$A$5:$A$3004,$A48,Acuses!$B$5:$B$3004,H$4)&lt;H$5,"Pendiente",IF(H$8=0,"OK",IF(EDATE(_xlfn.MAXIFS(Acuses!$D$5:$D$3004,Acuses!$A$5:$A$3004,$A48,Acuses!$B$5:$B$3004,H$4,Acuses!$C$5:$C$3004,H$5),H$8)&lt;Resumen!$C$4,"Caducado",IF(EDATE(_xlfn.MAXIFS(Acuses!$D$5:$D$3004,Acuses!$A$5:$A$3004,$A48,Acuses!$B$5:$B$3004,H$4,Acuses!$C$5:$C$3004,H$5),H$8)&lt;Resumen!$C$4+30,"Caduca pronto","OK"))))))</f>
        <v/>
      </c>
      <c r="I48" s="26" t="str">
        <f aca="false">IF(OR($A48="",I$4=""),"",IF(NOT(OR(I$6="Toda la plantilla",ISNUMBER(SEARCH(";"&amp;SUBSTITUTE($C48," ","")&amp;";",";"&amp;SUBSTITUTE(I$7," ","")&amp;";")))),"—",IF(_xlfn.MAXIFS(Acuses!$C$5:$C$3004,Acuses!$A$5:$A$3004,$A48,Acuses!$B$5:$B$3004,I$4)&lt;I$5,"Pendiente",IF(I$8=0,"OK",IF(EDATE(_xlfn.MAXIFS(Acuses!$D$5:$D$3004,Acuses!$A$5:$A$3004,$A48,Acuses!$B$5:$B$3004,I$4,Acuses!$C$5:$C$3004,I$5),I$8)&lt;Resumen!$C$4,"Caducado",IF(EDATE(_xlfn.MAXIFS(Acuses!$D$5:$D$3004,Acuses!$A$5:$A$3004,$A48,Acuses!$B$5:$B$3004,I$4,Acuses!$C$5:$C$3004,I$5),I$8)&lt;Resumen!$C$4+30,"Caduca pronto","OK"))))))</f>
        <v/>
      </c>
      <c r="J48" s="26" t="str">
        <f aca="false">IF(OR($A48="",J$4=""),"",IF(NOT(OR(J$6="Toda la plantilla",ISNUMBER(SEARCH(";"&amp;SUBSTITUTE($C48," ","")&amp;";",";"&amp;SUBSTITUTE(J$7," ","")&amp;";")))),"—",IF(_xlfn.MAXIFS(Acuses!$C$5:$C$3004,Acuses!$A$5:$A$3004,$A48,Acuses!$B$5:$B$3004,J$4)&lt;J$5,"Pendiente",IF(J$8=0,"OK",IF(EDATE(_xlfn.MAXIFS(Acuses!$D$5:$D$3004,Acuses!$A$5:$A$3004,$A48,Acuses!$B$5:$B$3004,J$4,Acuses!$C$5:$C$3004,J$5),J$8)&lt;Resumen!$C$4,"Caducado",IF(EDATE(_xlfn.MAXIFS(Acuses!$D$5:$D$3004,Acuses!$A$5:$A$3004,$A48,Acuses!$B$5:$B$3004,J$4,Acuses!$C$5:$C$3004,J$5),J$8)&lt;Resumen!$C$4+30,"Caduca pronto","OK"))))))</f>
        <v/>
      </c>
      <c r="K48" s="26" t="str">
        <f aca="false">IF(OR($A48="",K$4=""),"",IF(NOT(OR(K$6="Toda la plantilla",ISNUMBER(SEARCH(";"&amp;SUBSTITUTE($C48," ","")&amp;";",";"&amp;SUBSTITUTE(K$7," ","")&amp;";")))),"—",IF(_xlfn.MAXIFS(Acuses!$C$5:$C$3004,Acuses!$A$5:$A$3004,$A48,Acuses!$B$5:$B$3004,K$4)&lt;K$5,"Pendiente",IF(K$8=0,"OK",IF(EDATE(_xlfn.MAXIFS(Acuses!$D$5:$D$3004,Acuses!$A$5:$A$3004,$A48,Acuses!$B$5:$B$3004,K$4,Acuses!$C$5:$C$3004,K$5),K$8)&lt;Resumen!$C$4,"Caducado",IF(EDATE(_xlfn.MAXIFS(Acuses!$D$5:$D$3004,Acuses!$A$5:$A$3004,$A48,Acuses!$B$5:$B$3004,K$4,Acuses!$C$5:$C$3004,K$5),K$8)&lt;Resumen!$C$4+30,"Caduca pronto","OK"))))))</f>
        <v/>
      </c>
      <c r="L48" s="26" t="str">
        <f aca="false">IF(OR($A48="",L$4=""),"",IF(NOT(OR(L$6="Toda la plantilla",ISNUMBER(SEARCH(";"&amp;SUBSTITUTE($C48," ","")&amp;";",";"&amp;SUBSTITUTE(L$7," ","")&amp;";")))),"—",IF(_xlfn.MAXIFS(Acuses!$C$5:$C$3004,Acuses!$A$5:$A$3004,$A48,Acuses!$B$5:$B$3004,L$4)&lt;L$5,"Pendiente",IF(L$8=0,"OK",IF(EDATE(_xlfn.MAXIFS(Acuses!$D$5:$D$3004,Acuses!$A$5:$A$3004,$A48,Acuses!$B$5:$B$3004,L$4,Acuses!$C$5:$C$3004,L$5),L$8)&lt;Resumen!$C$4,"Caducado",IF(EDATE(_xlfn.MAXIFS(Acuses!$D$5:$D$3004,Acuses!$A$5:$A$3004,$A48,Acuses!$B$5:$B$3004,L$4,Acuses!$C$5:$C$3004,L$5),L$8)&lt;Resumen!$C$4+30,"Caduca pronto","OK"))))))</f>
        <v/>
      </c>
      <c r="M48" s="26" t="str">
        <f aca="false">IF(OR($A48="",M$4=""),"",IF(NOT(OR(M$6="Toda la plantilla",ISNUMBER(SEARCH(";"&amp;SUBSTITUTE($C48," ","")&amp;";",";"&amp;SUBSTITUTE(M$7," ","")&amp;";")))),"—",IF(_xlfn.MAXIFS(Acuses!$C$5:$C$3004,Acuses!$A$5:$A$3004,$A48,Acuses!$B$5:$B$3004,M$4)&lt;M$5,"Pendiente",IF(M$8=0,"OK",IF(EDATE(_xlfn.MAXIFS(Acuses!$D$5:$D$3004,Acuses!$A$5:$A$3004,$A48,Acuses!$B$5:$B$3004,M$4,Acuses!$C$5:$C$3004,M$5),M$8)&lt;Resumen!$C$4,"Caducado",IF(EDATE(_xlfn.MAXIFS(Acuses!$D$5:$D$3004,Acuses!$A$5:$A$3004,$A48,Acuses!$B$5:$B$3004,M$4,Acuses!$C$5:$C$3004,M$5),M$8)&lt;Resumen!$C$4+30,"Caduca pronto","OK"))))))</f>
        <v/>
      </c>
      <c r="N48" s="26" t="str">
        <f aca="false">IF(OR($A48="",N$4=""),"",IF(NOT(OR(N$6="Toda la plantilla",ISNUMBER(SEARCH(";"&amp;SUBSTITUTE($C48," ","")&amp;";",";"&amp;SUBSTITUTE(N$7," ","")&amp;";")))),"—",IF(_xlfn.MAXIFS(Acuses!$C$5:$C$3004,Acuses!$A$5:$A$3004,$A48,Acuses!$B$5:$B$3004,N$4)&lt;N$5,"Pendiente",IF(N$8=0,"OK",IF(EDATE(_xlfn.MAXIFS(Acuses!$D$5:$D$3004,Acuses!$A$5:$A$3004,$A48,Acuses!$B$5:$B$3004,N$4,Acuses!$C$5:$C$3004,N$5),N$8)&lt;Resumen!$C$4,"Caducado",IF(EDATE(_xlfn.MAXIFS(Acuses!$D$5:$D$3004,Acuses!$A$5:$A$3004,$A48,Acuses!$B$5:$B$3004,N$4,Acuses!$C$5:$C$3004,N$5),N$8)&lt;Resumen!$C$4+30,"Caduca pronto","OK"))))))</f>
        <v/>
      </c>
      <c r="O48" s="26" t="str">
        <f aca="false">IF(OR($A48="",O$4=""),"",IF(NOT(OR(O$6="Toda la plantilla",ISNUMBER(SEARCH(";"&amp;SUBSTITUTE($C48," ","")&amp;";",";"&amp;SUBSTITUTE(O$7," ","")&amp;";")))),"—",IF(_xlfn.MAXIFS(Acuses!$C$5:$C$3004,Acuses!$A$5:$A$3004,$A48,Acuses!$B$5:$B$3004,O$4)&lt;O$5,"Pendiente",IF(O$8=0,"OK",IF(EDATE(_xlfn.MAXIFS(Acuses!$D$5:$D$3004,Acuses!$A$5:$A$3004,$A48,Acuses!$B$5:$B$3004,O$4,Acuses!$C$5:$C$3004,O$5),O$8)&lt;Resumen!$C$4,"Caducado",IF(EDATE(_xlfn.MAXIFS(Acuses!$D$5:$D$3004,Acuses!$A$5:$A$3004,$A48,Acuses!$B$5:$B$3004,O$4,Acuses!$C$5:$C$3004,O$5),O$8)&lt;Resumen!$C$4+30,"Caduca pronto","OK"))))))</f>
        <v/>
      </c>
      <c r="P48" s="26" t="str">
        <f aca="false">IF(OR($A48="",P$4=""),"",IF(NOT(OR(P$6="Toda la plantilla",ISNUMBER(SEARCH(";"&amp;SUBSTITUTE($C48," ","")&amp;";",";"&amp;SUBSTITUTE(P$7," ","")&amp;";")))),"—",IF(_xlfn.MAXIFS(Acuses!$C$5:$C$3004,Acuses!$A$5:$A$3004,$A48,Acuses!$B$5:$B$3004,P$4)&lt;P$5,"Pendiente",IF(P$8=0,"OK",IF(EDATE(_xlfn.MAXIFS(Acuses!$D$5:$D$3004,Acuses!$A$5:$A$3004,$A48,Acuses!$B$5:$B$3004,P$4,Acuses!$C$5:$C$3004,P$5),P$8)&lt;Resumen!$C$4,"Caducado",IF(EDATE(_xlfn.MAXIFS(Acuses!$D$5:$D$3004,Acuses!$A$5:$A$3004,$A48,Acuses!$B$5:$B$3004,P$4,Acuses!$C$5:$C$3004,P$5),P$8)&lt;Resumen!$C$4+30,"Caduca pronto","OK"))))))</f>
        <v/>
      </c>
      <c r="Q48" s="26" t="str">
        <f aca="false">IF(OR($A48="",Q$4=""),"",IF(NOT(OR(Q$6="Toda la plantilla",ISNUMBER(SEARCH(";"&amp;SUBSTITUTE($C48," ","")&amp;";",";"&amp;SUBSTITUTE(Q$7," ","")&amp;";")))),"—",IF(_xlfn.MAXIFS(Acuses!$C$5:$C$3004,Acuses!$A$5:$A$3004,$A48,Acuses!$B$5:$B$3004,Q$4)&lt;Q$5,"Pendiente",IF(Q$8=0,"OK",IF(EDATE(_xlfn.MAXIFS(Acuses!$D$5:$D$3004,Acuses!$A$5:$A$3004,$A48,Acuses!$B$5:$B$3004,Q$4,Acuses!$C$5:$C$3004,Q$5),Q$8)&lt;Resumen!$C$4,"Caducado",IF(EDATE(_xlfn.MAXIFS(Acuses!$D$5:$D$3004,Acuses!$A$5:$A$3004,$A48,Acuses!$B$5:$B$3004,Q$4,Acuses!$C$5:$C$3004,Q$5),Q$8)&lt;Resumen!$C$4+30,"Caduca pronto","OK"))))))</f>
        <v/>
      </c>
      <c r="R48" s="26" t="str">
        <f aca="false">IF(OR($A48="",R$4=""),"",IF(NOT(OR(R$6="Toda la plantilla",ISNUMBER(SEARCH(";"&amp;SUBSTITUTE($C48," ","")&amp;";",";"&amp;SUBSTITUTE(R$7," ","")&amp;";")))),"—",IF(_xlfn.MAXIFS(Acuses!$C$5:$C$3004,Acuses!$A$5:$A$3004,$A48,Acuses!$B$5:$B$3004,R$4)&lt;R$5,"Pendiente",IF(R$8=0,"OK",IF(EDATE(_xlfn.MAXIFS(Acuses!$D$5:$D$3004,Acuses!$A$5:$A$3004,$A48,Acuses!$B$5:$B$3004,R$4,Acuses!$C$5:$C$3004,R$5),R$8)&lt;Resumen!$C$4,"Caducado",IF(EDATE(_xlfn.MAXIFS(Acuses!$D$5:$D$3004,Acuses!$A$5:$A$3004,$A48,Acuses!$B$5:$B$3004,R$4,Acuses!$C$5:$C$3004,R$5),R$8)&lt;Resumen!$C$4+30,"Caduca pronto","OK"))))))</f>
        <v/>
      </c>
      <c r="S48" s="26" t="str">
        <f aca="false">IF(OR($A48="",S$4=""),"",IF(NOT(OR(S$6="Toda la plantilla",ISNUMBER(SEARCH(";"&amp;SUBSTITUTE($C48," ","")&amp;";",";"&amp;SUBSTITUTE(S$7," ","")&amp;";")))),"—",IF(_xlfn.MAXIFS(Acuses!$C$5:$C$3004,Acuses!$A$5:$A$3004,$A48,Acuses!$B$5:$B$3004,S$4)&lt;S$5,"Pendiente",IF(S$8=0,"OK",IF(EDATE(_xlfn.MAXIFS(Acuses!$D$5:$D$3004,Acuses!$A$5:$A$3004,$A48,Acuses!$B$5:$B$3004,S$4,Acuses!$C$5:$C$3004,S$5),S$8)&lt;Resumen!$C$4,"Caducado",IF(EDATE(_xlfn.MAXIFS(Acuses!$D$5:$D$3004,Acuses!$A$5:$A$3004,$A48,Acuses!$B$5:$B$3004,S$4,Acuses!$C$5:$C$3004,S$5),S$8)&lt;Resumen!$C$4+30,"Caduca pronto","OK"))))))</f>
        <v/>
      </c>
      <c r="T48" s="26" t="str">
        <f aca="false">IF(OR($A48="",T$4=""),"",IF(NOT(OR(T$6="Toda la plantilla",ISNUMBER(SEARCH(";"&amp;SUBSTITUTE($C48," ","")&amp;";",";"&amp;SUBSTITUTE(T$7," ","")&amp;";")))),"—",IF(_xlfn.MAXIFS(Acuses!$C$5:$C$3004,Acuses!$A$5:$A$3004,$A48,Acuses!$B$5:$B$3004,T$4)&lt;T$5,"Pendiente",IF(T$8=0,"OK",IF(EDATE(_xlfn.MAXIFS(Acuses!$D$5:$D$3004,Acuses!$A$5:$A$3004,$A48,Acuses!$B$5:$B$3004,T$4,Acuses!$C$5:$C$3004,T$5),T$8)&lt;Resumen!$C$4,"Caducado",IF(EDATE(_xlfn.MAXIFS(Acuses!$D$5:$D$3004,Acuses!$A$5:$A$3004,$A48,Acuses!$B$5:$B$3004,T$4,Acuses!$C$5:$C$3004,T$5),T$8)&lt;Resumen!$C$4+30,"Caduca pronto","OK"))))))</f>
        <v/>
      </c>
      <c r="U48" s="26" t="str">
        <f aca="false">IF(OR($A48="",U$4=""),"",IF(NOT(OR(U$6="Toda la plantilla",ISNUMBER(SEARCH(";"&amp;SUBSTITUTE($C48," ","")&amp;";",";"&amp;SUBSTITUTE(U$7," ","")&amp;";")))),"—",IF(_xlfn.MAXIFS(Acuses!$C$5:$C$3004,Acuses!$A$5:$A$3004,$A48,Acuses!$B$5:$B$3004,U$4)&lt;U$5,"Pendiente",IF(U$8=0,"OK",IF(EDATE(_xlfn.MAXIFS(Acuses!$D$5:$D$3004,Acuses!$A$5:$A$3004,$A48,Acuses!$B$5:$B$3004,U$4,Acuses!$C$5:$C$3004,U$5),U$8)&lt;Resumen!$C$4,"Caducado",IF(EDATE(_xlfn.MAXIFS(Acuses!$D$5:$D$3004,Acuses!$A$5:$A$3004,$A48,Acuses!$B$5:$B$3004,U$4,Acuses!$C$5:$C$3004,U$5),U$8)&lt;Resumen!$C$4+30,"Caduca pronto","OK"))))))</f>
        <v/>
      </c>
      <c r="V48" s="26" t="str">
        <f aca="false">IF(OR($A48="",V$4=""),"",IF(NOT(OR(V$6="Toda la plantilla",ISNUMBER(SEARCH(";"&amp;SUBSTITUTE($C48," ","")&amp;";",";"&amp;SUBSTITUTE(V$7," ","")&amp;";")))),"—",IF(_xlfn.MAXIFS(Acuses!$C$5:$C$3004,Acuses!$A$5:$A$3004,$A48,Acuses!$B$5:$B$3004,V$4)&lt;V$5,"Pendiente",IF(V$8=0,"OK",IF(EDATE(_xlfn.MAXIFS(Acuses!$D$5:$D$3004,Acuses!$A$5:$A$3004,$A48,Acuses!$B$5:$B$3004,V$4,Acuses!$C$5:$C$3004,V$5),V$8)&lt;Resumen!$C$4,"Caducado",IF(EDATE(_xlfn.MAXIFS(Acuses!$D$5:$D$3004,Acuses!$A$5:$A$3004,$A48,Acuses!$B$5:$B$3004,V$4,Acuses!$C$5:$C$3004,V$5),V$8)&lt;Resumen!$C$4+30,"Caduca pronto","OK"))))))</f>
        <v/>
      </c>
      <c r="W48" s="26" t="str">
        <f aca="false">IF(OR($A48="",W$4=""),"",IF(NOT(OR(W$6="Toda la plantilla",ISNUMBER(SEARCH(";"&amp;SUBSTITUTE($C48," ","")&amp;";",";"&amp;SUBSTITUTE(W$7," ","")&amp;";")))),"—",IF(_xlfn.MAXIFS(Acuses!$C$5:$C$3004,Acuses!$A$5:$A$3004,$A48,Acuses!$B$5:$B$3004,W$4)&lt;W$5,"Pendiente",IF(W$8=0,"OK",IF(EDATE(_xlfn.MAXIFS(Acuses!$D$5:$D$3004,Acuses!$A$5:$A$3004,$A48,Acuses!$B$5:$B$3004,W$4,Acuses!$C$5:$C$3004,W$5),W$8)&lt;Resumen!$C$4,"Caducado",IF(EDATE(_xlfn.MAXIFS(Acuses!$D$5:$D$3004,Acuses!$A$5:$A$3004,$A48,Acuses!$B$5:$B$3004,W$4,Acuses!$C$5:$C$3004,W$5),W$8)&lt;Resumen!$C$4+30,"Caduca pronto","OK"))))))</f>
        <v/>
      </c>
      <c r="X48" s="26" t="str">
        <f aca="false">IF(OR($A48="",X$4=""),"",IF(NOT(OR(X$6="Toda la plantilla",ISNUMBER(SEARCH(";"&amp;SUBSTITUTE($C48," ","")&amp;";",";"&amp;SUBSTITUTE(X$7," ","")&amp;";")))),"—",IF(_xlfn.MAXIFS(Acuses!$C$5:$C$3004,Acuses!$A$5:$A$3004,$A48,Acuses!$B$5:$B$3004,X$4)&lt;X$5,"Pendiente",IF(X$8=0,"OK",IF(EDATE(_xlfn.MAXIFS(Acuses!$D$5:$D$3004,Acuses!$A$5:$A$3004,$A48,Acuses!$B$5:$B$3004,X$4,Acuses!$C$5:$C$3004,X$5),X$8)&lt;Resumen!$C$4,"Caducado",IF(EDATE(_xlfn.MAXIFS(Acuses!$D$5:$D$3004,Acuses!$A$5:$A$3004,$A48,Acuses!$B$5:$B$3004,X$4,Acuses!$C$5:$C$3004,X$5),X$8)&lt;Resumen!$C$4+30,"Caduca pronto","OK"))))))</f>
        <v/>
      </c>
      <c r="Y48" s="26" t="str">
        <f aca="false">IF(OR($A48="",Y$4=""),"",IF(NOT(OR(Y$6="Toda la plantilla",ISNUMBER(SEARCH(";"&amp;SUBSTITUTE($C48," ","")&amp;";",";"&amp;SUBSTITUTE(Y$7," ","")&amp;";")))),"—",IF(_xlfn.MAXIFS(Acuses!$C$5:$C$3004,Acuses!$A$5:$A$3004,$A48,Acuses!$B$5:$B$3004,Y$4)&lt;Y$5,"Pendiente",IF(Y$8=0,"OK",IF(EDATE(_xlfn.MAXIFS(Acuses!$D$5:$D$3004,Acuses!$A$5:$A$3004,$A48,Acuses!$B$5:$B$3004,Y$4,Acuses!$C$5:$C$3004,Y$5),Y$8)&lt;Resumen!$C$4,"Caducado",IF(EDATE(_xlfn.MAXIFS(Acuses!$D$5:$D$3004,Acuses!$A$5:$A$3004,$A48,Acuses!$B$5:$B$3004,Y$4,Acuses!$C$5:$C$3004,Y$5),Y$8)&lt;Resumen!$C$4+30,"Caduca pronto","OK"))))))</f>
        <v/>
      </c>
      <c r="Z48" s="26" t="str">
        <f aca="false">IF(OR($A48="",Z$4=""),"",IF(NOT(OR(Z$6="Toda la plantilla",ISNUMBER(SEARCH(";"&amp;SUBSTITUTE($C48," ","")&amp;";",";"&amp;SUBSTITUTE(Z$7," ","")&amp;";")))),"—",IF(_xlfn.MAXIFS(Acuses!$C$5:$C$3004,Acuses!$A$5:$A$3004,$A48,Acuses!$B$5:$B$3004,Z$4)&lt;Z$5,"Pendiente",IF(Z$8=0,"OK",IF(EDATE(_xlfn.MAXIFS(Acuses!$D$5:$D$3004,Acuses!$A$5:$A$3004,$A48,Acuses!$B$5:$B$3004,Z$4,Acuses!$C$5:$C$3004,Z$5),Z$8)&lt;Resumen!$C$4,"Caducado",IF(EDATE(_xlfn.MAXIFS(Acuses!$D$5:$D$3004,Acuses!$A$5:$A$3004,$A48,Acuses!$B$5:$B$3004,Z$4,Acuses!$C$5:$C$3004,Z$5),Z$8)&lt;Resumen!$C$4+30,"Caduca pronto","OK"))))))</f>
        <v/>
      </c>
      <c r="AA48" s="26" t="str">
        <f aca="false">IF(OR($A48="",AA$4=""),"",IF(NOT(OR(AA$6="Toda la plantilla",ISNUMBER(SEARCH(";"&amp;SUBSTITUTE($C48," ","")&amp;";",";"&amp;SUBSTITUTE(AA$7," ","")&amp;";")))),"—",IF(_xlfn.MAXIFS(Acuses!$C$5:$C$3004,Acuses!$A$5:$A$3004,$A48,Acuses!$B$5:$B$3004,AA$4)&lt;AA$5,"Pendiente",IF(AA$8=0,"OK",IF(EDATE(_xlfn.MAXIFS(Acuses!$D$5:$D$3004,Acuses!$A$5:$A$3004,$A48,Acuses!$B$5:$B$3004,AA$4,Acuses!$C$5:$C$3004,AA$5),AA$8)&lt;Resumen!$C$4,"Caducado",IF(EDATE(_xlfn.MAXIFS(Acuses!$D$5:$D$3004,Acuses!$A$5:$A$3004,$A48,Acuses!$B$5:$B$3004,AA$4,Acuses!$C$5:$C$3004,AA$5),AA$8)&lt;Resumen!$C$4+30,"Caduca pronto","OK"))))))</f>
        <v/>
      </c>
      <c r="AB48" s="26" t="str">
        <f aca="false">IF(OR($A48="",AB$4=""),"",IF(NOT(OR(AB$6="Toda la plantilla",ISNUMBER(SEARCH(";"&amp;SUBSTITUTE($C48," ","")&amp;";",";"&amp;SUBSTITUTE(AB$7," ","")&amp;";")))),"—",IF(_xlfn.MAXIFS(Acuses!$C$5:$C$3004,Acuses!$A$5:$A$3004,$A48,Acuses!$B$5:$B$3004,AB$4)&lt;AB$5,"Pendiente",IF(AB$8=0,"OK",IF(EDATE(_xlfn.MAXIFS(Acuses!$D$5:$D$3004,Acuses!$A$5:$A$3004,$A48,Acuses!$B$5:$B$3004,AB$4,Acuses!$C$5:$C$3004,AB$5),AB$8)&lt;Resumen!$C$4,"Caducado",IF(EDATE(_xlfn.MAXIFS(Acuses!$D$5:$D$3004,Acuses!$A$5:$A$3004,$A48,Acuses!$B$5:$B$3004,AB$4,Acuses!$C$5:$C$3004,AB$5),AB$8)&lt;Resumen!$C$4+30,"Caduca pronto","OK"))))))</f>
        <v/>
      </c>
      <c r="AC48" s="26" t="str">
        <f aca="false">IF(OR($A48="",AC$4=""),"",IF(NOT(OR(AC$6="Toda la plantilla",ISNUMBER(SEARCH(";"&amp;SUBSTITUTE($C48," ","")&amp;";",";"&amp;SUBSTITUTE(AC$7," ","")&amp;";")))),"—",IF(_xlfn.MAXIFS(Acuses!$C$5:$C$3004,Acuses!$A$5:$A$3004,$A48,Acuses!$B$5:$B$3004,AC$4)&lt;AC$5,"Pendiente",IF(AC$8=0,"OK",IF(EDATE(_xlfn.MAXIFS(Acuses!$D$5:$D$3004,Acuses!$A$5:$A$3004,$A48,Acuses!$B$5:$B$3004,AC$4,Acuses!$C$5:$C$3004,AC$5),AC$8)&lt;Resumen!$C$4,"Caducado",IF(EDATE(_xlfn.MAXIFS(Acuses!$D$5:$D$3004,Acuses!$A$5:$A$3004,$A48,Acuses!$B$5:$B$3004,AC$4,Acuses!$C$5:$C$3004,AC$5),AC$8)&lt;Resumen!$C$4+30,"Caduca pronto","OK"))))))</f>
        <v/>
      </c>
      <c r="AD48" s="26" t="str">
        <f aca="false">IF(OR($A48="",AD$4=""),"",IF(NOT(OR(AD$6="Toda la plantilla",ISNUMBER(SEARCH(";"&amp;SUBSTITUTE($C48," ","")&amp;";",";"&amp;SUBSTITUTE(AD$7," ","")&amp;";")))),"—",IF(_xlfn.MAXIFS(Acuses!$C$5:$C$3004,Acuses!$A$5:$A$3004,$A48,Acuses!$B$5:$B$3004,AD$4)&lt;AD$5,"Pendiente",IF(AD$8=0,"OK",IF(EDATE(_xlfn.MAXIFS(Acuses!$D$5:$D$3004,Acuses!$A$5:$A$3004,$A48,Acuses!$B$5:$B$3004,AD$4,Acuses!$C$5:$C$3004,AD$5),AD$8)&lt;Resumen!$C$4,"Caducado",IF(EDATE(_xlfn.MAXIFS(Acuses!$D$5:$D$3004,Acuses!$A$5:$A$3004,$A48,Acuses!$B$5:$B$3004,AD$4,Acuses!$C$5:$C$3004,AD$5),AD$8)&lt;Resumen!$C$4+30,"Caduca pronto","OK"))))))</f>
        <v/>
      </c>
      <c r="AE48" s="26" t="str">
        <f aca="false">IF(OR($A48="",AE$4=""),"",IF(NOT(OR(AE$6="Toda la plantilla",ISNUMBER(SEARCH(";"&amp;SUBSTITUTE($C48," ","")&amp;";",";"&amp;SUBSTITUTE(AE$7," ","")&amp;";")))),"—",IF(_xlfn.MAXIFS(Acuses!$C$5:$C$3004,Acuses!$A$5:$A$3004,$A48,Acuses!$B$5:$B$3004,AE$4)&lt;AE$5,"Pendiente",IF(AE$8=0,"OK",IF(EDATE(_xlfn.MAXIFS(Acuses!$D$5:$D$3004,Acuses!$A$5:$A$3004,$A48,Acuses!$B$5:$B$3004,AE$4,Acuses!$C$5:$C$3004,AE$5),AE$8)&lt;Resumen!$C$4,"Caducado",IF(EDATE(_xlfn.MAXIFS(Acuses!$D$5:$D$3004,Acuses!$A$5:$A$3004,$A48,Acuses!$B$5:$B$3004,AE$4,Acuses!$C$5:$C$3004,AE$5),AE$8)&lt;Resumen!$C$4+30,"Caduca pronto","OK"))))))</f>
        <v/>
      </c>
      <c r="AF48" s="26" t="str">
        <f aca="false">IF(OR($A48="",AF$4=""),"",IF(NOT(OR(AF$6="Toda la plantilla",ISNUMBER(SEARCH(";"&amp;SUBSTITUTE($C48," ","")&amp;";",";"&amp;SUBSTITUTE(AF$7," ","")&amp;";")))),"—",IF(_xlfn.MAXIFS(Acuses!$C$5:$C$3004,Acuses!$A$5:$A$3004,$A48,Acuses!$B$5:$B$3004,AF$4)&lt;AF$5,"Pendiente",IF(AF$8=0,"OK",IF(EDATE(_xlfn.MAXIFS(Acuses!$D$5:$D$3004,Acuses!$A$5:$A$3004,$A48,Acuses!$B$5:$B$3004,AF$4,Acuses!$C$5:$C$3004,AF$5),AF$8)&lt;Resumen!$C$4,"Caducado",IF(EDATE(_xlfn.MAXIFS(Acuses!$D$5:$D$3004,Acuses!$A$5:$A$3004,$A48,Acuses!$B$5:$B$3004,AF$4,Acuses!$C$5:$C$3004,AF$5),AF$8)&lt;Resumen!$C$4+30,"Caduca pronto","OK"))))))</f>
        <v/>
      </c>
      <c r="AG48" s="26" t="str">
        <f aca="false">IF(OR($A48="",AG$4=""),"",IF(NOT(OR(AG$6="Toda la plantilla",ISNUMBER(SEARCH(";"&amp;SUBSTITUTE($C48," ","")&amp;";",";"&amp;SUBSTITUTE(AG$7," ","")&amp;";")))),"—",IF(_xlfn.MAXIFS(Acuses!$C$5:$C$3004,Acuses!$A$5:$A$3004,$A48,Acuses!$B$5:$B$3004,AG$4)&lt;AG$5,"Pendiente",IF(AG$8=0,"OK",IF(EDATE(_xlfn.MAXIFS(Acuses!$D$5:$D$3004,Acuses!$A$5:$A$3004,$A48,Acuses!$B$5:$B$3004,AG$4,Acuses!$C$5:$C$3004,AG$5),AG$8)&lt;Resumen!$C$4,"Caducado",IF(EDATE(_xlfn.MAXIFS(Acuses!$D$5:$D$3004,Acuses!$A$5:$A$3004,$A48,Acuses!$B$5:$B$3004,AG$4,Acuses!$C$5:$C$3004,AG$5),AG$8)&lt;Resumen!$C$4+30,"Caduca pronto","OK"))))))</f>
        <v/>
      </c>
      <c r="AH48" s="26" t="str">
        <f aca="false">IF(OR($A48="",AH$4=""),"",IF(NOT(OR(AH$6="Toda la plantilla",ISNUMBER(SEARCH(";"&amp;SUBSTITUTE($C48," ","")&amp;";",";"&amp;SUBSTITUTE(AH$7," ","")&amp;";")))),"—",IF(_xlfn.MAXIFS(Acuses!$C$5:$C$3004,Acuses!$A$5:$A$3004,$A48,Acuses!$B$5:$B$3004,AH$4)&lt;AH$5,"Pendiente",IF(AH$8=0,"OK",IF(EDATE(_xlfn.MAXIFS(Acuses!$D$5:$D$3004,Acuses!$A$5:$A$3004,$A48,Acuses!$B$5:$B$3004,AH$4,Acuses!$C$5:$C$3004,AH$5),AH$8)&lt;Resumen!$C$4,"Caducado",IF(EDATE(_xlfn.MAXIFS(Acuses!$D$5:$D$3004,Acuses!$A$5:$A$3004,$A48,Acuses!$B$5:$B$3004,AH$4,Acuses!$C$5:$C$3004,AH$5),AH$8)&lt;Resumen!$C$4+30,"Caduca pronto","OK"))))))</f>
        <v/>
      </c>
      <c r="AI48" s="26" t="str">
        <f aca="false">IF(OR($A48="",AI$4=""),"",IF(NOT(OR(AI$6="Toda la plantilla",ISNUMBER(SEARCH(";"&amp;SUBSTITUTE($C48," ","")&amp;";",";"&amp;SUBSTITUTE(AI$7," ","")&amp;";")))),"—",IF(_xlfn.MAXIFS(Acuses!$C$5:$C$3004,Acuses!$A$5:$A$3004,$A48,Acuses!$B$5:$B$3004,AI$4)&lt;AI$5,"Pendiente",IF(AI$8=0,"OK",IF(EDATE(_xlfn.MAXIFS(Acuses!$D$5:$D$3004,Acuses!$A$5:$A$3004,$A48,Acuses!$B$5:$B$3004,AI$4,Acuses!$C$5:$C$3004,AI$5),AI$8)&lt;Resumen!$C$4,"Caducado",IF(EDATE(_xlfn.MAXIFS(Acuses!$D$5:$D$3004,Acuses!$A$5:$A$3004,$A48,Acuses!$B$5:$B$3004,AI$4,Acuses!$C$5:$C$3004,AI$5),AI$8)&lt;Resumen!$C$4+30,"Caduca pronto","OK"))))))</f>
        <v/>
      </c>
      <c r="AJ48" s="26" t="str">
        <f aca="false">IF(OR($A48="",AJ$4=""),"",IF(NOT(OR(AJ$6="Toda la plantilla",ISNUMBER(SEARCH(";"&amp;SUBSTITUTE($C48," ","")&amp;";",";"&amp;SUBSTITUTE(AJ$7," ","")&amp;";")))),"—",IF(_xlfn.MAXIFS(Acuses!$C$5:$C$3004,Acuses!$A$5:$A$3004,$A48,Acuses!$B$5:$B$3004,AJ$4)&lt;AJ$5,"Pendiente",IF(AJ$8=0,"OK",IF(EDATE(_xlfn.MAXIFS(Acuses!$D$5:$D$3004,Acuses!$A$5:$A$3004,$A48,Acuses!$B$5:$B$3004,AJ$4,Acuses!$C$5:$C$3004,AJ$5),AJ$8)&lt;Resumen!$C$4,"Caducado",IF(EDATE(_xlfn.MAXIFS(Acuses!$D$5:$D$3004,Acuses!$A$5:$A$3004,$A48,Acuses!$B$5:$B$3004,AJ$4,Acuses!$C$5:$C$3004,AJ$5),AJ$8)&lt;Resumen!$C$4+30,"Caduca pronto","OK"))))))</f>
        <v/>
      </c>
      <c r="AK48" s="26" t="str">
        <f aca="false">IF(OR($A48="",AK$4=""),"",IF(NOT(OR(AK$6="Toda la plantilla",ISNUMBER(SEARCH(";"&amp;SUBSTITUTE($C48," ","")&amp;";",";"&amp;SUBSTITUTE(AK$7," ","")&amp;";")))),"—",IF(_xlfn.MAXIFS(Acuses!$C$5:$C$3004,Acuses!$A$5:$A$3004,$A48,Acuses!$B$5:$B$3004,AK$4)&lt;AK$5,"Pendiente",IF(AK$8=0,"OK",IF(EDATE(_xlfn.MAXIFS(Acuses!$D$5:$D$3004,Acuses!$A$5:$A$3004,$A48,Acuses!$B$5:$B$3004,AK$4,Acuses!$C$5:$C$3004,AK$5),AK$8)&lt;Resumen!$C$4,"Caducado",IF(EDATE(_xlfn.MAXIFS(Acuses!$D$5:$D$3004,Acuses!$A$5:$A$3004,$A48,Acuses!$B$5:$B$3004,AK$4,Acuses!$C$5:$C$3004,AK$5),AK$8)&lt;Resumen!$C$4+30,"Caduca pronto","OK"))))))</f>
        <v/>
      </c>
      <c r="AL48" s="26" t="str">
        <f aca="false">IF(OR($A48="",AL$4=""),"",IF(NOT(OR(AL$6="Toda la plantilla",ISNUMBER(SEARCH(";"&amp;SUBSTITUTE($C48," ","")&amp;";",";"&amp;SUBSTITUTE(AL$7," ","")&amp;";")))),"—",IF(_xlfn.MAXIFS(Acuses!$C$5:$C$3004,Acuses!$A$5:$A$3004,$A48,Acuses!$B$5:$B$3004,AL$4)&lt;AL$5,"Pendiente",IF(AL$8=0,"OK",IF(EDATE(_xlfn.MAXIFS(Acuses!$D$5:$D$3004,Acuses!$A$5:$A$3004,$A48,Acuses!$B$5:$B$3004,AL$4,Acuses!$C$5:$C$3004,AL$5),AL$8)&lt;Resumen!$C$4,"Caducado",IF(EDATE(_xlfn.MAXIFS(Acuses!$D$5:$D$3004,Acuses!$A$5:$A$3004,$A48,Acuses!$B$5:$B$3004,AL$4,Acuses!$C$5:$C$3004,AL$5),AL$8)&lt;Resumen!$C$4+30,"Caduca pronto","OK"))))))</f>
        <v/>
      </c>
      <c r="AM48" s="26" t="str">
        <f aca="false">IF(OR($A48="",AM$4=""),"",IF(NOT(OR(AM$6="Toda la plantilla",ISNUMBER(SEARCH(";"&amp;SUBSTITUTE($C48," ","")&amp;";",";"&amp;SUBSTITUTE(AM$7," ","")&amp;";")))),"—",IF(_xlfn.MAXIFS(Acuses!$C$5:$C$3004,Acuses!$A$5:$A$3004,$A48,Acuses!$B$5:$B$3004,AM$4)&lt;AM$5,"Pendiente",IF(AM$8=0,"OK",IF(EDATE(_xlfn.MAXIFS(Acuses!$D$5:$D$3004,Acuses!$A$5:$A$3004,$A48,Acuses!$B$5:$B$3004,AM$4,Acuses!$C$5:$C$3004,AM$5),AM$8)&lt;Resumen!$C$4,"Caducado",IF(EDATE(_xlfn.MAXIFS(Acuses!$D$5:$D$3004,Acuses!$A$5:$A$3004,$A48,Acuses!$B$5:$B$3004,AM$4,Acuses!$C$5:$C$3004,AM$5),AM$8)&lt;Resumen!$C$4+30,"Caduca pronto","OK"))))))</f>
        <v/>
      </c>
      <c r="AN48" s="26" t="str">
        <f aca="false">IF(OR($A48="",AN$4=""),"",IF(NOT(OR(AN$6="Toda la plantilla",ISNUMBER(SEARCH(";"&amp;SUBSTITUTE($C48," ","")&amp;";",";"&amp;SUBSTITUTE(AN$7," ","")&amp;";")))),"—",IF(_xlfn.MAXIFS(Acuses!$C$5:$C$3004,Acuses!$A$5:$A$3004,$A48,Acuses!$B$5:$B$3004,AN$4)&lt;AN$5,"Pendiente",IF(AN$8=0,"OK",IF(EDATE(_xlfn.MAXIFS(Acuses!$D$5:$D$3004,Acuses!$A$5:$A$3004,$A48,Acuses!$B$5:$B$3004,AN$4,Acuses!$C$5:$C$3004,AN$5),AN$8)&lt;Resumen!$C$4,"Caducado",IF(EDATE(_xlfn.MAXIFS(Acuses!$D$5:$D$3004,Acuses!$A$5:$A$3004,$A48,Acuses!$B$5:$B$3004,AN$4,Acuses!$C$5:$C$3004,AN$5),AN$8)&lt;Resumen!$C$4+30,"Caduca pronto","OK"))))))</f>
        <v/>
      </c>
      <c r="AO48" s="26" t="str">
        <f aca="false">IF(OR($A48="",AO$4=""),"",IF(NOT(OR(AO$6="Toda la plantilla",ISNUMBER(SEARCH(";"&amp;SUBSTITUTE($C48," ","")&amp;";",";"&amp;SUBSTITUTE(AO$7," ","")&amp;";")))),"—",IF(_xlfn.MAXIFS(Acuses!$C$5:$C$3004,Acuses!$A$5:$A$3004,$A48,Acuses!$B$5:$B$3004,AO$4)&lt;AO$5,"Pendiente",IF(AO$8=0,"OK",IF(EDATE(_xlfn.MAXIFS(Acuses!$D$5:$D$3004,Acuses!$A$5:$A$3004,$A48,Acuses!$B$5:$B$3004,AO$4,Acuses!$C$5:$C$3004,AO$5),AO$8)&lt;Resumen!$C$4,"Caducado",IF(EDATE(_xlfn.MAXIFS(Acuses!$D$5:$D$3004,Acuses!$A$5:$A$3004,$A48,Acuses!$B$5:$B$3004,AO$4,Acuses!$C$5:$C$3004,AO$5),AO$8)&lt;Resumen!$C$4+30,"Caduca pronto","OK"))))))</f>
        <v/>
      </c>
      <c r="AP48" s="26" t="str">
        <f aca="false">IF(OR($A48="",AP$4=""),"",IF(NOT(OR(AP$6="Toda la plantilla",ISNUMBER(SEARCH(";"&amp;SUBSTITUTE($C48," ","")&amp;";",";"&amp;SUBSTITUTE(AP$7," ","")&amp;";")))),"—",IF(_xlfn.MAXIFS(Acuses!$C$5:$C$3004,Acuses!$A$5:$A$3004,$A48,Acuses!$B$5:$B$3004,AP$4)&lt;AP$5,"Pendiente",IF(AP$8=0,"OK",IF(EDATE(_xlfn.MAXIFS(Acuses!$D$5:$D$3004,Acuses!$A$5:$A$3004,$A48,Acuses!$B$5:$B$3004,AP$4,Acuses!$C$5:$C$3004,AP$5),AP$8)&lt;Resumen!$C$4,"Caducado",IF(EDATE(_xlfn.MAXIFS(Acuses!$D$5:$D$3004,Acuses!$A$5:$A$3004,$A48,Acuses!$B$5:$B$3004,AP$4,Acuses!$C$5:$C$3004,AP$5),AP$8)&lt;Resumen!$C$4+30,"Caduca pronto","OK"))))))</f>
        <v/>
      </c>
      <c r="AQ48" s="26" t="str">
        <f aca="false">IF(OR($A48="",AQ$4=""),"",IF(NOT(OR(AQ$6="Toda la plantilla",ISNUMBER(SEARCH(";"&amp;SUBSTITUTE($C48," ","")&amp;";",";"&amp;SUBSTITUTE(AQ$7," ","")&amp;";")))),"—",IF(_xlfn.MAXIFS(Acuses!$C$5:$C$3004,Acuses!$A$5:$A$3004,$A48,Acuses!$B$5:$B$3004,AQ$4)&lt;AQ$5,"Pendiente",IF(AQ$8=0,"OK",IF(EDATE(_xlfn.MAXIFS(Acuses!$D$5:$D$3004,Acuses!$A$5:$A$3004,$A48,Acuses!$B$5:$B$3004,AQ$4,Acuses!$C$5:$C$3004,AQ$5),AQ$8)&lt;Resumen!$C$4,"Caducado",IF(EDATE(_xlfn.MAXIFS(Acuses!$D$5:$D$3004,Acuses!$A$5:$A$3004,$A48,Acuses!$B$5:$B$3004,AQ$4,Acuses!$C$5:$C$3004,AQ$5),AQ$8)&lt;Resumen!$C$4+30,"Caduca pronto","OK"))))))</f>
        <v/>
      </c>
    </row>
    <row r="49" customFormat="false" ht="15" hidden="false" customHeight="false" outlineLevel="0" collapsed="false">
      <c r="A49" s="25" t="str">
        <f aca="false">IF(AND(Trabajadores!$A$44&lt;&gt;"",Trabajadores!$G$44&lt;&gt;"No"),Trabajadores!$A$44,"")</f>
        <v/>
      </c>
      <c r="B49" s="25" t="str">
        <f aca="false">IF($A49="","",Trabajadores!$B$44)</f>
        <v/>
      </c>
      <c r="C49" s="25" t="str">
        <f aca="false">IF($A49="","",Trabajadores!$C$44)</f>
        <v/>
      </c>
      <c r="D49" s="26" t="str">
        <f aca="false">IF(OR($A49="",D$4=""),"",IF(NOT(OR(D$6="Toda la plantilla",ISNUMBER(SEARCH(";"&amp;SUBSTITUTE($C49," ","")&amp;";",";"&amp;SUBSTITUTE(D$7," ","")&amp;";")))),"—",IF(_xlfn.MAXIFS(Acuses!$C$5:$C$3004,Acuses!$A$5:$A$3004,$A49,Acuses!$B$5:$B$3004,D$4)&lt;D$5,"Pendiente",IF(D$8=0,"OK",IF(EDATE(_xlfn.MAXIFS(Acuses!$D$5:$D$3004,Acuses!$A$5:$A$3004,$A49,Acuses!$B$5:$B$3004,D$4,Acuses!$C$5:$C$3004,D$5),D$8)&lt;Resumen!$C$4,"Caducado",IF(EDATE(_xlfn.MAXIFS(Acuses!$D$5:$D$3004,Acuses!$A$5:$A$3004,$A49,Acuses!$B$5:$B$3004,D$4,Acuses!$C$5:$C$3004,D$5),D$8)&lt;Resumen!$C$4+30,"Caduca pronto","OK"))))))</f>
        <v/>
      </c>
      <c r="E49" s="26" t="str">
        <f aca="false">IF(OR($A49="",E$4=""),"",IF(NOT(OR(E$6="Toda la plantilla",ISNUMBER(SEARCH(";"&amp;SUBSTITUTE($C49," ","")&amp;";",";"&amp;SUBSTITUTE(E$7," ","")&amp;";")))),"—",IF(_xlfn.MAXIFS(Acuses!$C$5:$C$3004,Acuses!$A$5:$A$3004,$A49,Acuses!$B$5:$B$3004,E$4)&lt;E$5,"Pendiente",IF(E$8=0,"OK",IF(EDATE(_xlfn.MAXIFS(Acuses!$D$5:$D$3004,Acuses!$A$5:$A$3004,$A49,Acuses!$B$5:$B$3004,E$4,Acuses!$C$5:$C$3004,E$5),E$8)&lt;Resumen!$C$4,"Caducado",IF(EDATE(_xlfn.MAXIFS(Acuses!$D$5:$D$3004,Acuses!$A$5:$A$3004,$A49,Acuses!$B$5:$B$3004,E$4,Acuses!$C$5:$C$3004,E$5),E$8)&lt;Resumen!$C$4+30,"Caduca pronto","OK"))))))</f>
        <v/>
      </c>
      <c r="F49" s="26" t="str">
        <f aca="false">IF(OR($A49="",F$4=""),"",IF(NOT(OR(F$6="Toda la plantilla",ISNUMBER(SEARCH(";"&amp;SUBSTITUTE($C49," ","")&amp;";",";"&amp;SUBSTITUTE(F$7," ","")&amp;";")))),"—",IF(_xlfn.MAXIFS(Acuses!$C$5:$C$3004,Acuses!$A$5:$A$3004,$A49,Acuses!$B$5:$B$3004,F$4)&lt;F$5,"Pendiente",IF(F$8=0,"OK",IF(EDATE(_xlfn.MAXIFS(Acuses!$D$5:$D$3004,Acuses!$A$5:$A$3004,$A49,Acuses!$B$5:$B$3004,F$4,Acuses!$C$5:$C$3004,F$5),F$8)&lt;Resumen!$C$4,"Caducado",IF(EDATE(_xlfn.MAXIFS(Acuses!$D$5:$D$3004,Acuses!$A$5:$A$3004,$A49,Acuses!$B$5:$B$3004,F$4,Acuses!$C$5:$C$3004,F$5),F$8)&lt;Resumen!$C$4+30,"Caduca pronto","OK"))))))</f>
        <v/>
      </c>
      <c r="G49" s="26" t="str">
        <f aca="false">IF(OR($A49="",G$4=""),"",IF(NOT(OR(G$6="Toda la plantilla",ISNUMBER(SEARCH(";"&amp;SUBSTITUTE($C49," ","")&amp;";",";"&amp;SUBSTITUTE(G$7," ","")&amp;";")))),"—",IF(_xlfn.MAXIFS(Acuses!$C$5:$C$3004,Acuses!$A$5:$A$3004,$A49,Acuses!$B$5:$B$3004,G$4)&lt;G$5,"Pendiente",IF(G$8=0,"OK",IF(EDATE(_xlfn.MAXIFS(Acuses!$D$5:$D$3004,Acuses!$A$5:$A$3004,$A49,Acuses!$B$5:$B$3004,G$4,Acuses!$C$5:$C$3004,G$5),G$8)&lt;Resumen!$C$4,"Caducado",IF(EDATE(_xlfn.MAXIFS(Acuses!$D$5:$D$3004,Acuses!$A$5:$A$3004,$A49,Acuses!$B$5:$B$3004,G$4,Acuses!$C$5:$C$3004,G$5),G$8)&lt;Resumen!$C$4+30,"Caduca pronto","OK"))))))</f>
        <v/>
      </c>
      <c r="H49" s="26" t="str">
        <f aca="false">IF(OR($A49="",H$4=""),"",IF(NOT(OR(H$6="Toda la plantilla",ISNUMBER(SEARCH(";"&amp;SUBSTITUTE($C49," ","")&amp;";",";"&amp;SUBSTITUTE(H$7," ","")&amp;";")))),"—",IF(_xlfn.MAXIFS(Acuses!$C$5:$C$3004,Acuses!$A$5:$A$3004,$A49,Acuses!$B$5:$B$3004,H$4)&lt;H$5,"Pendiente",IF(H$8=0,"OK",IF(EDATE(_xlfn.MAXIFS(Acuses!$D$5:$D$3004,Acuses!$A$5:$A$3004,$A49,Acuses!$B$5:$B$3004,H$4,Acuses!$C$5:$C$3004,H$5),H$8)&lt;Resumen!$C$4,"Caducado",IF(EDATE(_xlfn.MAXIFS(Acuses!$D$5:$D$3004,Acuses!$A$5:$A$3004,$A49,Acuses!$B$5:$B$3004,H$4,Acuses!$C$5:$C$3004,H$5),H$8)&lt;Resumen!$C$4+30,"Caduca pronto","OK"))))))</f>
        <v/>
      </c>
      <c r="I49" s="26" t="str">
        <f aca="false">IF(OR($A49="",I$4=""),"",IF(NOT(OR(I$6="Toda la plantilla",ISNUMBER(SEARCH(";"&amp;SUBSTITUTE($C49," ","")&amp;";",";"&amp;SUBSTITUTE(I$7," ","")&amp;";")))),"—",IF(_xlfn.MAXIFS(Acuses!$C$5:$C$3004,Acuses!$A$5:$A$3004,$A49,Acuses!$B$5:$B$3004,I$4)&lt;I$5,"Pendiente",IF(I$8=0,"OK",IF(EDATE(_xlfn.MAXIFS(Acuses!$D$5:$D$3004,Acuses!$A$5:$A$3004,$A49,Acuses!$B$5:$B$3004,I$4,Acuses!$C$5:$C$3004,I$5),I$8)&lt;Resumen!$C$4,"Caducado",IF(EDATE(_xlfn.MAXIFS(Acuses!$D$5:$D$3004,Acuses!$A$5:$A$3004,$A49,Acuses!$B$5:$B$3004,I$4,Acuses!$C$5:$C$3004,I$5),I$8)&lt;Resumen!$C$4+30,"Caduca pronto","OK"))))))</f>
        <v/>
      </c>
      <c r="J49" s="26" t="str">
        <f aca="false">IF(OR($A49="",J$4=""),"",IF(NOT(OR(J$6="Toda la plantilla",ISNUMBER(SEARCH(";"&amp;SUBSTITUTE($C49," ","")&amp;";",";"&amp;SUBSTITUTE(J$7," ","")&amp;";")))),"—",IF(_xlfn.MAXIFS(Acuses!$C$5:$C$3004,Acuses!$A$5:$A$3004,$A49,Acuses!$B$5:$B$3004,J$4)&lt;J$5,"Pendiente",IF(J$8=0,"OK",IF(EDATE(_xlfn.MAXIFS(Acuses!$D$5:$D$3004,Acuses!$A$5:$A$3004,$A49,Acuses!$B$5:$B$3004,J$4,Acuses!$C$5:$C$3004,J$5),J$8)&lt;Resumen!$C$4,"Caducado",IF(EDATE(_xlfn.MAXIFS(Acuses!$D$5:$D$3004,Acuses!$A$5:$A$3004,$A49,Acuses!$B$5:$B$3004,J$4,Acuses!$C$5:$C$3004,J$5),J$8)&lt;Resumen!$C$4+30,"Caduca pronto","OK"))))))</f>
        <v/>
      </c>
      <c r="K49" s="26" t="str">
        <f aca="false">IF(OR($A49="",K$4=""),"",IF(NOT(OR(K$6="Toda la plantilla",ISNUMBER(SEARCH(";"&amp;SUBSTITUTE($C49," ","")&amp;";",";"&amp;SUBSTITUTE(K$7," ","")&amp;";")))),"—",IF(_xlfn.MAXIFS(Acuses!$C$5:$C$3004,Acuses!$A$5:$A$3004,$A49,Acuses!$B$5:$B$3004,K$4)&lt;K$5,"Pendiente",IF(K$8=0,"OK",IF(EDATE(_xlfn.MAXIFS(Acuses!$D$5:$D$3004,Acuses!$A$5:$A$3004,$A49,Acuses!$B$5:$B$3004,K$4,Acuses!$C$5:$C$3004,K$5),K$8)&lt;Resumen!$C$4,"Caducado",IF(EDATE(_xlfn.MAXIFS(Acuses!$D$5:$D$3004,Acuses!$A$5:$A$3004,$A49,Acuses!$B$5:$B$3004,K$4,Acuses!$C$5:$C$3004,K$5),K$8)&lt;Resumen!$C$4+30,"Caduca pronto","OK"))))))</f>
        <v/>
      </c>
      <c r="L49" s="26" t="str">
        <f aca="false">IF(OR($A49="",L$4=""),"",IF(NOT(OR(L$6="Toda la plantilla",ISNUMBER(SEARCH(";"&amp;SUBSTITUTE($C49," ","")&amp;";",";"&amp;SUBSTITUTE(L$7," ","")&amp;";")))),"—",IF(_xlfn.MAXIFS(Acuses!$C$5:$C$3004,Acuses!$A$5:$A$3004,$A49,Acuses!$B$5:$B$3004,L$4)&lt;L$5,"Pendiente",IF(L$8=0,"OK",IF(EDATE(_xlfn.MAXIFS(Acuses!$D$5:$D$3004,Acuses!$A$5:$A$3004,$A49,Acuses!$B$5:$B$3004,L$4,Acuses!$C$5:$C$3004,L$5),L$8)&lt;Resumen!$C$4,"Caducado",IF(EDATE(_xlfn.MAXIFS(Acuses!$D$5:$D$3004,Acuses!$A$5:$A$3004,$A49,Acuses!$B$5:$B$3004,L$4,Acuses!$C$5:$C$3004,L$5),L$8)&lt;Resumen!$C$4+30,"Caduca pronto","OK"))))))</f>
        <v/>
      </c>
      <c r="M49" s="26" t="str">
        <f aca="false">IF(OR($A49="",M$4=""),"",IF(NOT(OR(M$6="Toda la plantilla",ISNUMBER(SEARCH(";"&amp;SUBSTITUTE($C49," ","")&amp;";",";"&amp;SUBSTITUTE(M$7," ","")&amp;";")))),"—",IF(_xlfn.MAXIFS(Acuses!$C$5:$C$3004,Acuses!$A$5:$A$3004,$A49,Acuses!$B$5:$B$3004,M$4)&lt;M$5,"Pendiente",IF(M$8=0,"OK",IF(EDATE(_xlfn.MAXIFS(Acuses!$D$5:$D$3004,Acuses!$A$5:$A$3004,$A49,Acuses!$B$5:$B$3004,M$4,Acuses!$C$5:$C$3004,M$5),M$8)&lt;Resumen!$C$4,"Caducado",IF(EDATE(_xlfn.MAXIFS(Acuses!$D$5:$D$3004,Acuses!$A$5:$A$3004,$A49,Acuses!$B$5:$B$3004,M$4,Acuses!$C$5:$C$3004,M$5),M$8)&lt;Resumen!$C$4+30,"Caduca pronto","OK"))))))</f>
        <v/>
      </c>
      <c r="N49" s="26" t="str">
        <f aca="false">IF(OR($A49="",N$4=""),"",IF(NOT(OR(N$6="Toda la plantilla",ISNUMBER(SEARCH(";"&amp;SUBSTITUTE($C49," ","")&amp;";",";"&amp;SUBSTITUTE(N$7," ","")&amp;";")))),"—",IF(_xlfn.MAXIFS(Acuses!$C$5:$C$3004,Acuses!$A$5:$A$3004,$A49,Acuses!$B$5:$B$3004,N$4)&lt;N$5,"Pendiente",IF(N$8=0,"OK",IF(EDATE(_xlfn.MAXIFS(Acuses!$D$5:$D$3004,Acuses!$A$5:$A$3004,$A49,Acuses!$B$5:$B$3004,N$4,Acuses!$C$5:$C$3004,N$5),N$8)&lt;Resumen!$C$4,"Caducado",IF(EDATE(_xlfn.MAXIFS(Acuses!$D$5:$D$3004,Acuses!$A$5:$A$3004,$A49,Acuses!$B$5:$B$3004,N$4,Acuses!$C$5:$C$3004,N$5),N$8)&lt;Resumen!$C$4+30,"Caduca pronto","OK"))))))</f>
        <v/>
      </c>
      <c r="O49" s="26" t="str">
        <f aca="false">IF(OR($A49="",O$4=""),"",IF(NOT(OR(O$6="Toda la plantilla",ISNUMBER(SEARCH(";"&amp;SUBSTITUTE($C49," ","")&amp;";",";"&amp;SUBSTITUTE(O$7," ","")&amp;";")))),"—",IF(_xlfn.MAXIFS(Acuses!$C$5:$C$3004,Acuses!$A$5:$A$3004,$A49,Acuses!$B$5:$B$3004,O$4)&lt;O$5,"Pendiente",IF(O$8=0,"OK",IF(EDATE(_xlfn.MAXIFS(Acuses!$D$5:$D$3004,Acuses!$A$5:$A$3004,$A49,Acuses!$B$5:$B$3004,O$4,Acuses!$C$5:$C$3004,O$5),O$8)&lt;Resumen!$C$4,"Caducado",IF(EDATE(_xlfn.MAXIFS(Acuses!$D$5:$D$3004,Acuses!$A$5:$A$3004,$A49,Acuses!$B$5:$B$3004,O$4,Acuses!$C$5:$C$3004,O$5),O$8)&lt;Resumen!$C$4+30,"Caduca pronto","OK"))))))</f>
        <v/>
      </c>
      <c r="P49" s="26" t="str">
        <f aca="false">IF(OR($A49="",P$4=""),"",IF(NOT(OR(P$6="Toda la plantilla",ISNUMBER(SEARCH(";"&amp;SUBSTITUTE($C49," ","")&amp;";",";"&amp;SUBSTITUTE(P$7," ","")&amp;";")))),"—",IF(_xlfn.MAXIFS(Acuses!$C$5:$C$3004,Acuses!$A$5:$A$3004,$A49,Acuses!$B$5:$B$3004,P$4)&lt;P$5,"Pendiente",IF(P$8=0,"OK",IF(EDATE(_xlfn.MAXIFS(Acuses!$D$5:$D$3004,Acuses!$A$5:$A$3004,$A49,Acuses!$B$5:$B$3004,P$4,Acuses!$C$5:$C$3004,P$5),P$8)&lt;Resumen!$C$4,"Caducado",IF(EDATE(_xlfn.MAXIFS(Acuses!$D$5:$D$3004,Acuses!$A$5:$A$3004,$A49,Acuses!$B$5:$B$3004,P$4,Acuses!$C$5:$C$3004,P$5),P$8)&lt;Resumen!$C$4+30,"Caduca pronto","OK"))))))</f>
        <v/>
      </c>
      <c r="Q49" s="26" t="str">
        <f aca="false">IF(OR($A49="",Q$4=""),"",IF(NOT(OR(Q$6="Toda la plantilla",ISNUMBER(SEARCH(";"&amp;SUBSTITUTE($C49," ","")&amp;";",";"&amp;SUBSTITUTE(Q$7," ","")&amp;";")))),"—",IF(_xlfn.MAXIFS(Acuses!$C$5:$C$3004,Acuses!$A$5:$A$3004,$A49,Acuses!$B$5:$B$3004,Q$4)&lt;Q$5,"Pendiente",IF(Q$8=0,"OK",IF(EDATE(_xlfn.MAXIFS(Acuses!$D$5:$D$3004,Acuses!$A$5:$A$3004,$A49,Acuses!$B$5:$B$3004,Q$4,Acuses!$C$5:$C$3004,Q$5),Q$8)&lt;Resumen!$C$4,"Caducado",IF(EDATE(_xlfn.MAXIFS(Acuses!$D$5:$D$3004,Acuses!$A$5:$A$3004,$A49,Acuses!$B$5:$B$3004,Q$4,Acuses!$C$5:$C$3004,Q$5),Q$8)&lt;Resumen!$C$4+30,"Caduca pronto","OK"))))))</f>
        <v/>
      </c>
      <c r="R49" s="26" t="str">
        <f aca="false">IF(OR($A49="",R$4=""),"",IF(NOT(OR(R$6="Toda la plantilla",ISNUMBER(SEARCH(";"&amp;SUBSTITUTE($C49," ","")&amp;";",";"&amp;SUBSTITUTE(R$7," ","")&amp;";")))),"—",IF(_xlfn.MAXIFS(Acuses!$C$5:$C$3004,Acuses!$A$5:$A$3004,$A49,Acuses!$B$5:$B$3004,R$4)&lt;R$5,"Pendiente",IF(R$8=0,"OK",IF(EDATE(_xlfn.MAXIFS(Acuses!$D$5:$D$3004,Acuses!$A$5:$A$3004,$A49,Acuses!$B$5:$B$3004,R$4,Acuses!$C$5:$C$3004,R$5),R$8)&lt;Resumen!$C$4,"Caducado",IF(EDATE(_xlfn.MAXIFS(Acuses!$D$5:$D$3004,Acuses!$A$5:$A$3004,$A49,Acuses!$B$5:$B$3004,R$4,Acuses!$C$5:$C$3004,R$5),R$8)&lt;Resumen!$C$4+30,"Caduca pronto","OK"))))))</f>
        <v/>
      </c>
      <c r="S49" s="26" t="str">
        <f aca="false">IF(OR($A49="",S$4=""),"",IF(NOT(OR(S$6="Toda la plantilla",ISNUMBER(SEARCH(";"&amp;SUBSTITUTE($C49," ","")&amp;";",";"&amp;SUBSTITUTE(S$7," ","")&amp;";")))),"—",IF(_xlfn.MAXIFS(Acuses!$C$5:$C$3004,Acuses!$A$5:$A$3004,$A49,Acuses!$B$5:$B$3004,S$4)&lt;S$5,"Pendiente",IF(S$8=0,"OK",IF(EDATE(_xlfn.MAXIFS(Acuses!$D$5:$D$3004,Acuses!$A$5:$A$3004,$A49,Acuses!$B$5:$B$3004,S$4,Acuses!$C$5:$C$3004,S$5),S$8)&lt;Resumen!$C$4,"Caducado",IF(EDATE(_xlfn.MAXIFS(Acuses!$D$5:$D$3004,Acuses!$A$5:$A$3004,$A49,Acuses!$B$5:$B$3004,S$4,Acuses!$C$5:$C$3004,S$5),S$8)&lt;Resumen!$C$4+30,"Caduca pronto","OK"))))))</f>
        <v/>
      </c>
      <c r="T49" s="26" t="str">
        <f aca="false">IF(OR($A49="",T$4=""),"",IF(NOT(OR(T$6="Toda la plantilla",ISNUMBER(SEARCH(";"&amp;SUBSTITUTE($C49," ","")&amp;";",";"&amp;SUBSTITUTE(T$7," ","")&amp;";")))),"—",IF(_xlfn.MAXIFS(Acuses!$C$5:$C$3004,Acuses!$A$5:$A$3004,$A49,Acuses!$B$5:$B$3004,T$4)&lt;T$5,"Pendiente",IF(T$8=0,"OK",IF(EDATE(_xlfn.MAXIFS(Acuses!$D$5:$D$3004,Acuses!$A$5:$A$3004,$A49,Acuses!$B$5:$B$3004,T$4,Acuses!$C$5:$C$3004,T$5),T$8)&lt;Resumen!$C$4,"Caducado",IF(EDATE(_xlfn.MAXIFS(Acuses!$D$5:$D$3004,Acuses!$A$5:$A$3004,$A49,Acuses!$B$5:$B$3004,T$4,Acuses!$C$5:$C$3004,T$5),T$8)&lt;Resumen!$C$4+30,"Caduca pronto","OK"))))))</f>
        <v/>
      </c>
      <c r="U49" s="26" t="str">
        <f aca="false">IF(OR($A49="",U$4=""),"",IF(NOT(OR(U$6="Toda la plantilla",ISNUMBER(SEARCH(";"&amp;SUBSTITUTE($C49," ","")&amp;";",";"&amp;SUBSTITUTE(U$7," ","")&amp;";")))),"—",IF(_xlfn.MAXIFS(Acuses!$C$5:$C$3004,Acuses!$A$5:$A$3004,$A49,Acuses!$B$5:$B$3004,U$4)&lt;U$5,"Pendiente",IF(U$8=0,"OK",IF(EDATE(_xlfn.MAXIFS(Acuses!$D$5:$D$3004,Acuses!$A$5:$A$3004,$A49,Acuses!$B$5:$B$3004,U$4,Acuses!$C$5:$C$3004,U$5),U$8)&lt;Resumen!$C$4,"Caducado",IF(EDATE(_xlfn.MAXIFS(Acuses!$D$5:$D$3004,Acuses!$A$5:$A$3004,$A49,Acuses!$B$5:$B$3004,U$4,Acuses!$C$5:$C$3004,U$5),U$8)&lt;Resumen!$C$4+30,"Caduca pronto","OK"))))))</f>
        <v/>
      </c>
      <c r="V49" s="26" t="str">
        <f aca="false">IF(OR($A49="",V$4=""),"",IF(NOT(OR(V$6="Toda la plantilla",ISNUMBER(SEARCH(";"&amp;SUBSTITUTE($C49," ","")&amp;";",";"&amp;SUBSTITUTE(V$7," ","")&amp;";")))),"—",IF(_xlfn.MAXIFS(Acuses!$C$5:$C$3004,Acuses!$A$5:$A$3004,$A49,Acuses!$B$5:$B$3004,V$4)&lt;V$5,"Pendiente",IF(V$8=0,"OK",IF(EDATE(_xlfn.MAXIFS(Acuses!$D$5:$D$3004,Acuses!$A$5:$A$3004,$A49,Acuses!$B$5:$B$3004,V$4,Acuses!$C$5:$C$3004,V$5),V$8)&lt;Resumen!$C$4,"Caducado",IF(EDATE(_xlfn.MAXIFS(Acuses!$D$5:$D$3004,Acuses!$A$5:$A$3004,$A49,Acuses!$B$5:$B$3004,V$4,Acuses!$C$5:$C$3004,V$5),V$8)&lt;Resumen!$C$4+30,"Caduca pronto","OK"))))))</f>
        <v/>
      </c>
      <c r="W49" s="26" t="str">
        <f aca="false">IF(OR($A49="",W$4=""),"",IF(NOT(OR(W$6="Toda la plantilla",ISNUMBER(SEARCH(";"&amp;SUBSTITUTE($C49," ","")&amp;";",";"&amp;SUBSTITUTE(W$7," ","")&amp;";")))),"—",IF(_xlfn.MAXIFS(Acuses!$C$5:$C$3004,Acuses!$A$5:$A$3004,$A49,Acuses!$B$5:$B$3004,W$4)&lt;W$5,"Pendiente",IF(W$8=0,"OK",IF(EDATE(_xlfn.MAXIFS(Acuses!$D$5:$D$3004,Acuses!$A$5:$A$3004,$A49,Acuses!$B$5:$B$3004,W$4,Acuses!$C$5:$C$3004,W$5),W$8)&lt;Resumen!$C$4,"Caducado",IF(EDATE(_xlfn.MAXIFS(Acuses!$D$5:$D$3004,Acuses!$A$5:$A$3004,$A49,Acuses!$B$5:$B$3004,W$4,Acuses!$C$5:$C$3004,W$5),W$8)&lt;Resumen!$C$4+30,"Caduca pronto","OK"))))))</f>
        <v/>
      </c>
      <c r="X49" s="26" t="str">
        <f aca="false">IF(OR($A49="",X$4=""),"",IF(NOT(OR(X$6="Toda la plantilla",ISNUMBER(SEARCH(";"&amp;SUBSTITUTE($C49," ","")&amp;";",";"&amp;SUBSTITUTE(X$7," ","")&amp;";")))),"—",IF(_xlfn.MAXIFS(Acuses!$C$5:$C$3004,Acuses!$A$5:$A$3004,$A49,Acuses!$B$5:$B$3004,X$4)&lt;X$5,"Pendiente",IF(X$8=0,"OK",IF(EDATE(_xlfn.MAXIFS(Acuses!$D$5:$D$3004,Acuses!$A$5:$A$3004,$A49,Acuses!$B$5:$B$3004,X$4,Acuses!$C$5:$C$3004,X$5),X$8)&lt;Resumen!$C$4,"Caducado",IF(EDATE(_xlfn.MAXIFS(Acuses!$D$5:$D$3004,Acuses!$A$5:$A$3004,$A49,Acuses!$B$5:$B$3004,X$4,Acuses!$C$5:$C$3004,X$5),X$8)&lt;Resumen!$C$4+30,"Caduca pronto","OK"))))))</f>
        <v/>
      </c>
      <c r="Y49" s="26" t="str">
        <f aca="false">IF(OR($A49="",Y$4=""),"",IF(NOT(OR(Y$6="Toda la plantilla",ISNUMBER(SEARCH(";"&amp;SUBSTITUTE($C49," ","")&amp;";",";"&amp;SUBSTITUTE(Y$7," ","")&amp;";")))),"—",IF(_xlfn.MAXIFS(Acuses!$C$5:$C$3004,Acuses!$A$5:$A$3004,$A49,Acuses!$B$5:$B$3004,Y$4)&lt;Y$5,"Pendiente",IF(Y$8=0,"OK",IF(EDATE(_xlfn.MAXIFS(Acuses!$D$5:$D$3004,Acuses!$A$5:$A$3004,$A49,Acuses!$B$5:$B$3004,Y$4,Acuses!$C$5:$C$3004,Y$5),Y$8)&lt;Resumen!$C$4,"Caducado",IF(EDATE(_xlfn.MAXIFS(Acuses!$D$5:$D$3004,Acuses!$A$5:$A$3004,$A49,Acuses!$B$5:$B$3004,Y$4,Acuses!$C$5:$C$3004,Y$5),Y$8)&lt;Resumen!$C$4+30,"Caduca pronto","OK"))))))</f>
        <v/>
      </c>
      <c r="Z49" s="26" t="str">
        <f aca="false">IF(OR($A49="",Z$4=""),"",IF(NOT(OR(Z$6="Toda la plantilla",ISNUMBER(SEARCH(";"&amp;SUBSTITUTE($C49," ","")&amp;";",";"&amp;SUBSTITUTE(Z$7," ","")&amp;";")))),"—",IF(_xlfn.MAXIFS(Acuses!$C$5:$C$3004,Acuses!$A$5:$A$3004,$A49,Acuses!$B$5:$B$3004,Z$4)&lt;Z$5,"Pendiente",IF(Z$8=0,"OK",IF(EDATE(_xlfn.MAXIFS(Acuses!$D$5:$D$3004,Acuses!$A$5:$A$3004,$A49,Acuses!$B$5:$B$3004,Z$4,Acuses!$C$5:$C$3004,Z$5),Z$8)&lt;Resumen!$C$4,"Caducado",IF(EDATE(_xlfn.MAXIFS(Acuses!$D$5:$D$3004,Acuses!$A$5:$A$3004,$A49,Acuses!$B$5:$B$3004,Z$4,Acuses!$C$5:$C$3004,Z$5),Z$8)&lt;Resumen!$C$4+30,"Caduca pronto","OK"))))))</f>
        <v/>
      </c>
      <c r="AA49" s="26" t="str">
        <f aca="false">IF(OR($A49="",AA$4=""),"",IF(NOT(OR(AA$6="Toda la plantilla",ISNUMBER(SEARCH(";"&amp;SUBSTITUTE($C49," ","")&amp;";",";"&amp;SUBSTITUTE(AA$7," ","")&amp;";")))),"—",IF(_xlfn.MAXIFS(Acuses!$C$5:$C$3004,Acuses!$A$5:$A$3004,$A49,Acuses!$B$5:$B$3004,AA$4)&lt;AA$5,"Pendiente",IF(AA$8=0,"OK",IF(EDATE(_xlfn.MAXIFS(Acuses!$D$5:$D$3004,Acuses!$A$5:$A$3004,$A49,Acuses!$B$5:$B$3004,AA$4,Acuses!$C$5:$C$3004,AA$5),AA$8)&lt;Resumen!$C$4,"Caducado",IF(EDATE(_xlfn.MAXIFS(Acuses!$D$5:$D$3004,Acuses!$A$5:$A$3004,$A49,Acuses!$B$5:$B$3004,AA$4,Acuses!$C$5:$C$3004,AA$5),AA$8)&lt;Resumen!$C$4+30,"Caduca pronto","OK"))))))</f>
        <v/>
      </c>
      <c r="AB49" s="26" t="str">
        <f aca="false">IF(OR($A49="",AB$4=""),"",IF(NOT(OR(AB$6="Toda la plantilla",ISNUMBER(SEARCH(";"&amp;SUBSTITUTE($C49," ","")&amp;";",";"&amp;SUBSTITUTE(AB$7," ","")&amp;";")))),"—",IF(_xlfn.MAXIFS(Acuses!$C$5:$C$3004,Acuses!$A$5:$A$3004,$A49,Acuses!$B$5:$B$3004,AB$4)&lt;AB$5,"Pendiente",IF(AB$8=0,"OK",IF(EDATE(_xlfn.MAXIFS(Acuses!$D$5:$D$3004,Acuses!$A$5:$A$3004,$A49,Acuses!$B$5:$B$3004,AB$4,Acuses!$C$5:$C$3004,AB$5),AB$8)&lt;Resumen!$C$4,"Caducado",IF(EDATE(_xlfn.MAXIFS(Acuses!$D$5:$D$3004,Acuses!$A$5:$A$3004,$A49,Acuses!$B$5:$B$3004,AB$4,Acuses!$C$5:$C$3004,AB$5),AB$8)&lt;Resumen!$C$4+30,"Caduca pronto","OK"))))))</f>
        <v/>
      </c>
      <c r="AC49" s="26" t="str">
        <f aca="false">IF(OR($A49="",AC$4=""),"",IF(NOT(OR(AC$6="Toda la plantilla",ISNUMBER(SEARCH(";"&amp;SUBSTITUTE($C49," ","")&amp;";",";"&amp;SUBSTITUTE(AC$7," ","")&amp;";")))),"—",IF(_xlfn.MAXIFS(Acuses!$C$5:$C$3004,Acuses!$A$5:$A$3004,$A49,Acuses!$B$5:$B$3004,AC$4)&lt;AC$5,"Pendiente",IF(AC$8=0,"OK",IF(EDATE(_xlfn.MAXIFS(Acuses!$D$5:$D$3004,Acuses!$A$5:$A$3004,$A49,Acuses!$B$5:$B$3004,AC$4,Acuses!$C$5:$C$3004,AC$5),AC$8)&lt;Resumen!$C$4,"Caducado",IF(EDATE(_xlfn.MAXIFS(Acuses!$D$5:$D$3004,Acuses!$A$5:$A$3004,$A49,Acuses!$B$5:$B$3004,AC$4,Acuses!$C$5:$C$3004,AC$5),AC$8)&lt;Resumen!$C$4+30,"Caduca pronto","OK"))))))</f>
        <v/>
      </c>
      <c r="AD49" s="26" t="str">
        <f aca="false">IF(OR($A49="",AD$4=""),"",IF(NOT(OR(AD$6="Toda la plantilla",ISNUMBER(SEARCH(";"&amp;SUBSTITUTE($C49," ","")&amp;";",";"&amp;SUBSTITUTE(AD$7," ","")&amp;";")))),"—",IF(_xlfn.MAXIFS(Acuses!$C$5:$C$3004,Acuses!$A$5:$A$3004,$A49,Acuses!$B$5:$B$3004,AD$4)&lt;AD$5,"Pendiente",IF(AD$8=0,"OK",IF(EDATE(_xlfn.MAXIFS(Acuses!$D$5:$D$3004,Acuses!$A$5:$A$3004,$A49,Acuses!$B$5:$B$3004,AD$4,Acuses!$C$5:$C$3004,AD$5),AD$8)&lt;Resumen!$C$4,"Caducado",IF(EDATE(_xlfn.MAXIFS(Acuses!$D$5:$D$3004,Acuses!$A$5:$A$3004,$A49,Acuses!$B$5:$B$3004,AD$4,Acuses!$C$5:$C$3004,AD$5),AD$8)&lt;Resumen!$C$4+30,"Caduca pronto","OK"))))))</f>
        <v/>
      </c>
      <c r="AE49" s="26" t="str">
        <f aca="false">IF(OR($A49="",AE$4=""),"",IF(NOT(OR(AE$6="Toda la plantilla",ISNUMBER(SEARCH(";"&amp;SUBSTITUTE($C49," ","")&amp;";",";"&amp;SUBSTITUTE(AE$7," ","")&amp;";")))),"—",IF(_xlfn.MAXIFS(Acuses!$C$5:$C$3004,Acuses!$A$5:$A$3004,$A49,Acuses!$B$5:$B$3004,AE$4)&lt;AE$5,"Pendiente",IF(AE$8=0,"OK",IF(EDATE(_xlfn.MAXIFS(Acuses!$D$5:$D$3004,Acuses!$A$5:$A$3004,$A49,Acuses!$B$5:$B$3004,AE$4,Acuses!$C$5:$C$3004,AE$5),AE$8)&lt;Resumen!$C$4,"Caducado",IF(EDATE(_xlfn.MAXIFS(Acuses!$D$5:$D$3004,Acuses!$A$5:$A$3004,$A49,Acuses!$B$5:$B$3004,AE$4,Acuses!$C$5:$C$3004,AE$5),AE$8)&lt;Resumen!$C$4+30,"Caduca pronto","OK"))))))</f>
        <v/>
      </c>
      <c r="AF49" s="26" t="str">
        <f aca="false">IF(OR($A49="",AF$4=""),"",IF(NOT(OR(AF$6="Toda la plantilla",ISNUMBER(SEARCH(";"&amp;SUBSTITUTE($C49," ","")&amp;";",";"&amp;SUBSTITUTE(AF$7," ","")&amp;";")))),"—",IF(_xlfn.MAXIFS(Acuses!$C$5:$C$3004,Acuses!$A$5:$A$3004,$A49,Acuses!$B$5:$B$3004,AF$4)&lt;AF$5,"Pendiente",IF(AF$8=0,"OK",IF(EDATE(_xlfn.MAXIFS(Acuses!$D$5:$D$3004,Acuses!$A$5:$A$3004,$A49,Acuses!$B$5:$B$3004,AF$4,Acuses!$C$5:$C$3004,AF$5),AF$8)&lt;Resumen!$C$4,"Caducado",IF(EDATE(_xlfn.MAXIFS(Acuses!$D$5:$D$3004,Acuses!$A$5:$A$3004,$A49,Acuses!$B$5:$B$3004,AF$4,Acuses!$C$5:$C$3004,AF$5),AF$8)&lt;Resumen!$C$4+30,"Caduca pronto","OK"))))))</f>
        <v/>
      </c>
      <c r="AG49" s="26" t="str">
        <f aca="false">IF(OR($A49="",AG$4=""),"",IF(NOT(OR(AG$6="Toda la plantilla",ISNUMBER(SEARCH(";"&amp;SUBSTITUTE($C49," ","")&amp;";",";"&amp;SUBSTITUTE(AG$7," ","")&amp;";")))),"—",IF(_xlfn.MAXIFS(Acuses!$C$5:$C$3004,Acuses!$A$5:$A$3004,$A49,Acuses!$B$5:$B$3004,AG$4)&lt;AG$5,"Pendiente",IF(AG$8=0,"OK",IF(EDATE(_xlfn.MAXIFS(Acuses!$D$5:$D$3004,Acuses!$A$5:$A$3004,$A49,Acuses!$B$5:$B$3004,AG$4,Acuses!$C$5:$C$3004,AG$5),AG$8)&lt;Resumen!$C$4,"Caducado",IF(EDATE(_xlfn.MAXIFS(Acuses!$D$5:$D$3004,Acuses!$A$5:$A$3004,$A49,Acuses!$B$5:$B$3004,AG$4,Acuses!$C$5:$C$3004,AG$5),AG$8)&lt;Resumen!$C$4+30,"Caduca pronto","OK"))))))</f>
        <v/>
      </c>
      <c r="AH49" s="26" t="str">
        <f aca="false">IF(OR($A49="",AH$4=""),"",IF(NOT(OR(AH$6="Toda la plantilla",ISNUMBER(SEARCH(";"&amp;SUBSTITUTE($C49," ","")&amp;";",";"&amp;SUBSTITUTE(AH$7," ","")&amp;";")))),"—",IF(_xlfn.MAXIFS(Acuses!$C$5:$C$3004,Acuses!$A$5:$A$3004,$A49,Acuses!$B$5:$B$3004,AH$4)&lt;AH$5,"Pendiente",IF(AH$8=0,"OK",IF(EDATE(_xlfn.MAXIFS(Acuses!$D$5:$D$3004,Acuses!$A$5:$A$3004,$A49,Acuses!$B$5:$B$3004,AH$4,Acuses!$C$5:$C$3004,AH$5),AH$8)&lt;Resumen!$C$4,"Caducado",IF(EDATE(_xlfn.MAXIFS(Acuses!$D$5:$D$3004,Acuses!$A$5:$A$3004,$A49,Acuses!$B$5:$B$3004,AH$4,Acuses!$C$5:$C$3004,AH$5),AH$8)&lt;Resumen!$C$4+30,"Caduca pronto","OK"))))))</f>
        <v/>
      </c>
      <c r="AI49" s="26" t="str">
        <f aca="false">IF(OR($A49="",AI$4=""),"",IF(NOT(OR(AI$6="Toda la plantilla",ISNUMBER(SEARCH(";"&amp;SUBSTITUTE($C49," ","")&amp;";",";"&amp;SUBSTITUTE(AI$7," ","")&amp;";")))),"—",IF(_xlfn.MAXIFS(Acuses!$C$5:$C$3004,Acuses!$A$5:$A$3004,$A49,Acuses!$B$5:$B$3004,AI$4)&lt;AI$5,"Pendiente",IF(AI$8=0,"OK",IF(EDATE(_xlfn.MAXIFS(Acuses!$D$5:$D$3004,Acuses!$A$5:$A$3004,$A49,Acuses!$B$5:$B$3004,AI$4,Acuses!$C$5:$C$3004,AI$5),AI$8)&lt;Resumen!$C$4,"Caducado",IF(EDATE(_xlfn.MAXIFS(Acuses!$D$5:$D$3004,Acuses!$A$5:$A$3004,$A49,Acuses!$B$5:$B$3004,AI$4,Acuses!$C$5:$C$3004,AI$5),AI$8)&lt;Resumen!$C$4+30,"Caduca pronto","OK"))))))</f>
        <v/>
      </c>
      <c r="AJ49" s="26" t="str">
        <f aca="false">IF(OR($A49="",AJ$4=""),"",IF(NOT(OR(AJ$6="Toda la plantilla",ISNUMBER(SEARCH(";"&amp;SUBSTITUTE($C49," ","")&amp;";",";"&amp;SUBSTITUTE(AJ$7," ","")&amp;";")))),"—",IF(_xlfn.MAXIFS(Acuses!$C$5:$C$3004,Acuses!$A$5:$A$3004,$A49,Acuses!$B$5:$B$3004,AJ$4)&lt;AJ$5,"Pendiente",IF(AJ$8=0,"OK",IF(EDATE(_xlfn.MAXIFS(Acuses!$D$5:$D$3004,Acuses!$A$5:$A$3004,$A49,Acuses!$B$5:$B$3004,AJ$4,Acuses!$C$5:$C$3004,AJ$5),AJ$8)&lt;Resumen!$C$4,"Caducado",IF(EDATE(_xlfn.MAXIFS(Acuses!$D$5:$D$3004,Acuses!$A$5:$A$3004,$A49,Acuses!$B$5:$B$3004,AJ$4,Acuses!$C$5:$C$3004,AJ$5),AJ$8)&lt;Resumen!$C$4+30,"Caduca pronto","OK"))))))</f>
        <v/>
      </c>
      <c r="AK49" s="26" t="str">
        <f aca="false">IF(OR($A49="",AK$4=""),"",IF(NOT(OR(AK$6="Toda la plantilla",ISNUMBER(SEARCH(";"&amp;SUBSTITUTE($C49," ","")&amp;";",";"&amp;SUBSTITUTE(AK$7," ","")&amp;";")))),"—",IF(_xlfn.MAXIFS(Acuses!$C$5:$C$3004,Acuses!$A$5:$A$3004,$A49,Acuses!$B$5:$B$3004,AK$4)&lt;AK$5,"Pendiente",IF(AK$8=0,"OK",IF(EDATE(_xlfn.MAXIFS(Acuses!$D$5:$D$3004,Acuses!$A$5:$A$3004,$A49,Acuses!$B$5:$B$3004,AK$4,Acuses!$C$5:$C$3004,AK$5),AK$8)&lt;Resumen!$C$4,"Caducado",IF(EDATE(_xlfn.MAXIFS(Acuses!$D$5:$D$3004,Acuses!$A$5:$A$3004,$A49,Acuses!$B$5:$B$3004,AK$4,Acuses!$C$5:$C$3004,AK$5),AK$8)&lt;Resumen!$C$4+30,"Caduca pronto","OK"))))))</f>
        <v/>
      </c>
      <c r="AL49" s="26" t="str">
        <f aca="false">IF(OR($A49="",AL$4=""),"",IF(NOT(OR(AL$6="Toda la plantilla",ISNUMBER(SEARCH(";"&amp;SUBSTITUTE($C49," ","")&amp;";",";"&amp;SUBSTITUTE(AL$7," ","")&amp;";")))),"—",IF(_xlfn.MAXIFS(Acuses!$C$5:$C$3004,Acuses!$A$5:$A$3004,$A49,Acuses!$B$5:$B$3004,AL$4)&lt;AL$5,"Pendiente",IF(AL$8=0,"OK",IF(EDATE(_xlfn.MAXIFS(Acuses!$D$5:$D$3004,Acuses!$A$5:$A$3004,$A49,Acuses!$B$5:$B$3004,AL$4,Acuses!$C$5:$C$3004,AL$5),AL$8)&lt;Resumen!$C$4,"Caducado",IF(EDATE(_xlfn.MAXIFS(Acuses!$D$5:$D$3004,Acuses!$A$5:$A$3004,$A49,Acuses!$B$5:$B$3004,AL$4,Acuses!$C$5:$C$3004,AL$5),AL$8)&lt;Resumen!$C$4+30,"Caduca pronto","OK"))))))</f>
        <v/>
      </c>
      <c r="AM49" s="26" t="str">
        <f aca="false">IF(OR($A49="",AM$4=""),"",IF(NOT(OR(AM$6="Toda la plantilla",ISNUMBER(SEARCH(";"&amp;SUBSTITUTE($C49," ","")&amp;";",";"&amp;SUBSTITUTE(AM$7," ","")&amp;";")))),"—",IF(_xlfn.MAXIFS(Acuses!$C$5:$C$3004,Acuses!$A$5:$A$3004,$A49,Acuses!$B$5:$B$3004,AM$4)&lt;AM$5,"Pendiente",IF(AM$8=0,"OK",IF(EDATE(_xlfn.MAXIFS(Acuses!$D$5:$D$3004,Acuses!$A$5:$A$3004,$A49,Acuses!$B$5:$B$3004,AM$4,Acuses!$C$5:$C$3004,AM$5),AM$8)&lt;Resumen!$C$4,"Caducado",IF(EDATE(_xlfn.MAXIFS(Acuses!$D$5:$D$3004,Acuses!$A$5:$A$3004,$A49,Acuses!$B$5:$B$3004,AM$4,Acuses!$C$5:$C$3004,AM$5),AM$8)&lt;Resumen!$C$4+30,"Caduca pronto","OK"))))))</f>
        <v/>
      </c>
      <c r="AN49" s="26" t="str">
        <f aca="false">IF(OR($A49="",AN$4=""),"",IF(NOT(OR(AN$6="Toda la plantilla",ISNUMBER(SEARCH(";"&amp;SUBSTITUTE($C49," ","")&amp;";",";"&amp;SUBSTITUTE(AN$7," ","")&amp;";")))),"—",IF(_xlfn.MAXIFS(Acuses!$C$5:$C$3004,Acuses!$A$5:$A$3004,$A49,Acuses!$B$5:$B$3004,AN$4)&lt;AN$5,"Pendiente",IF(AN$8=0,"OK",IF(EDATE(_xlfn.MAXIFS(Acuses!$D$5:$D$3004,Acuses!$A$5:$A$3004,$A49,Acuses!$B$5:$B$3004,AN$4,Acuses!$C$5:$C$3004,AN$5),AN$8)&lt;Resumen!$C$4,"Caducado",IF(EDATE(_xlfn.MAXIFS(Acuses!$D$5:$D$3004,Acuses!$A$5:$A$3004,$A49,Acuses!$B$5:$B$3004,AN$4,Acuses!$C$5:$C$3004,AN$5),AN$8)&lt;Resumen!$C$4+30,"Caduca pronto","OK"))))))</f>
        <v/>
      </c>
      <c r="AO49" s="26" t="str">
        <f aca="false">IF(OR($A49="",AO$4=""),"",IF(NOT(OR(AO$6="Toda la plantilla",ISNUMBER(SEARCH(";"&amp;SUBSTITUTE($C49," ","")&amp;";",";"&amp;SUBSTITUTE(AO$7," ","")&amp;";")))),"—",IF(_xlfn.MAXIFS(Acuses!$C$5:$C$3004,Acuses!$A$5:$A$3004,$A49,Acuses!$B$5:$B$3004,AO$4)&lt;AO$5,"Pendiente",IF(AO$8=0,"OK",IF(EDATE(_xlfn.MAXIFS(Acuses!$D$5:$D$3004,Acuses!$A$5:$A$3004,$A49,Acuses!$B$5:$B$3004,AO$4,Acuses!$C$5:$C$3004,AO$5),AO$8)&lt;Resumen!$C$4,"Caducado",IF(EDATE(_xlfn.MAXIFS(Acuses!$D$5:$D$3004,Acuses!$A$5:$A$3004,$A49,Acuses!$B$5:$B$3004,AO$4,Acuses!$C$5:$C$3004,AO$5),AO$8)&lt;Resumen!$C$4+30,"Caduca pronto","OK"))))))</f>
        <v/>
      </c>
      <c r="AP49" s="26" t="str">
        <f aca="false">IF(OR($A49="",AP$4=""),"",IF(NOT(OR(AP$6="Toda la plantilla",ISNUMBER(SEARCH(";"&amp;SUBSTITUTE($C49," ","")&amp;";",";"&amp;SUBSTITUTE(AP$7," ","")&amp;";")))),"—",IF(_xlfn.MAXIFS(Acuses!$C$5:$C$3004,Acuses!$A$5:$A$3004,$A49,Acuses!$B$5:$B$3004,AP$4)&lt;AP$5,"Pendiente",IF(AP$8=0,"OK",IF(EDATE(_xlfn.MAXIFS(Acuses!$D$5:$D$3004,Acuses!$A$5:$A$3004,$A49,Acuses!$B$5:$B$3004,AP$4,Acuses!$C$5:$C$3004,AP$5),AP$8)&lt;Resumen!$C$4,"Caducado",IF(EDATE(_xlfn.MAXIFS(Acuses!$D$5:$D$3004,Acuses!$A$5:$A$3004,$A49,Acuses!$B$5:$B$3004,AP$4,Acuses!$C$5:$C$3004,AP$5),AP$8)&lt;Resumen!$C$4+30,"Caduca pronto","OK"))))))</f>
        <v/>
      </c>
      <c r="AQ49" s="26" t="str">
        <f aca="false">IF(OR($A49="",AQ$4=""),"",IF(NOT(OR(AQ$6="Toda la plantilla",ISNUMBER(SEARCH(";"&amp;SUBSTITUTE($C49," ","")&amp;";",";"&amp;SUBSTITUTE(AQ$7," ","")&amp;";")))),"—",IF(_xlfn.MAXIFS(Acuses!$C$5:$C$3004,Acuses!$A$5:$A$3004,$A49,Acuses!$B$5:$B$3004,AQ$4)&lt;AQ$5,"Pendiente",IF(AQ$8=0,"OK",IF(EDATE(_xlfn.MAXIFS(Acuses!$D$5:$D$3004,Acuses!$A$5:$A$3004,$A49,Acuses!$B$5:$B$3004,AQ$4,Acuses!$C$5:$C$3004,AQ$5),AQ$8)&lt;Resumen!$C$4,"Caducado",IF(EDATE(_xlfn.MAXIFS(Acuses!$D$5:$D$3004,Acuses!$A$5:$A$3004,$A49,Acuses!$B$5:$B$3004,AQ$4,Acuses!$C$5:$C$3004,AQ$5),AQ$8)&lt;Resumen!$C$4+30,"Caduca pronto","OK"))))))</f>
        <v/>
      </c>
    </row>
    <row r="50" customFormat="false" ht="15" hidden="false" customHeight="false" outlineLevel="0" collapsed="false">
      <c r="A50" s="25" t="str">
        <f aca="false">IF(AND(Trabajadores!$A$45&lt;&gt;"",Trabajadores!$G$45&lt;&gt;"No"),Trabajadores!$A$45,"")</f>
        <v/>
      </c>
      <c r="B50" s="25" t="str">
        <f aca="false">IF($A50="","",Trabajadores!$B$45)</f>
        <v/>
      </c>
      <c r="C50" s="25" t="str">
        <f aca="false">IF($A50="","",Trabajadores!$C$45)</f>
        <v/>
      </c>
      <c r="D50" s="26" t="str">
        <f aca="false">IF(OR($A50="",D$4=""),"",IF(NOT(OR(D$6="Toda la plantilla",ISNUMBER(SEARCH(";"&amp;SUBSTITUTE($C50," ","")&amp;";",";"&amp;SUBSTITUTE(D$7," ","")&amp;";")))),"—",IF(_xlfn.MAXIFS(Acuses!$C$5:$C$3004,Acuses!$A$5:$A$3004,$A50,Acuses!$B$5:$B$3004,D$4)&lt;D$5,"Pendiente",IF(D$8=0,"OK",IF(EDATE(_xlfn.MAXIFS(Acuses!$D$5:$D$3004,Acuses!$A$5:$A$3004,$A50,Acuses!$B$5:$B$3004,D$4,Acuses!$C$5:$C$3004,D$5),D$8)&lt;Resumen!$C$4,"Caducado",IF(EDATE(_xlfn.MAXIFS(Acuses!$D$5:$D$3004,Acuses!$A$5:$A$3004,$A50,Acuses!$B$5:$B$3004,D$4,Acuses!$C$5:$C$3004,D$5),D$8)&lt;Resumen!$C$4+30,"Caduca pronto","OK"))))))</f>
        <v/>
      </c>
      <c r="E50" s="26" t="str">
        <f aca="false">IF(OR($A50="",E$4=""),"",IF(NOT(OR(E$6="Toda la plantilla",ISNUMBER(SEARCH(";"&amp;SUBSTITUTE($C50," ","")&amp;";",";"&amp;SUBSTITUTE(E$7," ","")&amp;";")))),"—",IF(_xlfn.MAXIFS(Acuses!$C$5:$C$3004,Acuses!$A$5:$A$3004,$A50,Acuses!$B$5:$B$3004,E$4)&lt;E$5,"Pendiente",IF(E$8=0,"OK",IF(EDATE(_xlfn.MAXIFS(Acuses!$D$5:$D$3004,Acuses!$A$5:$A$3004,$A50,Acuses!$B$5:$B$3004,E$4,Acuses!$C$5:$C$3004,E$5),E$8)&lt;Resumen!$C$4,"Caducado",IF(EDATE(_xlfn.MAXIFS(Acuses!$D$5:$D$3004,Acuses!$A$5:$A$3004,$A50,Acuses!$B$5:$B$3004,E$4,Acuses!$C$5:$C$3004,E$5),E$8)&lt;Resumen!$C$4+30,"Caduca pronto","OK"))))))</f>
        <v/>
      </c>
      <c r="F50" s="26" t="str">
        <f aca="false">IF(OR($A50="",F$4=""),"",IF(NOT(OR(F$6="Toda la plantilla",ISNUMBER(SEARCH(";"&amp;SUBSTITUTE($C50," ","")&amp;";",";"&amp;SUBSTITUTE(F$7," ","")&amp;";")))),"—",IF(_xlfn.MAXIFS(Acuses!$C$5:$C$3004,Acuses!$A$5:$A$3004,$A50,Acuses!$B$5:$B$3004,F$4)&lt;F$5,"Pendiente",IF(F$8=0,"OK",IF(EDATE(_xlfn.MAXIFS(Acuses!$D$5:$D$3004,Acuses!$A$5:$A$3004,$A50,Acuses!$B$5:$B$3004,F$4,Acuses!$C$5:$C$3004,F$5),F$8)&lt;Resumen!$C$4,"Caducado",IF(EDATE(_xlfn.MAXIFS(Acuses!$D$5:$D$3004,Acuses!$A$5:$A$3004,$A50,Acuses!$B$5:$B$3004,F$4,Acuses!$C$5:$C$3004,F$5),F$8)&lt;Resumen!$C$4+30,"Caduca pronto","OK"))))))</f>
        <v/>
      </c>
      <c r="G50" s="26" t="str">
        <f aca="false">IF(OR($A50="",G$4=""),"",IF(NOT(OR(G$6="Toda la plantilla",ISNUMBER(SEARCH(";"&amp;SUBSTITUTE($C50," ","")&amp;";",";"&amp;SUBSTITUTE(G$7," ","")&amp;";")))),"—",IF(_xlfn.MAXIFS(Acuses!$C$5:$C$3004,Acuses!$A$5:$A$3004,$A50,Acuses!$B$5:$B$3004,G$4)&lt;G$5,"Pendiente",IF(G$8=0,"OK",IF(EDATE(_xlfn.MAXIFS(Acuses!$D$5:$D$3004,Acuses!$A$5:$A$3004,$A50,Acuses!$B$5:$B$3004,G$4,Acuses!$C$5:$C$3004,G$5),G$8)&lt;Resumen!$C$4,"Caducado",IF(EDATE(_xlfn.MAXIFS(Acuses!$D$5:$D$3004,Acuses!$A$5:$A$3004,$A50,Acuses!$B$5:$B$3004,G$4,Acuses!$C$5:$C$3004,G$5),G$8)&lt;Resumen!$C$4+30,"Caduca pronto","OK"))))))</f>
        <v/>
      </c>
      <c r="H50" s="26" t="str">
        <f aca="false">IF(OR($A50="",H$4=""),"",IF(NOT(OR(H$6="Toda la plantilla",ISNUMBER(SEARCH(";"&amp;SUBSTITUTE($C50," ","")&amp;";",";"&amp;SUBSTITUTE(H$7," ","")&amp;";")))),"—",IF(_xlfn.MAXIFS(Acuses!$C$5:$C$3004,Acuses!$A$5:$A$3004,$A50,Acuses!$B$5:$B$3004,H$4)&lt;H$5,"Pendiente",IF(H$8=0,"OK",IF(EDATE(_xlfn.MAXIFS(Acuses!$D$5:$D$3004,Acuses!$A$5:$A$3004,$A50,Acuses!$B$5:$B$3004,H$4,Acuses!$C$5:$C$3004,H$5),H$8)&lt;Resumen!$C$4,"Caducado",IF(EDATE(_xlfn.MAXIFS(Acuses!$D$5:$D$3004,Acuses!$A$5:$A$3004,$A50,Acuses!$B$5:$B$3004,H$4,Acuses!$C$5:$C$3004,H$5),H$8)&lt;Resumen!$C$4+30,"Caduca pronto","OK"))))))</f>
        <v/>
      </c>
      <c r="I50" s="26" t="str">
        <f aca="false">IF(OR($A50="",I$4=""),"",IF(NOT(OR(I$6="Toda la plantilla",ISNUMBER(SEARCH(";"&amp;SUBSTITUTE($C50," ","")&amp;";",";"&amp;SUBSTITUTE(I$7," ","")&amp;";")))),"—",IF(_xlfn.MAXIFS(Acuses!$C$5:$C$3004,Acuses!$A$5:$A$3004,$A50,Acuses!$B$5:$B$3004,I$4)&lt;I$5,"Pendiente",IF(I$8=0,"OK",IF(EDATE(_xlfn.MAXIFS(Acuses!$D$5:$D$3004,Acuses!$A$5:$A$3004,$A50,Acuses!$B$5:$B$3004,I$4,Acuses!$C$5:$C$3004,I$5),I$8)&lt;Resumen!$C$4,"Caducado",IF(EDATE(_xlfn.MAXIFS(Acuses!$D$5:$D$3004,Acuses!$A$5:$A$3004,$A50,Acuses!$B$5:$B$3004,I$4,Acuses!$C$5:$C$3004,I$5),I$8)&lt;Resumen!$C$4+30,"Caduca pronto","OK"))))))</f>
        <v/>
      </c>
      <c r="J50" s="26" t="str">
        <f aca="false">IF(OR($A50="",J$4=""),"",IF(NOT(OR(J$6="Toda la plantilla",ISNUMBER(SEARCH(";"&amp;SUBSTITUTE($C50," ","")&amp;";",";"&amp;SUBSTITUTE(J$7," ","")&amp;";")))),"—",IF(_xlfn.MAXIFS(Acuses!$C$5:$C$3004,Acuses!$A$5:$A$3004,$A50,Acuses!$B$5:$B$3004,J$4)&lt;J$5,"Pendiente",IF(J$8=0,"OK",IF(EDATE(_xlfn.MAXIFS(Acuses!$D$5:$D$3004,Acuses!$A$5:$A$3004,$A50,Acuses!$B$5:$B$3004,J$4,Acuses!$C$5:$C$3004,J$5),J$8)&lt;Resumen!$C$4,"Caducado",IF(EDATE(_xlfn.MAXIFS(Acuses!$D$5:$D$3004,Acuses!$A$5:$A$3004,$A50,Acuses!$B$5:$B$3004,J$4,Acuses!$C$5:$C$3004,J$5),J$8)&lt;Resumen!$C$4+30,"Caduca pronto","OK"))))))</f>
        <v/>
      </c>
      <c r="K50" s="26" t="str">
        <f aca="false">IF(OR($A50="",K$4=""),"",IF(NOT(OR(K$6="Toda la plantilla",ISNUMBER(SEARCH(";"&amp;SUBSTITUTE($C50," ","")&amp;";",";"&amp;SUBSTITUTE(K$7," ","")&amp;";")))),"—",IF(_xlfn.MAXIFS(Acuses!$C$5:$C$3004,Acuses!$A$5:$A$3004,$A50,Acuses!$B$5:$B$3004,K$4)&lt;K$5,"Pendiente",IF(K$8=0,"OK",IF(EDATE(_xlfn.MAXIFS(Acuses!$D$5:$D$3004,Acuses!$A$5:$A$3004,$A50,Acuses!$B$5:$B$3004,K$4,Acuses!$C$5:$C$3004,K$5),K$8)&lt;Resumen!$C$4,"Caducado",IF(EDATE(_xlfn.MAXIFS(Acuses!$D$5:$D$3004,Acuses!$A$5:$A$3004,$A50,Acuses!$B$5:$B$3004,K$4,Acuses!$C$5:$C$3004,K$5),K$8)&lt;Resumen!$C$4+30,"Caduca pronto","OK"))))))</f>
        <v/>
      </c>
      <c r="L50" s="26" t="str">
        <f aca="false">IF(OR($A50="",L$4=""),"",IF(NOT(OR(L$6="Toda la plantilla",ISNUMBER(SEARCH(";"&amp;SUBSTITUTE($C50," ","")&amp;";",";"&amp;SUBSTITUTE(L$7," ","")&amp;";")))),"—",IF(_xlfn.MAXIFS(Acuses!$C$5:$C$3004,Acuses!$A$5:$A$3004,$A50,Acuses!$B$5:$B$3004,L$4)&lt;L$5,"Pendiente",IF(L$8=0,"OK",IF(EDATE(_xlfn.MAXIFS(Acuses!$D$5:$D$3004,Acuses!$A$5:$A$3004,$A50,Acuses!$B$5:$B$3004,L$4,Acuses!$C$5:$C$3004,L$5),L$8)&lt;Resumen!$C$4,"Caducado",IF(EDATE(_xlfn.MAXIFS(Acuses!$D$5:$D$3004,Acuses!$A$5:$A$3004,$A50,Acuses!$B$5:$B$3004,L$4,Acuses!$C$5:$C$3004,L$5),L$8)&lt;Resumen!$C$4+30,"Caduca pronto","OK"))))))</f>
        <v/>
      </c>
      <c r="M50" s="26" t="str">
        <f aca="false">IF(OR($A50="",M$4=""),"",IF(NOT(OR(M$6="Toda la plantilla",ISNUMBER(SEARCH(";"&amp;SUBSTITUTE($C50," ","")&amp;";",";"&amp;SUBSTITUTE(M$7," ","")&amp;";")))),"—",IF(_xlfn.MAXIFS(Acuses!$C$5:$C$3004,Acuses!$A$5:$A$3004,$A50,Acuses!$B$5:$B$3004,M$4)&lt;M$5,"Pendiente",IF(M$8=0,"OK",IF(EDATE(_xlfn.MAXIFS(Acuses!$D$5:$D$3004,Acuses!$A$5:$A$3004,$A50,Acuses!$B$5:$B$3004,M$4,Acuses!$C$5:$C$3004,M$5),M$8)&lt;Resumen!$C$4,"Caducado",IF(EDATE(_xlfn.MAXIFS(Acuses!$D$5:$D$3004,Acuses!$A$5:$A$3004,$A50,Acuses!$B$5:$B$3004,M$4,Acuses!$C$5:$C$3004,M$5),M$8)&lt;Resumen!$C$4+30,"Caduca pronto","OK"))))))</f>
        <v/>
      </c>
      <c r="N50" s="26" t="str">
        <f aca="false">IF(OR($A50="",N$4=""),"",IF(NOT(OR(N$6="Toda la plantilla",ISNUMBER(SEARCH(";"&amp;SUBSTITUTE($C50," ","")&amp;";",";"&amp;SUBSTITUTE(N$7," ","")&amp;";")))),"—",IF(_xlfn.MAXIFS(Acuses!$C$5:$C$3004,Acuses!$A$5:$A$3004,$A50,Acuses!$B$5:$B$3004,N$4)&lt;N$5,"Pendiente",IF(N$8=0,"OK",IF(EDATE(_xlfn.MAXIFS(Acuses!$D$5:$D$3004,Acuses!$A$5:$A$3004,$A50,Acuses!$B$5:$B$3004,N$4,Acuses!$C$5:$C$3004,N$5),N$8)&lt;Resumen!$C$4,"Caducado",IF(EDATE(_xlfn.MAXIFS(Acuses!$D$5:$D$3004,Acuses!$A$5:$A$3004,$A50,Acuses!$B$5:$B$3004,N$4,Acuses!$C$5:$C$3004,N$5),N$8)&lt;Resumen!$C$4+30,"Caduca pronto","OK"))))))</f>
        <v/>
      </c>
      <c r="O50" s="26" t="str">
        <f aca="false">IF(OR($A50="",O$4=""),"",IF(NOT(OR(O$6="Toda la plantilla",ISNUMBER(SEARCH(";"&amp;SUBSTITUTE($C50," ","")&amp;";",";"&amp;SUBSTITUTE(O$7," ","")&amp;";")))),"—",IF(_xlfn.MAXIFS(Acuses!$C$5:$C$3004,Acuses!$A$5:$A$3004,$A50,Acuses!$B$5:$B$3004,O$4)&lt;O$5,"Pendiente",IF(O$8=0,"OK",IF(EDATE(_xlfn.MAXIFS(Acuses!$D$5:$D$3004,Acuses!$A$5:$A$3004,$A50,Acuses!$B$5:$B$3004,O$4,Acuses!$C$5:$C$3004,O$5),O$8)&lt;Resumen!$C$4,"Caducado",IF(EDATE(_xlfn.MAXIFS(Acuses!$D$5:$D$3004,Acuses!$A$5:$A$3004,$A50,Acuses!$B$5:$B$3004,O$4,Acuses!$C$5:$C$3004,O$5),O$8)&lt;Resumen!$C$4+30,"Caduca pronto","OK"))))))</f>
        <v/>
      </c>
      <c r="P50" s="26" t="str">
        <f aca="false">IF(OR($A50="",P$4=""),"",IF(NOT(OR(P$6="Toda la plantilla",ISNUMBER(SEARCH(";"&amp;SUBSTITUTE($C50," ","")&amp;";",";"&amp;SUBSTITUTE(P$7," ","")&amp;";")))),"—",IF(_xlfn.MAXIFS(Acuses!$C$5:$C$3004,Acuses!$A$5:$A$3004,$A50,Acuses!$B$5:$B$3004,P$4)&lt;P$5,"Pendiente",IF(P$8=0,"OK",IF(EDATE(_xlfn.MAXIFS(Acuses!$D$5:$D$3004,Acuses!$A$5:$A$3004,$A50,Acuses!$B$5:$B$3004,P$4,Acuses!$C$5:$C$3004,P$5),P$8)&lt;Resumen!$C$4,"Caducado",IF(EDATE(_xlfn.MAXIFS(Acuses!$D$5:$D$3004,Acuses!$A$5:$A$3004,$A50,Acuses!$B$5:$B$3004,P$4,Acuses!$C$5:$C$3004,P$5),P$8)&lt;Resumen!$C$4+30,"Caduca pronto","OK"))))))</f>
        <v/>
      </c>
      <c r="Q50" s="26" t="str">
        <f aca="false">IF(OR($A50="",Q$4=""),"",IF(NOT(OR(Q$6="Toda la plantilla",ISNUMBER(SEARCH(";"&amp;SUBSTITUTE($C50," ","")&amp;";",";"&amp;SUBSTITUTE(Q$7," ","")&amp;";")))),"—",IF(_xlfn.MAXIFS(Acuses!$C$5:$C$3004,Acuses!$A$5:$A$3004,$A50,Acuses!$B$5:$B$3004,Q$4)&lt;Q$5,"Pendiente",IF(Q$8=0,"OK",IF(EDATE(_xlfn.MAXIFS(Acuses!$D$5:$D$3004,Acuses!$A$5:$A$3004,$A50,Acuses!$B$5:$B$3004,Q$4,Acuses!$C$5:$C$3004,Q$5),Q$8)&lt;Resumen!$C$4,"Caducado",IF(EDATE(_xlfn.MAXIFS(Acuses!$D$5:$D$3004,Acuses!$A$5:$A$3004,$A50,Acuses!$B$5:$B$3004,Q$4,Acuses!$C$5:$C$3004,Q$5),Q$8)&lt;Resumen!$C$4+30,"Caduca pronto","OK"))))))</f>
        <v/>
      </c>
      <c r="R50" s="26" t="str">
        <f aca="false">IF(OR($A50="",R$4=""),"",IF(NOT(OR(R$6="Toda la plantilla",ISNUMBER(SEARCH(";"&amp;SUBSTITUTE($C50," ","")&amp;";",";"&amp;SUBSTITUTE(R$7," ","")&amp;";")))),"—",IF(_xlfn.MAXIFS(Acuses!$C$5:$C$3004,Acuses!$A$5:$A$3004,$A50,Acuses!$B$5:$B$3004,R$4)&lt;R$5,"Pendiente",IF(R$8=0,"OK",IF(EDATE(_xlfn.MAXIFS(Acuses!$D$5:$D$3004,Acuses!$A$5:$A$3004,$A50,Acuses!$B$5:$B$3004,R$4,Acuses!$C$5:$C$3004,R$5),R$8)&lt;Resumen!$C$4,"Caducado",IF(EDATE(_xlfn.MAXIFS(Acuses!$D$5:$D$3004,Acuses!$A$5:$A$3004,$A50,Acuses!$B$5:$B$3004,R$4,Acuses!$C$5:$C$3004,R$5),R$8)&lt;Resumen!$C$4+30,"Caduca pronto","OK"))))))</f>
        <v/>
      </c>
      <c r="S50" s="26" t="str">
        <f aca="false">IF(OR($A50="",S$4=""),"",IF(NOT(OR(S$6="Toda la plantilla",ISNUMBER(SEARCH(";"&amp;SUBSTITUTE($C50," ","")&amp;";",";"&amp;SUBSTITUTE(S$7," ","")&amp;";")))),"—",IF(_xlfn.MAXIFS(Acuses!$C$5:$C$3004,Acuses!$A$5:$A$3004,$A50,Acuses!$B$5:$B$3004,S$4)&lt;S$5,"Pendiente",IF(S$8=0,"OK",IF(EDATE(_xlfn.MAXIFS(Acuses!$D$5:$D$3004,Acuses!$A$5:$A$3004,$A50,Acuses!$B$5:$B$3004,S$4,Acuses!$C$5:$C$3004,S$5),S$8)&lt;Resumen!$C$4,"Caducado",IF(EDATE(_xlfn.MAXIFS(Acuses!$D$5:$D$3004,Acuses!$A$5:$A$3004,$A50,Acuses!$B$5:$B$3004,S$4,Acuses!$C$5:$C$3004,S$5),S$8)&lt;Resumen!$C$4+30,"Caduca pronto","OK"))))))</f>
        <v/>
      </c>
      <c r="T50" s="26" t="str">
        <f aca="false">IF(OR($A50="",T$4=""),"",IF(NOT(OR(T$6="Toda la plantilla",ISNUMBER(SEARCH(";"&amp;SUBSTITUTE($C50," ","")&amp;";",";"&amp;SUBSTITUTE(T$7," ","")&amp;";")))),"—",IF(_xlfn.MAXIFS(Acuses!$C$5:$C$3004,Acuses!$A$5:$A$3004,$A50,Acuses!$B$5:$B$3004,T$4)&lt;T$5,"Pendiente",IF(T$8=0,"OK",IF(EDATE(_xlfn.MAXIFS(Acuses!$D$5:$D$3004,Acuses!$A$5:$A$3004,$A50,Acuses!$B$5:$B$3004,T$4,Acuses!$C$5:$C$3004,T$5),T$8)&lt;Resumen!$C$4,"Caducado",IF(EDATE(_xlfn.MAXIFS(Acuses!$D$5:$D$3004,Acuses!$A$5:$A$3004,$A50,Acuses!$B$5:$B$3004,T$4,Acuses!$C$5:$C$3004,T$5),T$8)&lt;Resumen!$C$4+30,"Caduca pronto","OK"))))))</f>
        <v/>
      </c>
      <c r="U50" s="26" t="str">
        <f aca="false">IF(OR($A50="",U$4=""),"",IF(NOT(OR(U$6="Toda la plantilla",ISNUMBER(SEARCH(";"&amp;SUBSTITUTE($C50," ","")&amp;";",";"&amp;SUBSTITUTE(U$7," ","")&amp;";")))),"—",IF(_xlfn.MAXIFS(Acuses!$C$5:$C$3004,Acuses!$A$5:$A$3004,$A50,Acuses!$B$5:$B$3004,U$4)&lt;U$5,"Pendiente",IF(U$8=0,"OK",IF(EDATE(_xlfn.MAXIFS(Acuses!$D$5:$D$3004,Acuses!$A$5:$A$3004,$A50,Acuses!$B$5:$B$3004,U$4,Acuses!$C$5:$C$3004,U$5),U$8)&lt;Resumen!$C$4,"Caducado",IF(EDATE(_xlfn.MAXIFS(Acuses!$D$5:$D$3004,Acuses!$A$5:$A$3004,$A50,Acuses!$B$5:$B$3004,U$4,Acuses!$C$5:$C$3004,U$5),U$8)&lt;Resumen!$C$4+30,"Caduca pronto","OK"))))))</f>
        <v/>
      </c>
      <c r="V50" s="26" t="str">
        <f aca="false">IF(OR($A50="",V$4=""),"",IF(NOT(OR(V$6="Toda la plantilla",ISNUMBER(SEARCH(";"&amp;SUBSTITUTE($C50," ","")&amp;";",";"&amp;SUBSTITUTE(V$7," ","")&amp;";")))),"—",IF(_xlfn.MAXIFS(Acuses!$C$5:$C$3004,Acuses!$A$5:$A$3004,$A50,Acuses!$B$5:$B$3004,V$4)&lt;V$5,"Pendiente",IF(V$8=0,"OK",IF(EDATE(_xlfn.MAXIFS(Acuses!$D$5:$D$3004,Acuses!$A$5:$A$3004,$A50,Acuses!$B$5:$B$3004,V$4,Acuses!$C$5:$C$3004,V$5),V$8)&lt;Resumen!$C$4,"Caducado",IF(EDATE(_xlfn.MAXIFS(Acuses!$D$5:$D$3004,Acuses!$A$5:$A$3004,$A50,Acuses!$B$5:$B$3004,V$4,Acuses!$C$5:$C$3004,V$5),V$8)&lt;Resumen!$C$4+30,"Caduca pronto","OK"))))))</f>
        <v/>
      </c>
      <c r="W50" s="26" t="str">
        <f aca="false">IF(OR($A50="",W$4=""),"",IF(NOT(OR(W$6="Toda la plantilla",ISNUMBER(SEARCH(";"&amp;SUBSTITUTE($C50," ","")&amp;";",";"&amp;SUBSTITUTE(W$7," ","")&amp;";")))),"—",IF(_xlfn.MAXIFS(Acuses!$C$5:$C$3004,Acuses!$A$5:$A$3004,$A50,Acuses!$B$5:$B$3004,W$4)&lt;W$5,"Pendiente",IF(W$8=0,"OK",IF(EDATE(_xlfn.MAXIFS(Acuses!$D$5:$D$3004,Acuses!$A$5:$A$3004,$A50,Acuses!$B$5:$B$3004,W$4,Acuses!$C$5:$C$3004,W$5),W$8)&lt;Resumen!$C$4,"Caducado",IF(EDATE(_xlfn.MAXIFS(Acuses!$D$5:$D$3004,Acuses!$A$5:$A$3004,$A50,Acuses!$B$5:$B$3004,W$4,Acuses!$C$5:$C$3004,W$5),W$8)&lt;Resumen!$C$4+30,"Caduca pronto","OK"))))))</f>
        <v/>
      </c>
      <c r="X50" s="26" t="str">
        <f aca="false">IF(OR($A50="",X$4=""),"",IF(NOT(OR(X$6="Toda la plantilla",ISNUMBER(SEARCH(";"&amp;SUBSTITUTE($C50," ","")&amp;";",";"&amp;SUBSTITUTE(X$7," ","")&amp;";")))),"—",IF(_xlfn.MAXIFS(Acuses!$C$5:$C$3004,Acuses!$A$5:$A$3004,$A50,Acuses!$B$5:$B$3004,X$4)&lt;X$5,"Pendiente",IF(X$8=0,"OK",IF(EDATE(_xlfn.MAXIFS(Acuses!$D$5:$D$3004,Acuses!$A$5:$A$3004,$A50,Acuses!$B$5:$B$3004,X$4,Acuses!$C$5:$C$3004,X$5),X$8)&lt;Resumen!$C$4,"Caducado",IF(EDATE(_xlfn.MAXIFS(Acuses!$D$5:$D$3004,Acuses!$A$5:$A$3004,$A50,Acuses!$B$5:$B$3004,X$4,Acuses!$C$5:$C$3004,X$5),X$8)&lt;Resumen!$C$4+30,"Caduca pronto","OK"))))))</f>
        <v/>
      </c>
      <c r="Y50" s="26" t="str">
        <f aca="false">IF(OR($A50="",Y$4=""),"",IF(NOT(OR(Y$6="Toda la plantilla",ISNUMBER(SEARCH(";"&amp;SUBSTITUTE($C50," ","")&amp;";",";"&amp;SUBSTITUTE(Y$7," ","")&amp;";")))),"—",IF(_xlfn.MAXIFS(Acuses!$C$5:$C$3004,Acuses!$A$5:$A$3004,$A50,Acuses!$B$5:$B$3004,Y$4)&lt;Y$5,"Pendiente",IF(Y$8=0,"OK",IF(EDATE(_xlfn.MAXIFS(Acuses!$D$5:$D$3004,Acuses!$A$5:$A$3004,$A50,Acuses!$B$5:$B$3004,Y$4,Acuses!$C$5:$C$3004,Y$5),Y$8)&lt;Resumen!$C$4,"Caducado",IF(EDATE(_xlfn.MAXIFS(Acuses!$D$5:$D$3004,Acuses!$A$5:$A$3004,$A50,Acuses!$B$5:$B$3004,Y$4,Acuses!$C$5:$C$3004,Y$5),Y$8)&lt;Resumen!$C$4+30,"Caduca pronto","OK"))))))</f>
        <v/>
      </c>
      <c r="Z50" s="26" t="str">
        <f aca="false">IF(OR($A50="",Z$4=""),"",IF(NOT(OR(Z$6="Toda la plantilla",ISNUMBER(SEARCH(";"&amp;SUBSTITUTE($C50," ","")&amp;";",";"&amp;SUBSTITUTE(Z$7," ","")&amp;";")))),"—",IF(_xlfn.MAXIFS(Acuses!$C$5:$C$3004,Acuses!$A$5:$A$3004,$A50,Acuses!$B$5:$B$3004,Z$4)&lt;Z$5,"Pendiente",IF(Z$8=0,"OK",IF(EDATE(_xlfn.MAXIFS(Acuses!$D$5:$D$3004,Acuses!$A$5:$A$3004,$A50,Acuses!$B$5:$B$3004,Z$4,Acuses!$C$5:$C$3004,Z$5),Z$8)&lt;Resumen!$C$4,"Caducado",IF(EDATE(_xlfn.MAXIFS(Acuses!$D$5:$D$3004,Acuses!$A$5:$A$3004,$A50,Acuses!$B$5:$B$3004,Z$4,Acuses!$C$5:$C$3004,Z$5),Z$8)&lt;Resumen!$C$4+30,"Caduca pronto","OK"))))))</f>
        <v/>
      </c>
      <c r="AA50" s="26" t="str">
        <f aca="false">IF(OR($A50="",AA$4=""),"",IF(NOT(OR(AA$6="Toda la plantilla",ISNUMBER(SEARCH(";"&amp;SUBSTITUTE($C50," ","")&amp;";",";"&amp;SUBSTITUTE(AA$7," ","")&amp;";")))),"—",IF(_xlfn.MAXIFS(Acuses!$C$5:$C$3004,Acuses!$A$5:$A$3004,$A50,Acuses!$B$5:$B$3004,AA$4)&lt;AA$5,"Pendiente",IF(AA$8=0,"OK",IF(EDATE(_xlfn.MAXIFS(Acuses!$D$5:$D$3004,Acuses!$A$5:$A$3004,$A50,Acuses!$B$5:$B$3004,AA$4,Acuses!$C$5:$C$3004,AA$5),AA$8)&lt;Resumen!$C$4,"Caducado",IF(EDATE(_xlfn.MAXIFS(Acuses!$D$5:$D$3004,Acuses!$A$5:$A$3004,$A50,Acuses!$B$5:$B$3004,AA$4,Acuses!$C$5:$C$3004,AA$5),AA$8)&lt;Resumen!$C$4+30,"Caduca pronto","OK"))))))</f>
        <v/>
      </c>
      <c r="AB50" s="26" t="str">
        <f aca="false">IF(OR($A50="",AB$4=""),"",IF(NOT(OR(AB$6="Toda la plantilla",ISNUMBER(SEARCH(";"&amp;SUBSTITUTE($C50," ","")&amp;";",";"&amp;SUBSTITUTE(AB$7," ","")&amp;";")))),"—",IF(_xlfn.MAXIFS(Acuses!$C$5:$C$3004,Acuses!$A$5:$A$3004,$A50,Acuses!$B$5:$B$3004,AB$4)&lt;AB$5,"Pendiente",IF(AB$8=0,"OK",IF(EDATE(_xlfn.MAXIFS(Acuses!$D$5:$D$3004,Acuses!$A$5:$A$3004,$A50,Acuses!$B$5:$B$3004,AB$4,Acuses!$C$5:$C$3004,AB$5),AB$8)&lt;Resumen!$C$4,"Caducado",IF(EDATE(_xlfn.MAXIFS(Acuses!$D$5:$D$3004,Acuses!$A$5:$A$3004,$A50,Acuses!$B$5:$B$3004,AB$4,Acuses!$C$5:$C$3004,AB$5),AB$8)&lt;Resumen!$C$4+30,"Caduca pronto","OK"))))))</f>
        <v/>
      </c>
      <c r="AC50" s="26" t="str">
        <f aca="false">IF(OR($A50="",AC$4=""),"",IF(NOT(OR(AC$6="Toda la plantilla",ISNUMBER(SEARCH(";"&amp;SUBSTITUTE($C50," ","")&amp;";",";"&amp;SUBSTITUTE(AC$7," ","")&amp;";")))),"—",IF(_xlfn.MAXIFS(Acuses!$C$5:$C$3004,Acuses!$A$5:$A$3004,$A50,Acuses!$B$5:$B$3004,AC$4)&lt;AC$5,"Pendiente",IF(AC$8=0,"OK",IF(EDATE(_xlfn.MAXIFS(Acuses!$D$5:$D$3004,Acuses!$A$5:$A$3004,$A50,Acuses!$B$5:$B$3004,AC$4,Acuses!$C$5:$C$3004,AC$5),AC$8)&lt;Resumen!$C$4,"Caducado",IF(EDATE(_xlfn.MAXIFS(Acuses!$D$5:$D$3004,Acuses!$A$5:$A$3004,$A50,Acuses!$B$5:$B$3004,AC$4,Acuses!$C$5:$C$3004,AC$5),AC$8)&lt;Resumen!$C$4+30,"Caduca pronto","OK"))))))</f>
        <v/>
      </c>
      <c r="AD50" s="26" t="str">
        <f aca="false">IF(OR($A50="",AD$4=""),"",IF(NOT(OR(AD$6="Toda la plantilla",ISNUMBER(SEARCH(";"&amp;SUBSTITUTE($C50," ","")&amp;";",";"&amp;SUBSTITUTE(AD$7," ","")&amp;";")))),"—",IF(_xlfn.MAXIFS(Acuses!$C$5:$C$3004,Acuses!$A$5:$A$3004,$A50,Acuses!$B$5:$B$3004,AD$4)&lt;AD$5,"Pendiente",IF(AD$8=0,"OK",IF(EDATE(_xlfn.MAXIFS(Acuses!$D$5:$D$3004,Acuses!$A$5:$A$3004,$A50,Acuses!$B$5:$B$3004,AD$4,Acuses!$C$5:$C$3004,AD$5),AD$8)&lt;Resumen!$C$4,"Caducado",IF(EDATE(_xlfn.MAXIFS(Acuses!$D$5:$D$3004,Acuses!$A$5:$A$3004,$A50,Acuses!$B$5:$B$3004,AD$4,Acuses!$C$5:$C$3004,AD$5),AD$8)&lt;Resumen!$C$4+30,"Caduca pronto","OK"))))))</f>
        <v/>
      </c>
      <c r="AE50" s="26" t="str">
        <f aca="false">IF(OR($A50="",AE$4=""),"",IF(NOT(OR(AE$6="Toda la plantilla",ISNUMBER(SEARCH(";"&amp;SUBSTITUTE($C50," ","")&amp;";",";"&amp;SUBSTITUTE(AE$7," ","")&amp;";")))),"—",IF(_xlfn.MAXIFS(Acuses!$C$5:$C$3004,Acuses!$A$5:$A$3004,$A50,Acuses!$B$5:$B$3004,AE$4)&lt;AE$5,"Pendiente",IF(AE$8=0,"OK",IF(EDATE(_xlfn.MAXIFS(Acuses!$D$5:$D$3004,Acuses!$A$5:$A$3004,$A50,Acuses!$B$5:$B$3004,AE$4,Acuses!$C$5:$C$3004,AE$5),AE$8)&lt;Resumen!$C$4,"Caducado",IF(EDATE(_xlfn.MAXIFS(Acuses!$D$5:$D$3004,Acuses!$A$5:$A$3004,$A50,Acuses!$B$5:$B$3004,AE$4,Acuses!$C$5:$C$3004,AE$5),AE$8)&lt;Resumen!$C$4+30,"Caduca pronto","OK"))))))</f>
        <v/>
      </c>
      <c r="AF50" s="26" t="str">
        <f aca="false">IF(OR($A50="",AF$4=""),"",IF(NOT(OR(AF$6="Toda la plantilla",ISNUMBER(SEARCH(";"&amp;SUBSTITUTE($C50," ","")&amp;";",";"&amp;SUBSTITUTE(AF$7," ","")&amp;";")))),"—",IF(_xlfn.MAXIFS(Acuses!$C$5:$C$3004,Acuses!$A$5:$A$3004,$A50,Acuses!$B$5:$B$3004,AF$4)&lt;AF$5,"Pendiente",IF(AF$8=0,"OK",IF(EDATE(_xlfn.MAXIFS(Acuses!$D$5:$D$3004,Acuses!$A$5:$A$3004,$A50,Acuses!$B$5:$B$3004,AF$4,Acuses!$C$5:$C$3004,AF$5),AF$8)&lt;Resumen!$C$4,"Caducado",IF(EDATE(_xlfn.MAXIFS(Acuses!$D$5:$D$3004,Acuses!$A$5:$A$3004,$A50,Acuses!$B$5:$B$3004,AF$4,Acuses!$C$5:$C$3004,AF$5),AF$8)&lt;Resumen!$C$4+30,"Caduca pronto","OK"))))))</f>
        <v/>
      </c>
      <c r="AG50" s="26" t="str">
        <f aca="false">IF(OR($A50="",AG$4=""),"",IF(NOT(OR(AG$6="Toda la plantilla",ISNUMBER(SEARCH(";"&amp;SUBSTITUTE($C50," ","")&amp;";",";"&amp;SUBSTITUTE(AG$7," ","")&amp;";")))),"—",IF(_xlfn.MAXIFS(Acuses!$C$5:$C$3004,Acuses!$A$5:$A$3004,$A50,Acuses!$B$5:$B$3004,AG$4)&lt;AG$5,"Pendiente",IF(AG$8=0,"OK",IF(EDATE(_xlfn.MAXIFS(Acuses!$D$5:$D$3004,Acuses!$A$5:$A$3004,$A50,Acuses!$B$5:$B$3004,AG$4,Acuses!$C$5:$C$3004,AG$5),AG$8)&lt;Resumen!$C$4,"Caducado",IF(EDATE(_xlfn.MAXIFS(Acuses!$D$5:$D$3004,Acuses!$A$5:$A$3004,$A50,Acuses!$B$5:$B$3004,AG$4,Acuses!$C$5:$C$3004,AG$5),AG$8)&lt;Resumen!$C$4+30,"Caduca pronto","OK"))))))</f>
        <v/>
      </c>
      <c r="AH50" s="26" t="str">
        <f aca="false">IF(OR($A50="",AH$4=""),"",IF(NOT(OR(AH$6="Toda la plantilla",ISNUMBER(SEARCH(";"&amp;SUBSTITUTE($C50," ","")&amp;";",";"&amp;SUBSTITUTE(AH$7," ","")&amp;";")))),"—",IF(_xlfn.MAXIFS(Acuses!$C$5:$C$3004,Acuses!$A$5:$A$3004,$A50,Acuses!$B$5:$B$3004,AH$4)&lt;AH$5,"Pendiente",IF(AH$8=0,"OK",IF(EDATE(_xlfn.MAXIFS(Acuses!$D$5:$D$3004,Acuses!$A$5:$A$3004,$A50,Acuses!$B$5:$B$3004,AH$4,Acuses!$C$5:$C$3004,AH$5),AH$8)&lt;Resumen!$C$4,"Caducado",IF(EDATE(_xlfn.MAXIFS(Acuses!$D$5:$D$3004,Acuses!$A$5:$A$3004,$A50,Acuses!$B$5:$B$3004,AH$4,Acuses!$C$5:$C$3004,AH$5),AH$8)&lt;Resumen!$C$4+30,"Caduca pronto","OK"))))))</f>
        <v/>
      </c>
      <c r="AI50" s="26" t="str">
        <f aca="false">IF(OR($A50="",AI$4=""),"",IF(NOT(OR(AI$6="Toda la plantilla",ISNUMBER(SEARCH(";"&amp;SUBSTITUTE($C50," ","")&amp;";",";"&amp;SUBSTITUTE(AI$7," ","")&amp;";")))),"—",IF(_xlfn.MAXIFS(Acuses!$C$5:$C$3004,Acuses!$A$5:$A$3004,$A50,Acuses!$B$5:$B$3004,AI$4)&lt;AI$5,"Pendiente",IF(AI$8=0,"OK",IF(EDATE(_xlfn.MAXIFS(Acuses!$D$5:$D$3004,Acuses!$A$5:$A$3004,$A50,Acuses!$B$5:$B$3004,AI$4,Acuses!$C$5:$C$3004,AI$5),AI$8)&lt;Resumen!$C$4,"Caducado",IF(EDATE(_xlfn.MAXIFS(Acuses!$D$5:$D$3004,Acuses!$A$5:$A$3004,$A50,Acuses!$B$5:$B$3004,AI$4,Acuses!$C$5:$C$3004,AI$5),AI$8)&lt;Resumen!$C$4+30,"Caduca pronto","OK"))))))</f>
        <v/>
      </c>
      <c r="AJ50" s="26" t="str">
        <f aca="false">IF(OR($A50="",AJ$4=""),"",IF(NOT(OR(AJ$6="Toda la plantilla",ISNUMBER(SEARCH(";"&amp;SUBSTITUTE($C50," ","")&amp;";",";"&amp;SUBSTITUTE(AJ$7," ","")&amp;";")))),"—",IF(_xlfn.MAXIFS(Acuses!$C$5:$C$3004,Acuses!$A$5:$A$3004,$A50,Acuses!$B$5:$B$3004,AJ$4)&lt;AJ$5,"Pendiente",IF(AJ$8=0,"OK",IF(EDATE(_xlfn.MAXIFS(Acuses!$D$5:$D$3004,Acuses!$A$5:$A$3004,$A50,Acuses!$B$5:$B$3004,AJ$4,Acuses!$C$5:$C$3004,AJ$5),AJ$8)&lt;Resumen!$C$4,"Caducado",IF(EDATE(_xlfn.MAXIFS(Acuses!$D$5:$D$3004,Acuses!$A$5:$A$3004,$A50,Acuses!$B$5:$B$3004,AJ$4,Acuses!$C$5:$C$3004,AJ$5),AJ$8)&lt;Resumen!$C$4+30,"Caduca pronto","OK"))))))</f>
        <v/>
      </c>
      <c r="AK50" s="26" t="str">
        <f aca="false">IF(OR($A50="",AK$4=""),"",IF(NOT(OR(AK$6="Toda la plantilla",ISNUMBER(SEARCH(";"&amp;SUBSTITUTE($C50," ","")&amp;";",";"&amp;SUBSTITUTE(AK$7," ","")&amp;";")))),"—",IF(_xlfn.MAXIFS(Acuses!$C$5:$C$3004,Acuses!$A$5:$A$3004,$A50,Acuses!$B$5:$B$3004,AK$4)&lt;AK$5,"Pendiente",IF(AK$8=0,"OK",IF(EDATE(_xlfn.MAXIFS(Acuses!$D$5:$D$3004,Acuses!$A$5:$A$3004,$A50,Acuses!$B$5:$B$3004,AK$4,Acuses!$C$5:$C$3004,AK$5),AK$8)&lt;Resumen!$C$4,"Caducado",IF(EDATE(_xlfn.MAXIFS(Acuses!$D$5:$D$3004,Acuses!$A$5:$A$3004,$A50,Acuses!$B$5:$B$3004,AK$4,Acuses!$C$5:$C$3004,AK$5),AK$8)&lt;Resumen!$C$4+30,"Caduca pronto","OK"))))))</f>
        <v/>
      </c>
      <c r="AL50" s="26" t="str">
        <f aca="false">IF(OR($A50="",AL$4=""),"",IF(NOT(OR(AL$6="Toda la plantilla",ISNUMBER(SEARCH(";"&amp;SUBSTITUTE($C50," ","")&amp;";",";"&amp;SUBSTITUTE(AL$7," ","")&amp;";")))),"—",IF(_xlfn.MAXIFS(Acuses!$C$5:$C$3004,Acuses!$A$5:$A$3004,$A50,Acuses!$B$5:$B$3004,AL$4)&lt;AL$5,"Pendiente",IF(AL$8=0,"OK",IF(EDATE(_xlfn.MAXIFS(Acuses!$D$5:$D$3004,Acuses!$A$5:$A$3004,$A50,Acuses!$B$5:$B$3004,AL$4,Acuses!$C$5:$C$3004,AL$5),AL$8)&lt;Resumen!$C$4,"Caducado",IF(EDATE(_xlfn.MAXIFS(Acuses!$D$5:$D$3004,Acuses!$A$5:$A$3004,$A50,Acuses!$B$5:$B$3004,AL$4,Acuses!$C$5:$C$3004,AL$5),AL$8)&lt;Resumen!$C$4+30,"Caduca pronto","OK"))))))</f>
        <v/>
      </c>
      <c r="AM50" s="26" t="str">
        <f aca="false">IF(OR($A50="",AM$4=""),"",IF(NOT(OR(AM$6="Toda la plantilla",ISNUMBER(SEARCH(";"&amp;SUBSTITUTE($C50," ","")&amp;";",";"&amp;SUBSTITUTE(AM$7," ","")&amp;";")))),"—",IF(_xlfn.MAXIFS(Acuses!$C$5:$C$3004,Acuses!$A$5:$A$3004,$A50,Acuses!$B$5:$B$3004,AM$4)&lt;AM$5,"Pendiente",IF(AM$8=0,"OK",IF(EDATE(_xlfn.MAXIFS(Acuses!$D$5:$D$3004,Acuses!$A$5:$A$3004,$A50,Acuses!$B$5:$B$3004,AM$4,Acuses!$C$5:$C$3004,AM$5),AM$8)&lt;Resumen!$C$4,"Caducado",IF(EDATE(_xlfn.MAXIFS(Acuses!$D$5:$D$3004,Acuses!$A$5:$A$3004,$A50,Acuses!$B$5:$B$3004,AM$4,Acuses!$C$5:$C$3004,AM$5),AM$8)&lt;Resumen!$C$4+30,"Caduca pronto","OK"))))))</f>
        <v/>
      </c>
      <c r="AN50" s="26" t="str">
        <f aca="false">IF(OR($A50="",AN$4=""),"",IF(NOT(OR(AN$6="Toda la plantilla",ISNUMBER(SEARCH(";"&amp;SUBSTITUTE($C50," ","")&amp;";",";"&amp;SUBSTITUTE(AN$7," ","")&amp;";")))),"—",IF(_xlfn.MAXIFS(Acuses!$C$5:$C$3004,Acuses!$A$5:$A$3004,$A50,Acuses!$B$5:$B$3004,AN$4)&lt;AN$5,"Pendiente",IF(AN$8=0,"OK",IF(EDATE(_xlfn.MAXIFS(Acuses!$D$5:$D$3004,Acuses!$A$5:$A$3004,$A50,Acuses!$B$5:$B$3004,AN$4,Acuses!$C$5:$C$3004,AN$5),AN$8)&lt;Resumen!$C$4,"Caducado",IF(EDATE(_xlfn.MAXIFS(Acuses!$D$5:$D$3004,Acuses!$A$5:$A$3004,$A50,Acuses!$B$5:$B$3004,AN$4,Acuses!$C$5:$C$3004,AN$5),AN$8)&lt;Resumen!$C$4+30,"Caduca pronto","OK"))))))</f>
        <v/>
      </c>
      <c r="AO50" s="26" t="str">
        <f aca="false">IF(OR($A50="",AO$4=""),"",IF(NOT(OR(AO$6="Toda la plantilla",ISNUMBER(SEARCH(";"&amp;SUBSTITUTE($C50," ","")&amp;";",";"&amp;SUBSTITUTE(AO$7," ","")&amp;";")))),"—",IF(_xlfn.MAXIFS(Acuses!$C$5:$C$3004,Acuses!$A$5:$A$3004,$A50,Acuses!$B$5:$B$3004,AO$4)&lt;AO$5,"Pendiente",IF(AO$8=0,"OK",IF(EDATE(_xlfn.MAXIFS(Acuses!$D$5:$D$3004,Acuses!$A$5:$A$3004,$A50,Acuses!$B$5:$B$3004,AO$4,Acuses!$C$5:$C$3004,AO$5),AO$8)&lt;Resumen!$C$4,"Caducado",IF(EDATE(_xlfn.MAXIFS(Acuses!$D$5:$D$3004,Acuses!$A$5:$A$3004,$A50,Acuses!$B$5:$B$3004,AO$4,Acuses!$C$5:$C$3004,AO$5),AO$8)&lt;Resumen!$C$4+30,"Caduca pronto","OK"))))))</f>
        <v/>
      </c>
      <c r="AP50" s="26" t="str">
        <f aca="false">IF(OR($A50="",AP$4=""),"",IF(NOT(OR(AP$6="Toda la plantilla",ISNUMBER(SEARCH(";"&amp;SUBSTITUTE($C50," ","")&amp;";",";"&amp;SUBSTITUTE(AP$7," ","")&amp;";")))),"—",IF(_xlfn.MAXIFS(Acuses!$C$5:$C$3004,Acuses!$A$5:$A$3004,$A50,Acuses!$B$5:$B$3004,AP$4)&lt;AP$5,"Pendiente",IF(AP$8=0,"OK",IF(EDATE(_xlfn.MAXIFS(Acuses!$D$5:$D$3004,Acuses!$A$5:$A$3004,$A50,Acuses!$B$5:$B$3004,AP$4,Acuses!$C$5:$C$3004,AP$5),AP$8)&lt;Resumen!$C$4,"Caducado",IF(EDATE(_xlfn.MAXIFS(Acuses!$D$5:$D$3004,Acuses!$A$5:$A$3004,$A50,Acuses!$B$5:$B$3004,AP$4,Acuses!$C$5:$C$3004,AP$5),AP$8)&lt;Resumen!$C$4+30,"Caduca pronto","OK"))))))</f>
        <v/>
      </c>
      <c r="AQ50" s="26" t="str">
        <f aca="false">IF(OR($A50="",AQ$4=""),"",IF(NOT(OR(AQ$6="Toda la plantilla",ISNUMBER(SEARCH(";"&amp;SUBSTITUTE($C50," ","")&amp;";",";"&amp;SUBSTITUTE(AQ$7," ","")&amp;";")))),"—",IF(_xlfn.MAXIFS(Acuses!$C$5:$C$3004,Acuses!$A$5:$A$3004,$A50,Acuses!$B$5:$B$3004,AQ$4)&lt;AQ$5,"Pendiente",IF(AQ$8=0,"OK",IF(EDATE(_xlfn.MAXIFS(Acuses!$D$5:$D$3004,Acuses!$A$5:$A$3004,$A50,Acuses!$B$5:$B$3004,AQ$4,Acuses!$C$5:$C$3004,AQ$5),AQ$8)&lt;Resumen!$C$4,"Caducado",IF(EDATE(_xlfn.MAXIFS(Acuses!$D$5:$D$3004,Acuses!$A$5:$A$3004,$A50,Acuses!$B$5:$B$3004,AQ$4,Acuses!$C$5:$C$3004,AQ$5),AQ$8)&lt;Resumen!$C$4+30,"Caduca pronto","OK"))))))</f>
        <v/>
      </c>
    </row>
    <row r="51" customFormat="false" ht="15" hidden="false" customHeight="false" outlineLevel="0" collapsed="false">
      <c r="A51" s="25" t="str">
        <f aca="false">IF(AND(Trabajadores!$A$46&lt;&gt;"",Trabajadores!$G$46&lt;&gt;"No"),Trabajadores!$A$46,"")</f>
        <v/>
      </c>
      <c r="B51" s="25" t="str">
        <f aca="false">IF($A51="","",Trabajadores!$B$46)</f>
        <v/>
      </c>
      <c r="C51" s="25" t="str">
        <f aca="false">IF($A51="","",Trabajadores!$C$46)</f>
        <v/>
      </c>
      <c r="D51" s="26" t="str">
        <f aca="false">IF(OR($A51="",D$4=""),"",IF(NOT(OR(D$6="Toda la plantilla",ISNUMBER(SEARCH(";"&amp;SUBSTITUTE($C51," ","")&amp;";",";"&amp;SUBSTITUTE(D$7," ","")&amp;";")))),"—",IF(_xlfn.MAXIFS(Acuses!$C$5:$C$3004,Acuses!$A$5:$A$3004,$A51,Acuses!$B$5:$B$3004,D$4)&lt;D$5,"Pendiente",IF(D$8=0,"OK",IF(EDATE(_xlfn.MAXIFS(Acuses!$D$5:$D$3004,Acuses!$A$5:$A$3004,$A51,Acuses!$B$5:$B$3004,D$4,Acuses!$C$5:$C$3004,D$5),D$8)&lt;Resumen!$C$4,"Caducado",IF(EDATE(_xlfn.MAXIFS(Acuses!$D$5:$D$3004,Acuses!$A$5:$A$3004,$A51,Acuses!$B$5:$B$3004,D$4,Acuses!$C$5:$C$3004,D$5),D$8)&lt;Resumen!$C$4+30,"Caduca pronto","OK"))))))</f>
        <v/>
      </c>
      <c r="E51" s="26" t="str">
        <f aca="false">IF(OR($A51="",E$4=""),"",IF(NOT(OR(E$6="Toda la plantilla",ISNUMBER(SEARCH(";"&amp;SUBSTITUTE($C51," ","")&amp;";",";"&amp;SUBSTITUTE(E$7," ","")&amp;";")))),"—",IF(_xlfn.MAXIFS(Acuses!$C$5:$C$3004,Acuses!$A$5:$A$3004,$A51,Acuses!$B$5:$B$3004,E$4)&lt;E$5,"Pendiente",IF(E$8=0,"OK",IF(EDATE(_xlfn.MAXIFS(Acuses!$D$5:$D$3004,Acuses!$A$5:$A$3004,$A51,Acuses!$B$5:$B$3004,E$4,Acuses!$C$5:$C$3004,E$5),E$8)&lt;Resumen!$C$4,"Caducado",IF(EDATE(_xlfn.MAXIFS(Acuses!$D$5:$D$3004,Acuses!$A$5:$A$3004,$A51,Acuses!$B$5:$B$3004,E$4,Acuses!$C$5:$C$3004,E$5),E$8)&lt;Resumen!$C$4+30,"Caduca pronto","OK"))))))</f>
        <v/>
      </c>
      <c r="F51" s="26" t="str">
        <f aca="false">IF(OR($A51="",F$4=""),"",IF(NOT(OR(F$6="Toda la plantilla",ISNUMBER(SEARCH(";"&amp;SUBSTITUTE($C51," ","")&amp;";",";"&amp;SUBSTITUTE(F$7," ","")&amp;";")))),"—",IF(_xlfn.MAXIFS(Acuses!$C$5:$C$3004,Acuses!$A$5:$A$3004,$A51,Acuses!$B$5:$B$3004,F$4)&lt;F$5,"Pendiente",IF(F$8=0,"OK",IF(EDATE(_xlfn.MAXIFS(Acuses!$D$5:$D$3004,Acuses!$A$5:$A$3004,$A51,Acuses!$B$5:$B$3004,F$4,Acuses!$C$5:$C$3004,F$5),F$8)&lt;Resumen!$C$4,"Caducado",IF(EDATE(_xlfn.MAXIFS(Acuses!$D$5:$D$3004,Acuses!$A$5:$A$3004,$A51,Acuses!$B$5:$B$3004,F$4,Acuses!$C$5:$C$3004,F$5),F$8)&lt;Resumen!$C$4+30,"Caduca pronto","OK"))))))</f>
        <v/>
      </c>
      <c r="G51" s="26" t="str">
        <f aca="false">IF(OR($A51="",G$4=""),"",IF(NOT(OR(G$6="Toda la plantilla",ISNUMBER(SEARCH(";"&amp;SUBSTITUTE($C51," ","")&amp;";",";"&amp;SUBSTITUTE(G$7," ","")&amp;";")))),"—",IF(_xlfn.MAXIFS(Acuses!$C$5:$C$3004,Acuses!$A$5:$A$3004,$A51,Acuses!$B$5:$B$3004,G$4)&lt;G$5,"Pendiente",IF(G$8=0,"OK",IF(EDATE(_xlfn.MAXIFS(Acuses!$D$5:$D$3004,Acuses!$A$5:$A$3004,$A51,Acuses!$B$5:$B$3004,G$4,Acuses!$C$5:$C$3004,G$5),G$8)&lt;Resumen!$C$4,"Caducado",IF(EDATE(_xlfn.MAXIFS(Acuses!$D$5:$D$3004,Acuses!$A$5:$A$3004,$A51,Acuses!$B$5:$B$3004,G$4,Acuses!$C$5:$C$3004,G$5),G$8)&lt;Resumen!$C$4+30,"Caduca pronto","OK"))))))</f>
        <v/>
      </c>
      <c r="H51" s="26" t="str">
        <f aca="false">IF(OR($A51="",H$4=""),"",IF(NOT(OR(H$6="Toda la plantilla",ISNUMBER(SEARCH(";"&amp;SUBSTITUTE($C51," ","")&amp;";",";"&amp;SUBSTITUTE(H$7," ","")&amp;";")))),"—",IF(_xlfn.MAXIFS(Acuses!$C$5:$C$3004,Acuses!$A$5:$A$3004,$A51,Acuses!$B$5:$B$3004,H$4)&lt;H$5,"Pendiente",IF(H$8=0,"OK",IF(EDATE(_xlfn.MAXIFS(Acuses!$D$5:$D$3004,Acuses!$A$5:$A$3004,$A51,Acuses!$B$5:$B$3004,H$4,Acuses!$C$5:$C$3004,H$5),H$8)&lt;Resumen!$C$4,"Caducado",IF(EDATE(_xlfn.MAXIFS(Acuses!$D$5:$D$3004,Acuses!$A$5:$A$3004,$A51,Acuses!$B$5:$B$3004,H$4,Acuses!$C$5:$C$3004,H$5),H$8)&lt;Resumen!$C$4+30,"Caduca pronto","OK"))))))</f>
        <v/>
      </c>
      <c r="I51" s="26" t="str">
        <f aca="false">IF(OR($A51="",I$4=""),"",IF(NOT(OR(I$6="Toda la plantilla",ISNUMBER(SEARCH(";"&amp;SUBSTITUTE($C51," ","")&amp;";",";"&amp;SUBSTITUTE(I$7," ","")&amp;";")))),"—",IF(_xlfn.MAXIFS(Acuses!$C$5:$C$3004,Acuses!$A$5:$A$3004,$A51,Acuses!$B$5:$B$3004,I$4)&lt;I$5,"Pendiente",IF(I$8=0,"OK",IF(EDATE(_xlfn.MAXIFS(Acuses!$D$5:$D$3004,Acuses!$A$5:$A$3004,$A51,Acuses!$B$5:$B$3004,I$4,Acuses!$C$5:$C$3004,I$5),I$8)&lt;Resumen!$C$4,"Caducado",IF(EDATE(_xlfn.MAXIFS(Acuses!$D$5:$D$3004,Acuses!$A$5:$A$3004,$A51,Acuses!$B$5:$B$3004,I$4,Acuses!$C$5:$C$3004,I$5),I$8)&lt;Resumen!$C$4+30,"Caduca pronto","OK"))))))</f>
        <v/>
      </c>
      <c r="J51" s="26" t="str">
        <f aca="false">IF(OR($A51="",J$4=""),"",IF(NOT(OR(J$6="Toda la plantilla",ISNUMBER(SEARCH(";"&amp;SUBSTITUTE($C51," ","")&amp;";",";"&amp;SUBSTITUTE(J$7," ","")&amp;";")))),"—",IF(_xlfn.MAXIFS(Acuses!$C$5:$C$3004,Acuses!$A$5:$A$3004,$A51,Acuses!$B$5:$B$3004,J$4)&lt;J$5,"Pendiente",IF(J$8=0,"OK",IF(EDATE(_xlfn.MAXIFS(Acuses!$D$5:$D$3004,Acuses!$A$5:$A$3004,$A51,Acuses!$B$5:$B$3004,J$4,Acuses!$C$5:$C$3004,J$5),J$8)&lt;Resumen!$C$4,"Caducado",IF(EDATE(_xlfn.MAXIFS(Acuses!$D$5:$D$3004,Acuses!$A$5:$A$3004,$A51,Acuses!$B$5:$B$3004,J$4,Acuses!$C$5:$C$3004,J$5),J$8)&lt;Resumen!$C$4+30,"Caduca pronto","OK"))))))</f>
        <v/>
      </c>
      <c r="K51" s="26" t="str">
        <f aca="false">IF(OR($A51="",K$4=""),"",IF(NOT(OR(K$6="Toda la plantilla",ISNUMBER(SEARCH(";"&amp;SUBSTITUTE($C51," ","")&amp;";",";"&amp;SUBSTITUTE(K$7," ","")&amp;";")))),"—",IF(_xlfn.MAXIFS(Acuses!$C$5:$C$3004,Acuses!$A$5:$A$3004,$A51,Acuses!$B$5:$B$3004,K$4)&lt;K$5,"Pendiente",IF(K$8=0,"OK",IF(EDATE(_xlfn.MAXIFS(Acuses!$D$5:$D$3004,Acuses!$A$5:$A$3004,$A51,Acuses!$B$5:$B$3004,K$4,Acuses!$C$5:$C$3004,K$5),K$8)&lt;Resumen!$C$4,"Caducado",IF(EDATE(_xlfn.MAXIFS(Acuses!$D$5:$D$3004,Acuses!$A$5:$A$3004,$A51,Acuses!$B$5:$B$3004,K$4,Acuses!$C$5:$C$3004,K$5),K$8)&lt;Resumen!$C$4+30,"Caduca pronto","OK"))))))</f>
        <v/>
      </c>
      <c r="L51" s="26" t="str">
        <f aca="false">IF(OR($A51="",L$4=""),"",IF(NOT(OR(L$6="Toda la plantilla",ISNUMBER(SEARCH(";"&amp;SUBSTITUTE($C51," ","")&amp;";",";"&amp;SUBSTITUTE(L$7," ","")&amp;";")))),"—",IF(_xlfn.MAXIFS(Acuses!$C$5:$C$3004,Acuses!$A$5:$A$3004,$A51,Acuses!$B$5:$B$3004,L$4)&lt;L$5,"Pendiente",IF(L$8=0,"OK",IF(EDATE(_xlfn.MAXIFS(Acuses!$D$5:$D$3004,Acuses!$A$5:$A$3004,$A51,Acuses!$B$5:$B$3004,L$4,Acuses!$C$5:$C$3004,L$5),L$8)&lt;Resumen!$C$4,"Caducado",IF(EDATE(_xlfn.MAXIFS(Acuses!$D$5:$D$3004,Acuses!$A$5:$A$3004,$A51,Acuses!$B$5:$B$3004,L$4,Acuses!$C$5:$C$3004,L$5),L$8)&lt;Resumen!$C$4+30,"Caduca pronto","OK"))))))</f>
        <v/>
      </c>
      <c r="M51" s="26" t="str">
        <f aca="false">IF(OR($A51="",M$4=""),"",IF(NOT(OR(M$6="Toda la plantilla",ISNUMBER(SEARCH(";"&amp;SUBSTITUTE($C51," ","")&amp;";",";"&amp;SUBSTITUTE(M$7," ","")&amp;";")))),"—",IF(_xlfn.MAXIFS(Acuses!$C$5:$C$3004,Acuses!$A$5:$A$3004,$A51,Acuses!$B$5:$B$3004,M$4)&lt;M$5,"Pendiente",IF(M$8=0,"OK",IF(EDATE(_xlfn.MAXIFS(Acuses!$D$5:$D$3004,Acuses!$A$5:$A$3004,$A51,Acuses!$B$5:$B$3004,M$4,Acuses!$C$5:$C$3004,M$5),M$8)&lt;Resumen!$C$4,"Caducado",IF(EDATE(_xlfn.MAXIFS(Acuses!$D$5:$D$3004,Acuses!$A$5:$A$3004,$A51,Acuses!$B$5:$B$3004,M$4,Acuses!$C$5:$C$3004,M$5),M$8)&lt;Resumen!$C$4+30,"Caduca pronto","OK"))))))</f>
        <v/>
      </c>
      <c r="N51" s="26" t="str">
        <f aca="false">IF(OR($A51="",N$4=""),"",IF(NOT(OR(N$6="Toda la plantilla",ISNUMBER(SEARCH(";"&amp;SUBSTITUTE($C51," ","")&amp;";",";"&amp;SUBSTITUTE(N$7," ","")&amp;";")))),"—",IF(_xlfn.MAXIFS(Acuses!$C$5:$C$3004,Acuses!$A$5:$A$3004,$A51,Acuses!$B$5:$B$3004,N$4)&lt;N$5,"Pendiente",IF(N$8=0,"OK",IF(EDATE(_xlfn.MAXIFS(Acuses!$D$5:$D$3004,Acuses!$A$5:$A$3004,$A51,Acuses!$B$5:$B$3004,N$4,Acuses!$C$5:$C$3004,N$5),N$8)&lt;Resumen!$C$4,"Caducado",IF(EDATE(_xlfn.MAXIFS(Acuses!$D$5:$D$3004,Acuses!$A$5:$A$3004,$A51,Acuses!$B$5:$B$3004,N$4,Acuses!$C$5:$C$3004,N$5),N$8)&lt;Resumen!$C$4+30,"Caduca pronto","OK"))))))</f>
        <v/>
      </c>
      <c r="O51" s="26" t="str">
        <f aca="false">IF(OR($A51="",O$4=""),"",IF(NOT(OR(O$6="Toda la plantilla",ISNUMBER(SEARCH(";"&amp;SUBSTITUTE($C51," ","")&amp;";",";"&amp;SUBSTITUTE(O$7," ","")&amp;";")))),"—",IF(_xlfn.MAXIFS(Acuses!$C$5:$C$3004,Acuses!$A$5:$A$3004,$A51,Acuses!$B$5:$B$3004,O$4)&lt;O$5,"Pendiente",IF(O$8=0,"OK",IF(EDATE(_xlfn.MAXIFS(Acuses!$D$5:$D$3004,Acuses!$A$5:$A$3004,$A51,Acuses!$B$5:$B$3004,O$4,Acuses!$C$5:$C$3004,O$5),O$8)&lt;Resumen!$C$4,"Caducado",IF(EDATE(_xlfn.MAXIFS(Acuses!$D$5:$D$3004,Acuses!$A$5:$A$3004,$A51,Acuses!$B$5:$B$3004,O$4,Acuses!$C$5:$C$3004,O$5),O$8)&lt;Resumen!$C$4+30,"Caduca pronto","OK"))))))</f>
        <v/>
      </c>
      <c r="P51" s="26" t="str">
        <f aca="false">IF(OR($A51="",P$4=""),"",IF(NOT(OR(P$6="Toda la plantilla",ISNUMBER(SEARCH(";"&amp;SUBSTITUTE($C51," ","")&amp;";",";"&amp;SUBSTITUTE(P$7," ","")&amp;";")))),"—",IF(_xlfn.MAXIFS(Acuses!$C$5:$C$3004,Acuses!$A$5:$A$3004,$A51,Acuses!$B$5:$B$3004,P$4)&lt;P$5,"Pendiente",IF(P$8=0,"OK",IF(EDATE(_xlfn.MAXIFS(Acuses!$D$5:$D$3004,Acuses!$A$5:$A$3004,$A51,Acuses!$B$5:$B$3004,P$4,Acuses!$C$5:$C$3004,P$5),P$8)&lt;Resumen!$C$4,"Caducado",IF(EDATE(_xlfn.MAXIFS(Acuses!$D$5:$D$3004,Acuses!$A$5:$A$3004,$A51,Acuses!$B$5:$B$3004,P$4,Acuses!$C$5:$C$3004,P$5),P$8)&lt;Resumen!$C$4+30,"Caduca pronto","OK"))))))</f>
        <v/>
      </c>
      <c r="Q51" s="26" t="str">
        <f aca="false">IF(OR($A51="",Q$4=""),"",IF(NOT(OR(Q$6="Toda la plantilla",ISNUMBER(SEARCH(";"&amp;SUBSTITUTE($C51," ","")&amp;";",";"&amp;SUBSTITUTE(Q$7," ","")&amp;";")))),"—",IF(_xlfn.MAXIFS(Acuses!$C$5:$C$3004,Acuses!$A$5:$A$3004,$A51,Acuses!$B$5:$B$3004,Q$4)&lt;Q$5,"Pendiente",IF(Q$8=0,"OK",IF(EDATE(_xlfn.MAXIFS(Acuses!$D$5:$D$3004,Acuses!$A$5:$A$3004,$A51,Acuses!$B$5:$B$3004,Q$4,Acuses!$C$5:$C$3004,Q$5),Q$8)&lt;Resumen!$C$4,"Caducado",IF(EDATE(_xlfn.MAXIFS(Acuses!$D$5:$D$3004,Acuses!$A$5:$A$3004,$A51,Acuses!$B$5:$B$3004,Q$4,Acuses!$C$5:$C$3004,Q$5),Q$8)&lt;Resumen!$C$4+30,"Caduca pronto","OK"))))))</f>
        <v/>
      </c>
      <c r="R51" s="26" t="str">
        <f aca="false">IF(OR($A51="",R$4=""),"",IF(NOT(OR(R$6="Toda la plantilla",ISNUMBER(SEARCH(";"&amp;SUBSTITUTE($C51," ","")&amp;";",";"&amp;SUBSTITUTE(R$7," ","")&amp;";")))),"—",IF(_xlfn.MAXIFS(Acuses!$C$5:$C$3004,Acuses!$A$5:$A$3004,$A51,Acuses!$B$5:$B$3004,R$4)&lt;R$5,"Pendiente",IF(R$8=0,"OK",IF(EDATE(_xlfn.MAXIFS(Acuses!$D$5:$D$3004,Acuses!$A$5:$A$3004,$A51,Acuses!$B$5:$B$3004,R$4,Acuses!$C$5:$C$3004,R$5),R$8)&lt;Resumen!$C$4,"Caducado",IF(EDATE(_xlfn.MAXIFS(Acuses!$D$5:$D$3004,Acuses!$A$5:$A$3004,$A51,Acuses!$B$5:$B$3004,R$4,Acuses!$C$5:$C$3004,R$5),R$8)&lt;Resumen!$C$4+30,"Caduca pronto","OK"))))))</f>
        <v/>
      </c>
      <c r="S51" s="26" t="str">
        <f aca="false">IF(OR($A51="",S$4=""),"",IF(NOT(OR(S$6="Toda la plantilla",ISNUMBER(SEARCH(";"&amp;SUBSTITUTE($C51," ","")&amp;";",";"&amp;SUBSTITUTE(S$7," ","")&amp;";")))),"—",IF(_xlfn.MAXIFS(Acuses!$C$5:$C$3004,Acuses!$A$5:$A$3004,$A51,Acuses!$B$5:$B$3004,S$4)&lt;S$5,"Pendiente",IF(S$8=0,"OK",IF(EDATE(_xlfn.MAXIFS(Acuses!$D$5:$D$3004,Acuses!$A$5:$A$3004,$A51,Acuses!$B$5:$B$3004,S$4,Acuses!$C$5:$C$3004,S$5),S$8)&lt;Resumen!$C$4,"Caducado",IF(EDATE(_xlfn.MAXIFS(Acuses!$D$5:$D$3004,Acuses!$A$5:$A$3004,$A51,Acuses!$B$5:$B$3004,S$4,Acuses!$C$5:$C$3004,S$5),S$8)&lt;Resumen!$C$4+30,"Caduca pronto","OK"))))))</f>
        <v/>
      </c>
      <c r="T51" s="26" t="str">
        <f aca="false">IF(OR($A51="",T$4=""),"",IF(NOT(OR(T$6="Toda la plantilla",ISNUMBER(SEARCH(";"&amp;SUBSTITUTE($C51," ","")&amp;";",";"&amp;SUBSTITUTE(T$7," ","")&amp;";")))),"—",IF(_xlfn.MAXIFS(Acuses!$C$5:$C$3004,Acuses!$A$5:$A$3004,$A51,Acuses!$B$5:$B$3004,T$4)&lt;T$5,"Pendiente",IF(T$8=0,"OK",IF(EDATE(_xlfn.MAXIFS(Acuses!$D$5:$D$3004,Acuses!$A$5:$A$3004,$A51,Acuses!$B$5:$B$3004,T$4,Acuses!$C$5:$C$3004,T$5),T$8)&lt;Resumen!$C$4,"Caducado",IF(EDATE(_xlfn.MAXIFS(Acuses!$D$5:$D$3004,Acuses!$A$5:$A$3004,$A51,Acuses!$B$5:$B$3004,T$4,Acuses!$C$5:$C$3004,T$5),T$8)&lt;Resumen!$C$4+30,"Caduca pronto","OK"))))))</f>
        <v/>
      </c>
      <c r="U51" s="26" t="str">
        <f aca="false">IF(OR($A51="",U$4=""),"",IF(NOT(OR(U$6="Toda la plantilla",ISNUMBER(SEARCH(";"&amp;SUBSTITUTE($C51," ","")&amp;";",";"&amp;SUBSTITUTE(U$7," ","")&amp;";")))),"—",IF(_xlfn.MAXIFS(Acuses!$C$5:$C$3004,Acuses!$A$5:$A$3004,$A51,Acuses!$B$5:$B$3004,U$4)&lt;U$5,"Pendiente",IF(U$8=0,"OK",IF(EDATE(_xlfn.MAXIFS(Acuses!$D$5:$D$3004,Acuses!$A$5:$A$3004,$A51,Acuses!$B$5:$B$3004,U$4,Acuses!$C$5:$C$3004,U$5),U$8)&lt;Resumen!$C$4,"Caducado",IF(EDATE(_xlfn.MAXIFS(Acuses!$D$5:$D$3004,Acuses!$A$5:$A$3004,$A51,Acuses!$B$5:$B$3004,U$4,Acuses!$C$5:$C$3004,U$5),U$8)&lt;Resumen!$C$4+30,"Caduca pronto","OK"))))))</f>
        <v/>
      </c>
      <c r="V51" s="26" t="str">
        <f aca="false">IF(OR($A51="",V$4=""),"",IF(NOT(OR(V$6="Toda la plantilla",ISNUMBER(SEARCH(";"&amp;SUBSTITUTE($C51," ","")&amp;";",";"&amp;SUBSTITUTE(V$7," ","")&amp;";")))),"—",IF(_xlfn.MAXIFS(Acuses!$C$5:$C$3004,Acuses!$A$5:$A$3004,$A51,Acuses!$B$5:$B$3004,V$4)&lt;V$5,"Pendiente",IF(V$8=0,"OK",IF(EDATE(_xlfn.MAXIFS(Acuses!$D$5:$D$3004,Acuses!$A$5:$A$3004,$A51,Acuses!$B$5:$B$3004,V$4,Acuses!$C$5:$C$3004,V$5),V$8)&lt;Resumen!$C$4,"Caducado",IF(EDATE(_xlfn.MAXIFS(Acuses!$D$5:$D$3004,Acuses!$A$5:$A$3004,$A51,Acuses!$B$5:$B$3004,V$4,Acuses!$C$5:$C$3004,V$5),V$8)&lt;Resumen!$C$4+30,"Caduca pronto","OK"))))))</f>
        <v/>
      </c>
      <c r="W51" s="26" t="str">
        <f aca="false">IF(OR($A51="",W$4=""),"",IF(NOT(OR(W$6="Toda la plantilla",ISNUMBER(SEARCH(";"&amp;SUBSTITUTE($C51," ","")&amp;";",";"&amp;SUBSTITUTE(W$7," ","")&amp;";")))),"—",IF(_xlfn.MAXIFS(Acuses!$C$5:$C$3004,Acuses!$A$5:$A$3004,$A51,Acuses!$B$5:$B$3004,W$4)&lt;W$5,"Pendiente",IF(W$8=0,"OK",IF(EDATE(_xlfn.MAXIFS(Acuses!$D$5:$D$3004,Acuses!$A$5:$A$3004,$A51,Acuses!$B$5:$B$3004,W$4,Acuses!$C$5:$C$3004,W$5),W$8)&lt;Resumen!$C$4,"Caducado",IF(EDATE(_xlfn.MAXIFS(Acuses!$D$5:$D$3004,Acuses!$A$5:$A$3004,$A51,Acuses!$B$5:$B$3004,W$4,Acuses!$C$5:$C$3004,W$5),W$8)&lt;Resumen!$C$4+30,"Caduca pronto","OK"))))))</f>
        <v/>
      </c>
      <c r="X51" s="26" t="str">
        <f aca="false">IF(OR($A51="",X$4=""),"",IF(NOT(OR(X$6="Toda la plantilla",ISNUMBER(SEARCH(";"&amp;SUBSTITUTE($C51," ","")&amp;";",";"&amp;SUBSTITUTE(X$7," ","")&amp;";")))),"—",IF(_xlfn.MAXIFS(Acuses!$C$5:$C$3004,Acuses!$A$5:$A$3004,$A51,Acuses!$B$5:$B$3004,X$4)&lt;X$5,"Pendiente",IF(X$8=0,"OK",IF(EDATE(_xlfn.MAXIFS(Acuses!$D$5:$D$3004,Acuses!$A$5:$A$3004,$A51,Acuses!$B$5:$B$3004,X$4,Acuses!$C$5:$C$3004,X$5),X$8)&lt;Resumen!$C$4,"Caducado",IF(EDATE(_xlfn.MAXIFS(Acuses!$D$5:$D$3004,Acuses!$A$5:$A$3004,$A51,Acuses!$B$5:$B$3004,X$4,Acuses!$C$5:$C$3004,X$5),X$8)&lt;Resumen!$C$4+30,"Caduca pronto","OK"))))))</f>
        <v/>
      </c>
      <c r="Y51" s="26" t="str">
        <f aca="false">IF(OR($A51="",Y$4=""),"",IF(NOT(OR(Y$6="Toda la plantilla",ISNUMBER(SEARCH(";"&amp;SUBSTITUTE($C51," ","")&amp;";",";"&amp;SUBSTITUTE(Y$7," ","")&amp;";")))),"—",IF(_xlfn.MAXIFS(Acuses!$C$5:$C$3004,Acuses!$A$5:$A$3004,$A51,Acuses!$B$5:$B$3004,Y$4)&lt;Y$5,"Pendiente",IF(Y$8=0,"OK",IF(EDATE(_xlfn.MAXIFS(Acuses!$D$5:$D$3004,Acuses!$A$5:$A$3004,$A51,Acuses!$B$5:$B$3004,Y$4,Acuses!$C$5:$C$3004,Y$5),Y$8)&lt;Resumen!$C$4,"Caducado",IF(EDATE(_xlfn.MAXIFS(Acuses!$D$5:$D$3004,Acuses!$A$5:$A$3004,$A51,Acuses!$B$5:$B$3004,Y$4,Acuses!$C$5:$C$3004,Y$5),Y$8)&lt;Resumen!$C$4+30,"Caduca pronto","OK"))))))</f>
        <v/>
      </c>
      <c r="Z51" s="26" t="str">
        <f aca="false">IF(OR($A51="",Z$4=""),"",IF(NOT(OR(Z$6="Toda la plantilla",ISNUMBER(SEARCH(";"&amp;SUBSTITUTE($C51," ","")&amp;";",";"&amp;SUBSTITUTE(Z$7," ","")&amp;";")))),"—",IF(_xlfn.MAXIFS(Acuses!$C$5:$C$3004,Acuses!$A$5:$A$3004,$A51,Acuses!$B$5:$B$3004,Z$4)&lt;Z$5,"Pendiente",IF(Z$8=0,"OK",IF(EDATE(_xlfn.MAXIFS(Acuses!$D$5:$D$3004,Acuses!$A$5:$A$3004,$A51,Acuses!$B$5:$B$3004,Z$4,Acuses!$C$5:$C$3004,Z$5),Z$8)&lt;Resumen!$C$4,"Caducado",IF(EDATE(_xlfn.MAXIFS(Acuses!$D$5:$D$3004,Acuses!$A$5:$A$3004,$A51,Acuses!$B$5:$B$3004,Z$4,Acuses!$C$5:$C$3004,Z$5),Z$8)&lt;Resumen!$C$4+30,"Caduca pronto","OK"))))))</f>
        <v/>
      </c>
      <c r="AA51" s="26" t="str">
        <f aca="false">IF(OR($A51="",AA$4=""),"",IF(NOT(OR(AA$6="Toda la plantilla",ISNUMBER(SEARCH(";"&amp;SUBSTITUTE($C51," ","")&amp;";",";"&amp;SUBSTITUTE(AA$7," ","")&amp;";")))),"—",IF(_xlfn.MAXIFS(Acuses!$C$5:$C$3004,Acuses!$A$5:$A$3004,$A51,Acuses!$B$5:$B$3004,AA$4)&lt;AA$5,"Pendiente",IF(AA$8=0,"OK",IF(EDATE(_xlfn.MAXIFS(Acuses!$D$5:$D$3004,Acuses!$A$5:$A$3004,$A51,Acuses!$B$5:$B$3004,AA$4,Acuses!$C$5:$C$3004,AA$5),AA$8)&lt;Resumen!$C$4,"Caducado",IF(EDATE(_xlfn.MAXIFS(Acuses!$D$5:$D$3004,Acuses!$A$5:$A$3004,$A51,Acuses!$B$5:$B$3004,AA$4,Acuses!$C$5:$C$3004,AA$5),AA$8)&lt;Resumen!$C$4+30,"Caduca pronto","OK"))))))</f>
        <v/>
      </c>
      <c r="AB51" s="26" t="str">
        <f aca="false">IF(OR($A51="",AB$4=""),"",IF(NOT(OR(AB$6="Toda la plantilla",ISNUMBER(SEARCH(";"&amp;SUBSTITUTE($C51," ","")&amp;";",";"&amp;SUBSTITUTE(AB$7," ","")&amp;";")))),"—",IF(_xlfn.MAXIFS(Acuses!$C$5:$C$3004,Acuses!$A$5:$A$3004,$A51,Acuses!$B$5:$B$3004,AB$4)&lt;AB$5,"Pendiente",IF(AB$8=0,"OK",IF(EDATE(_xlfn.MAXIFS(Acuses!$D$5:$D$3004,Acuses!$A$5:$A$3004,$A51,Acuses!$B$5:$B$3004,AB$4,Acuses!$C$5:$C$3004,AB$5),AB$8)&lt;Resumen!$C$4,"Caducado",IF(EDATE(_xlfn.MAXIFS(Acuses!$D$5:$D$3004,Acuses!$A$5:$A$3004,$A51,Acuses!$B$5:$B$3004,AB$4,Acuses!$C$5:$C$3004,AB$5),AB$8)&lt;Resumen!$C$4+30,"Caduca pronto","OK"))))))</f>
        <v/>
      </c>
      <c r="AC51" s="26" t="str">
        <f aca="false">IF(OR($A51="",AC$4=""),"",IF(NOT(OR(AC$6="Toda la plantilla",ISNUMBER(SEARCH(";"&amp;SUBSTITUTE($C51," ","")&amp;";",";"&amp;SUBSTITUTE(AC$7," ","")&amp;";")))),"—",IF(_xlfn.MAXIFS(Acuses!$C$5:$C$3004,Acuses!$A$5:$A$3004,$A51,Acuses!$B$5:$B$3004,AC$4)&lt;AC$5,"Pendiente",IF(AC$8=0,"OK",IF(EDATE(_xlfn.MAXIFS(Acuses!$D$5:$D$3004,Acuses!$A$5:$A$3004,$A51,Acuses!$B$5:$B$3004,AC$4,Acuses!$C$5:$C$3004,AC$5),AC$8)&lt;Resumen!$C$4,"Caducado",IF(EDATE(_xlfn.MAXIFS(Acuses!$D$5:$D$3004,Acuses!$A$5:$A$3004,$A51,Acuses!$B$5:$B$3004,AC$4,Acuses!$C$5:$C$3004,AC$5),AC$8)&lt;Resumen!$C$4+30,"Caduca pronto","OK"))))))</f>
        <v/>
      </c>
      <c r="AD51" s="26" t="str">
        <f aca="false">IF(OR($A51="",AD$4=""),"",IF(NOT(OR(AD$6="Toda la plantilla",ISNUMBER(SEARCH(";"&amp;SUBSTITUTE($C51," ","")&amp;";",";"&amp;SUBSTITUTE(AD$7," ","")&amp;";")))),"—",IF(_xlfn.MAXIFS(Acuses!$C$5:$C$3004,Acuses!$A$5:$A$3004,$A51,Acuses!$B$5:$B$3004,AD$4)&lt;AD$5,"Pendiente",IF(AD$8=0,"OK",IF(EDATE(_xlfn.MAXIFS(Acuses!$D$5:$D$3004,Acuses!$A$5:$A$3004,$A51,Acuses!$B$5:$B$3004,AD$4,Acuses!$C$5:$C$3004,AD$5),AD$8)&lt;Resumen!$C$4,"Caducado",IF(EDATE(_xlfn.MAXIFS(Acuses!$D$5:$D$3004,Acuses!$A$5:$A$3004,$A51,Acuses!$B$5:$B$3004,AD$4,Acuses!$C$5:$C$3004,AD$5),AD$8)&lt;Resumen!$C$4+30,"Caduca pronto","OK"))))))</f>
        <v/>
      </c>
      <c r="AE51" s="26" t="str">
        <f aca="false">IF(OR($A51="",AE$4=""),"",IF(NOT(OR(AE$6="Toda la plantilla",ISNUMBER(SEARCH(";"&amp;SUBSTITUTE($C51," ","")&amp;";",";"&amp;SUBSTITUTE(AE$7," ","")&amp;";")))),"—",IF(_xlfn.MAXIFS(Acuses!$C$5:$C$3004,Acuses!$A$5:$A$3004,$A51,Acuses!$B$5:$B$3004,AE$4)&lt;AE$5,"Pendiente",IF(AE$8=0,"OK",IF(EDATE(_xlfn.MAXIFS(Acuses!$D$5:$D$3004,Acuses!$A$5:$A$3004,$A51,Acuses!$B$5:$B$3004,AE$4,Acuses!$C$5:$C$3004,AE$5),AE$8)&lt;Resumen!$C$4,"Caducado",IF(EDATE(_xlfn.MAXIFS(Acuses!$D$5:$D$3004,Acuses!$A$5:$A$3004,$A51,Acuses!$B$5:$B$3004,AE$4,Acuses!$C$5:$C$3004,AE$5),AE$8)&lt;Resumen!$C$4+30,"Caduca pronto","OK"))))))</f>
        <v/>
      </c>
      <c r="AF51" s="26" t="str">
        <f aca="false">IF(OR($A51="",AF$4=""),"",IF(NOT(OR(AF$6="Toda la plantilla",ISNUMBER(SEARCH(";"&amp;SUBSTITUTE($C51," ","")&amp;";",";"&amp;SUBSTITUTE(AF$7," ","")&amp;";")))),"—",IF(_xlfn.MAXIFS(Acuses!$C$5:$C$3004,Acuses!$A$5:$A$3004,$A51,Acuses!$B$5:$B$3004,AF$4)&lt;AF$5,"Pendiente",IF(AF$8=0,"OK",IF(EDATE(_xlfn.MAXIFS(Acuses!$D$5:$D$3004,Acuses!$A$5:$A$3004,$A51,Acuses!$B$5:$B$3004,AF$4,Acuses!$C$5:$C$3004,AF$5),AF$8)&lt;Resumen!$C$4,"Caducado",IF(EDATE(_xlfn.MAXIFS(Acuses!$D$5:$D$3004,Acuses!$A$5:$A$3004,$A51,Acuses!$B$5:$B$3004,AF$4,Acuses!$C$5:$C$3004,AF$5),AF$8)&lt;Resumen!$C$4+30,"Caduca pronto","OK"))))))</f>
        <v/>
      </c>
      <c r="AG51" s="26" t="str">
        <f aca="false">IF(OR($A51="",AG$4=""),"",IF(NOT(OR(AG$6="Toda la plantilla",ISNUMBER(SEARCH(";"&amp;SUBSTITUTE($C51," ","")&amp;";",";"&amp;SUBSTITUTE(AG$7," ","")&amp;";")))),"—",IF(_xlfn.MAXIFS(Acuses!$C$5:$C$3004,Acuses!$A$5:$A$3004,$A51,Acuses!$B$5:$B$3004,AG$4)&lt;AG$5,"Pendiente",IF(AG$8=0,"OK",IF(EDATE(_xlfn.MAXIFS(Acuses!$D$5:$D$3004,Acuses!$A$5:$A$3004,$A51,Acuses!$B$5:$B$3004,AG$4,Acuses!$C$5:$C$3004,AG$5),AG$8)&lt;Resumen!$C$4,"Caducado",IF(EDATE(_xlfn.MAXIFS(Acuses!$D$5:$D$3004,Acuses!$A$5:$A$3004,$A51,Acuses!$B$5:$B$3004,AG$4,Acuses!$C$5:$C$3004,AG$5),AG$8)&lt;Resumen!$C$4+30,"Caduca pronto","OK"))))))</f>
        <v/>
      </c>
      <c r="AH51" s="26" t="str">
        <f aca="false">IF(OR($A51="",AH$4=""),"",IF(NOT(OR(AH$6="Toda la plantilla",ISNUMBER(SEARCH(";"&amp;SUBSTITUTE($C51," ","")&amp;";",";"&amp;SUBSTITUTE(AH$7," ","")&amp;";")))),"—",IF(_xlfn.MAXIFS(Acuses!$C$5:$C$3004,Acuses!$A$5:$A$3004,$A51,Acuses!$B$5:$B$3004,AH$4)&lt;AH$5,"Pendiente",IF(AH$8=0,"OK",IF(EDATE(_xlfn.MAXIFS(Acuses!$D$5:$D$3004,Acuses!$A$5:$A$3004,$A51,Acuses!$B$5:$B$3004,AH$4,Acuses!$C$5:$C$3004,AH$5),AH$8)&lt;Resumen!$C$4,"Caducado",IF(EDATE(_xlfn.MAXIFS(Acuses!$D$5:$D$3004,Acuses!$A$5:$A$3004,$A51,Acuses!$B$5:$B$3004,AH$4,Acuses!$C$5:$C$3004,AH$5),AH$8)&lt;Resumen!$C$4+30,"Caduca pronto","OK"))))))</f>
        <v/>
      </c>
      <c r="AI51" s="26" t="str">
        <f aca="false">IF(OR($A51="",AI$4=""),"",IF(NOT(OR(AI$6="Toda la plantilla",ISNUMBER(SEARCH(";"&amp;SUBSTITUTE($C51," ","")&amp;";",";"&amp;SUBSTITUTE(AI$7," ","")&amp;";")))),"—",IF(_xlfn.MAXIFS(Acuses!$C$5:$C$3004,Acuses!$A$5:$A$3004,$A51,Acuses!$B$5:$B$3004,AI$4)&lt;AI$5,"Pendiente",IF(AI$8=0,"OK",IF(EDATE(_xlfn.MAXIFS(Acuses!$D$5:$D$3004,Acuses!$A$5:$A$3004,$A51,Acuses!$B$5:$B$3004,AI$4,Acuses!$C$5:$C$3004,AI$5),AI$8)&lt;Resumen!$C$4,"Caducado",IF(EDATE(_xlfn.MAXIFS(Acuses!$D$5:$D$3004,Acuses!$A$5:$A$3004,$A51,Acuses!$B$5:$B$3004,AI$4,Acuses!$C$5:$C$3004,AI$5),AI$8)&lt;Resumen!$C$4+30,"Caduca pronto","OK"))))))</f>
        <v/>
      </c>
      <c r="AJ51" s="26" t="str">
        <f aca="false">IF(OR($A51="",AJ$4=""),"",IF(NOT(OR(AJ$6="Toda la plantilla",ISNUMBER(SEARCH(";"&amp;SUBSTITUTE($C51," ","")&amp;";",";"&amp;SUBSTITUTE(AJ$7," ","")&amp;";")))),"—",IF(_xlfn.MAXIFS(Acuses!$C$5:$C$3004,Acuses!$A$5:$A$3004,$A51,Acuses!$B$5:$B$3004,AJ$4)&lt;AJ$5,"Pendiente",IF(AJ$8=0,"OK",IF(EDATE(_xlfn.MAXIFS(Acuses!$D$5:$D$3004,Acuses!$A$5:$A$3004,$A51,Acuses!$B$5:$B$3004,AJ$4,Acuses!$C$5:$C$3004,AJ$5),AJ$8)&lt;Resumen!$C$4,"Caducado",IF(EDATE(_xlfn.MAXIFS(Acuses!$D$5:$D$3004,Acuses!$A$5:$A$3004,$A51,Acuses!$B$5:$B$3004,AJ$4,Acuses!$C$5:$C$3004,AJ$5),AJ$8)&lt;Resumen!$C$4+30,"Caduca pronto","OK"))))))</f>
        <v/>
      </c>
      <c r="AK51" s="26" t="str">
        <f aca="false">IF(OR($A51="",AK$4=""),"",IF(NOT(OR(AK$6="Toda la plantilla",ISNUMBER(SEARCH(";"&amp;SUBSTITUTE($C51," ","")&amp;";",";"&amp;SUBSTITUTE(AK$7," ","")&amp;";")))),"—",IF(_xlfn.MAXIFS(Acuses!$C$5:$C$3004,Acuses!$A$5:$A$3004,$A51,Acuses!$B$5:$B$3004,AK$4)&lt;AK$5,"Pendiente",IF(AK$8=0,"OK",IF(EDATE(_xlfn.MAXIFS(Acuses!$D$5:$D$3004,Acuses!$A$5:$A$3004,$A51,Acuses!$B$5:$B$3004,AK$4,Acuses!$C$5:$C$3004,AK$5),AK$8)&lt;Resumen!$C$4,"Caducado",IF(EDATE(_xlfn.MAXIFS(Acuses!$D$5:$D$3004,Acuses!$A$5:$A$3004,$A51,Acuses!$B$5:$B$3004,AK$4,Acuses!$C$5:$C$3004,AK$5),AK$8)&lt;Resumen!$C$4+30,"Caduca pronto","OK"))))))</f>
        <v/>
      </c>
      <c r="AL51" s="26" t="str">
        <f aca="false">IF(OR($A51="",AL$4=""),"",IF(NOT(OR(AL$6="Toda la plantilla",ISNUMBER(SEARCH(";"&amp;SUBSTITUTE($C51," ","")&amp;";",";"&amp;SUBSTITUTE(AL$7," ","")&amp;";")))),"—",IF(_xlfn.MAXIFS(Acuses!$C$5:$C$3004,Acuses!$A$5:$A$3004,$A51,Acuses!$B$5:$B$3004,AL$4)&lt;AL$5,"Pendiente",IF(AL$8=0,"OK",IF(EDATE(_xlfn.MAXIFS(Acuses!$D$5:$D$3004,Acuses!$A$5:$A$3004,$A51,Acuses!$B$5:$B$3004,AL$4,Acuses!$C$5:$C$3004,AL$5),AL$8)&lt;Resumen!$C$4,"Caducado",IF(EDATE(_xlfn.MAXIFS(Acuses!$D$5:$D$3004,Acuses!$A$5:$A$3004,$A51,Acuses!$B$5:$B$3004,AL$4,Acuses!$C$5:$C$3004,AL$5),AL$8)&lt;Resumen!$C$4+30,"Caduca pronto","OK"))))))</f>
        <v/>
      </c>
      <c r="AM51" s="26" t="str">
        <f aca="false">IF(OR($A51="",AM$4=""),"",IF(NOT(OR(AM$6="Toda la plantilla",ISNUMBER(SEARCH(";"&amp;SUBSTITUTE($C51," ","")&amp;";",";"&amp;SUBSTITUTE(AM$7," ","")&amp;";")))),"—",IF(_xlfn.MAXIFS(Acuses!$C$5:$C$3004,Acuses!$A$5:$A$3004,$A51,Acuses!$B$5:$B$3004,AM$4)&lt;AM$5,"Pendiente",IF(AM$8=0,"OK",IF(EDATE(_xlfn.MAXIFS(Acuses!$D$5:$D$3004,Acuses!$A$5:$A$3004,$A51,Acuses!$B$5:$B$3004,AM$4,Acuses!$C$5:$C$3004,AM$5),AM$8)&lt;Resumen!$C$4,"Caducado",IF(EDATE(_xlfn.MAXIFS(Acuses!$D$5:$D$3004,Acuses!$A$5:$A$3004,$A51,Acuses!$B$5:$B$3004,AM$4,Acuses!$C$5:$C$3004,AM$5),AM$8)&lt;Resumen!$C$4+30,"Caduca pronto","OK"))))))</f>
        <v/>
      </c>
      <c r="AN51" s="26" t="str">
        <f aca="false">IF(OR($A51="",AN$4=""),"",IF(NOT(OR(AN$6="Toda la plantilla",ISNUMBER(SEARCH(";"&amp;SUBSTITUTE($C51," ","")&amp;";",";"&amp;SUBSTITUTE(AN$7," ","")&amp;";")))),"—",IF(_xlfn.MAXIFS(Acuses!$C$5:$C$3004,Acuses!$A$5:$A$3004,$A51,Acuses!$B$5:$B$3004,AN$4)&lt;AN$5,"Pendiente",IF(AN$8=0,"OK",IF(EDATE(_xlfn.MAXIFS(Acuses!$D$5:$D$3004,Acuses!$A$5:$A$3004,$A51,Acuses!$B$5:$B$3004,AN$4,Acuses!$C$5:$C$3004,AN$5),AN$8)&lt;Resumen!$C$4,"Caducado",IF(EDATE(_xlfn.MAXIFS(Acuses!$D$5:$D$3004,Acuses!$A$5:$A$3004,$A51,Acuses!$B$5:$B$3004,AN$4,Acuses!$C$5:$C$3004,AN$5),AN$8)&lt;Resumen!$C$4+30,"Caduca pronto","OK"))))))</f>
        <v/>
      </c>
      <c r="AO51" s="26" t="str">
        <f aca="false">IF(OR($A51="",AO$4=""),"",IF(NOT(OR(AO$6="Toda la plantilla",ISNUMBER(SEARCH(";"&amp;SUBSTITUTE($C51," ","")&amp;";",";"&amp;SUBSTITUTE(AO$7," ","")&amp;";")))),"—",IF(_xlfn.MAXIFS(Acuses!$C$5:$C$3004,Acuses!$A$5:$A$3004,$A51,Acuses!$B$5:$B$3004,AO$4)&lt;AO$5,"Pendiente",IF(AO$8=0,"OK",IF(EDATE(_xlfn.MAXIFS(Acuses!$D$5:$D$3004,Acuses!$A$5:$A$3004,$A51,Acuses!$B$5:$B$3004,AO$4,Acuses!$C$5:$C$3004,AO$5),AO$8)&lt;Resumen!$C$4,"Caducado",IF(EDATE(_xlfn.MAXIFS(Acuses!$D$5:$D$3004,Acuses!$A$5:$A$3004,$A51,Acuses!$B$5:$B$3004,AO$4,Acuses!$C$5:$C$3004,AO$5),AO$8)&lt;Resumen!$C$4+30,"Caduca pronto","OK"))))))</f>
        <v/>
      </c>
      <c r="AP51" s="26" t="str">
        <f aca="false">IF(OR($A51="",AP$4=""),"",IF(NOT(OR(AP$6="Toda la plantilla",ISNUMBER(SEARCH(";"&amp;SUBSTITUTE($C51," ","")&amp;";",";"&amp;SUBSTITUTE(AP$7," ","")&amp;";")))),"—",IF(_xlfn.MAXIFS(Acuses!$C$5:$C$3004,Acuses!$A$5:$A$3004,$A51,Acuses!$B$5:$B$3004,AP$4)&lt;AP$5,"Pendiente",IF(AP$8=0,"OK",IF(EDATE(_xlfn.MAXIFS(Acuses!$D$5:$D$3004,Acuses!$A$5:$A$3004,$A51,Acuses!$B$5:$B$3004,AP$4,Acuses!$C$5:$C$3004,AP$5),AP$8)&lt;Resumen!$C$4,"Caducado",IF(EDATE(_xlfn.MAXIFS(Acuses!$D$5:$D$3004,Acuses!$A$5:$A$3004,$A51,Acuses!$B$5:$B$3004,AP$4,Acuses!$C$5:$C$3004,AP$5),AP$8)&lt;Resumen!$C$4+30,"Caduca pronto","OK"))))))</f>
        <v/>
      </c>
      <c r="AQ51" s="26" t="str">
        <f aca="false">IF(OR($A51="",AQ$4=""),"",IF(NOT(OR(AQ$6="Toda la plantilla",ISNUMBER(SEARCH(";"&amp;SUBSTITUTE($C51," ","")&amp;";",";"&amp;SUBSTITUTE(AQ$7," ","")&amp;";")))),"—",IF(_xlfn.MAXIFS(Acuses!$C$5:$C$3004,Acuses!$A$5:$A$3004,$A51,Acuses!$B$5:$B$3004,AQ$4)&lt;AQ$5,"Pendiente",IF(AQ$8=0,"OK",IF(EDATE(_xlfn.MAXIFS(Acuses!$D$5:$D$3004,Acuses!$A$5:$A$3004,$A51,Acuses!$B$5:$B$3004,AQ$4,Acuses!$C$5:$C$3004,AQ$5),AQ$8)&lt;Resumen!$C$4,"Caducado",IF(EDATE(_xlfn.MAXIFS(Acuses!$D$5:$D$3004,Acuses!$A$5:$A$3004,$A51,Acuses!$B$5:$B$3004,AQ$4,Acuses!$C$5:$C$3004,AQ$5),AQ$8)&lt;Resumen!$C$4+30,"Caduca pronto","OK"))))))</f>
        <v/>
      </c>
    </row>
    <row r="52" customFormat="false" ht="15" hidden="false" customHeight="false" outlineLevel="0" collapsed="false">
      <c r="A52" s="25" t="str">
        <f aca="false">IF(AND(Trabajadores!$A$47&lt;&gt;"",Trabajadores!$G$47&lt;&gt;"No"),Trabajadores!$A$47,"")</f>
        <v/>
      </c>
      <c r="B52" s="25" t="str">
        <f aca="false">IF($A52="","",Trabajadores!$B$47)</f>
        <v/>
      </c>
      <c r="C52" s="25" t="str">
        <f aca="false">IF($A52="","",Trabajadores!$C$47)</f>
        <v/>
      </c>
      <c r="D52" s="26" t="str">
        <f aca="false">IF(OR($A52="",D$4=""),"",IF(NOT(OR(D$6="Toda la plantilla",ISNUMBER(SEARCH(";"&amp;SUBSTITUTE($C52," ","")&amp;";",";"&amp;SUBSTITUTE(D$7," ","")&amp;";")))),"—",IF(_xlfn.MAXIFS(Acuses!$C$5:$C$3004,Acuses!$A$5:$A$3004,$A52,Acuses!$B$5:$B$3004,D$4)&lt;D$5,"Pendiente",IF(D$8=0,"OK",IF(EDATE(_xlfn.MAXIFS(Acuses!$D$5:$D$3004,Acuses!$A$5:$A$3004,$A52,Acuses!$B$5:$B$3004,D$4,Acuses!$C$5:$C$3004,D$5),D$8)&lt;Resumen!$C$4,"Caducado",IF(EDATE(_xlfn.MAXIFS(Acuses!$D$5:$D$3004,Acuses!$A$5:$A$3004,$A52,Acuses!$B$5:$B$3004,D$4,Acuses!$C$5:$C$3004,D$5),D$8)&lt;Resumen!$C$4+30,"Caduca pronto","OK"))))))</f>
        <v/>
      </c>
      <c r="E52" s="26" t="str">
        <f aca="false">IF(OR($A52="",E$4=""),"",IF(NOT(OR(E$6="Toda la plantilla",ISNUMBER(SEARCH(";"&amp;SUBSTITUTE($C52," ","")&amp;";",";"&amp;SUBSTITUTE(E$7," ","")&amp;";")))),"—",IF(_xlfn.MAXIFS(Acuses!$C$5:$C$3004,Acuses!$A$5:$A$3004,$A52,Acuses!$B$5:$B$3004,E$4)&lt;E$5,"Pendiente",IF(E$8=0,"OK",IF(EDATE(_xlfn.MAXIFS(Acuses!$D$5:$D$3004,Acuses!$A$5:$A$3004,$A52,Acuses!$B$5:$B$3004,E$4,Acuses!$C$5:$C$3004,E$5),E$8)&lt;Resumen!$C$4,"Caducado",IF(EDATE(_xlfn.MAXIFS(Acuses!$D$5:$D$3004,Acuses!$A$5:$A$3004,$A52,Acuses!$B$5:$B$3004,E$4,Acuses!$C$5:$C$3004,E$5),E$8)&lt;Resumen!$C$4+30,"Caduca pronto","OK"))))))</f>
        <v/>
      </c>
      <c r="F52" s="26" t="str">
        <f aca="false">IF(OR($A52="",F$4=""),"",IF(NOT(OR(F$6="Toda la plantilla",ISNUMBER(SEARCH(";"&amp;SUBSTITUTE($C52," ","")&amp;";",";"&amp;SUBSTITUTE(F$7," ","")&amp;";")))),"—",IF(_xlfn.MAXIFS(Acuses!$C$5:$C$3004,Acuses!$A$5:$A$3004,$A52,Acuses!$B$5:$B$3004,F$4)&lt;F$5,"Pendiente",IF(F$8=0,"OK",IF(EDATE(_xlfn.MAXIFS(Acuses!$D$5:$D$3004,Acuses!$A$5:$A$3004,$A52,Acuses!$B$5:$B$3004,F$4,Acuses!$C$5:$C$3004,F$5),F$8)&lt;Resumen!$C$4,"Caducado",IF(EDATE(_xlfn.MAXIFS(Acuses!$D$5:$D$3004,Acuses!$A$5:$A$3004,$A52,Acuses!$B$5:$B$3004,F$4,Acuses!$C$5:$C$3004,F$5),F$8)&lt;Resumen!$C$4+30,"Caduca pronto","OK"))))))</f>
        <v/>
      </c>
      <c r="G52" s="26" t="str">
        <f aca="false">IF(OR($A52="",G$4=""),"",IF(NOT(OR(G$6="Toda la plantilla",ISNUMBER(SEARCH(";"&amp;SUBSTITUTE($C52," ","")&amp;";",";"&amp;SUBSTITUTE(G$7," ","")&amp;";")))),"—",IF(_xlfn.MAXIFS(Acuses!$C$5:$C$3004,Acuses!$A$5:$A$3004,$A52,Acuses!$B$5:$B$3004,G$4)&lt;G$5,"Pendiente",IF(G$8=0,"OK",IF(EDATE(_xlfn.MAXIFS(Acuses!$D$5:$D$3004,Acuses!$A$5:$A$3004,$A52,Acuses!$B$5:$B$3004,G$4,Acuses!$C$5:$C$3004,G$5),G$8)&lt;Resumen!$C$4,"Caducado",IF(EDATE(_xlfn.MAXIFS(Acuses!$D$5:$D$3004,Acuses!$A$5:$A$3004,$A52,Acuses!$B$5:$B$3004,G$4,Acuses!$C$5:$C$3004,G$5),G$8)&lt;Resumen!$C$4+30,"Caduca pronto","OK"))))))</f>
        <v/>
      </c>
      <c r="H52" s="26" t="str">
        <f aca="false">IF(OR($A52="",H$4=""),"",IF(NOT(OR(H$6="Toda la plantilla",ISNUMBER(SEARCH(";"&amp;SUBSTITUTE($C52," ","")&amp;";",";"&amp;SUBSTITUTE(H$7," ","")&amp;";")))),"—",IF(_xlfn.MAXIFS(Acuses!$C$5:$C$3004,Acuses!$A$5:$A$3004,$A52,Acuses!$B$5:$B$3004,H$4)&lt;H$5,"Pendiente",IF(H$8=0,"OK",IF(EDATE(_xlfn.MAXIFS(Acuses!$D$5:$D$3004,Acuses!$A$5:$A$3004,$A52,Acuses!$B$5:$B$3004,H$4,Acuses!$C$5:$C$3004,H$5),H$8)&lt;Resumen!$C$4,"Caducado",IF(EDATE(_xlfn.MAXIFS(Acuses!$D$5:$D$3004,Acuses!$A$5:$A$3004,$A52,Acuses!$B$5:$B$3004,H$4,Acuses!$C$5:$C$3004,H$5),H$8)&lt;Resumen!$C$4+30,"Caduca pronto","OK"))))))</f>
        <v/>
      </c>
      <c r="I52" s="26" t="str">
        <f aca="false">IF(OR($A52="",I$4=""),"",IF(NOT(OR(I$6="Toda la plantilla",ISNUMBER(SEARCH(";"&amp;SUBSTITUTE($C52," ","")&amp;";",";"&amp;SUBSTITUTE(I$7," ","")&amp;";")))),"—",IF(_xlfn.MAXIFS(Acuses!$C$5:$C$3004,Acuses!$A$5:$A$3004,$A52,Acuses!$B$5:$B$3004,I$4)&lt;I$5,"Pendiente",IF(I$8=0,"OK",IF(EDATE(_xlfn.MAXIFS(Acuses!$D$5:$D$3004,Acuses!$A$5:$A$3004,$A52,Acuses!$B$5:$B$3004,I$4,Acuses!$C$5:$C$3004,I$5),I$8)&lt;Resumen!$C$4,"Caducado",IF(EDATE(_xlfn.MAXIFS(Acuses!$D$5:$D$3004,Acuses!$A$5:$A$3004,$A52,Acuses!$B$5:$B$3004,I$4,Acuses!$C$5:$C$3004,I$5),I$8)&lt;Resumen!$C$4+30,"Caduca pronto","OK"))))))</f>
        <v/>
      </c>
      <c r="J52" s="26" t="str">
        <f aca="false">IF(OR($A52="",J$4=""),"",IF(NOT(OR(J$6="Toda la plantilla",ISNUMBER(SEARCH(";"&amp;SUBSTITUTE($C52," ","")&amp;";",";"&amp;SUBSTITUTE(J$7," ","")&amp;";")))),"—",IF(_xlfn.MAXIFS(Acuses!$C$5:$C$3004,Acuses!$A$5:$A$3004,$A52,Acuses!$B$5:$B$3004,J$4)&lt;J$5,"Pendiente",IF(J$8=0,"OK",IF(EDATE(_xlfn.MAXIFS(Acuses!$D$5:$D$3004,Acuses!$A$5:$A$3004,$A52,Acuses!$B$5:$B$3004,J$4,Acuses!$C$5:$C$3004,J$5),J$8)&lt;Resumen!$C$4,"Caducado",IF(EDATE(_xlfn.MAXIFS(Acuses!$D$5:$D$3004,Acuses!$A$5:$A$3004,$A52,Acuses!$B$5:$B$3004,J$4,Acuses!$C$5:$C$3004,J$5),J$8)&lt;Resumen!$C$4+30,"Caduca pronto","OK"))))))</f>
        <v/>
      </c>
      <c r="K52" s="26" t="str">
        <f aca="false">IF(OR($A52="",K$4=""),"",IF(NOT(OR(K$6="Toda la plantilla",ISNUMBER(SEARCH(";"&amp;SUBSTITUTE($C52," ","")&amp;";",";"&amp;SUBSTITUTE(K$7," ","")&amp;";")))),"—",IF(_xlfn.MAXIFS(Acuses!$C$5:$C$3004,Acuses!$A$5:$A$3004,$A52,Acuses!$B$5:$B$3004,K$4)&lt;K$5,"Pendiente",IF(K$8=0,"OK",IF(EDATE(_xlfn.MAXIFS(Acuses!$D$5:$D$3004,Acuses!$A$5:$A$3004,$A52,Acuses!$B$5:$B$3004,K$4,Acuses!$C$5:$C$3004,K$5),K$8)&lt;Resumen!$C$4,"Caducado",IF(EDATE(_xlfn.MAXIFS(Acuses!$D$5:$D$3004,Acuses!$A$5:$A$3004,$A52,Acuses!$B$5:$B$3004,K$4,Acuses!$C$5:$C$3004,K$5),K$8)&lt;Resumen!$C$4+30,"Caduca pronto","OK"))))))</f>
        <v/>
      </c>
      <c r="L52" s="26" t="str">
        <f aca="false">IF(OR($A52="",L$4=""),"",IF(NOT(OR(L$6="Toda la plantilla",ISNUMBER(SEARCH(";"&amp;SUBSTITUTE($C52," ","")&amp;";",";"&amp;SUBSTITUTE(L$7," ","")&amp;";")))),"—",IF(_xlfn.MAXIFS(Acuses!$C$5:$C$3004,Acuses!$A$5:$A$3004,$A52,Acuses!$B$5:$B$3004,L$4)&lt;L$5,"Pendiente",IF(L$8=0,"OK",IF(EDATE(_xlfn.MAXIFS(Acuses!$D$5:$D$3004,Acuses!$A$5:$A$3004,$A52,Acuses!$B$5:$B$3004,L$4,Acuses!$C$5:$C$3004,L$5),L$8)&lt;Resumen!$C$4,"Caducado",IF(EDATE(_xlfn.MAXIFS(Acuses!$D$5:$D$3004,Acuses!$A$5:$A$3004,$A52,Acuses!$B$5:$B$3004,L$4,Acuses!$C$5:$C$3004,L$5),L$8)&lt;Resumen!$C$4+30,"Caduca pronto","OK"))))))</f>
        <v/>
      </c>
      <c r="M52" s="26" t="str">
        <f aca="false">IF(OR($A52="",M$4=""),"",IF(NOT(OR(M$6="Toda la plantilla",ISNUMBER(SEARCH(";"&amp;SUBSTITUTE($C52," ","")&amp;";",";"&amp;SUBSTITUTE(M$7," ","")&amp;";")))),"—",IF(_xlfn.MAXIFS(Acuses!$C$5:$C$3004,Acuses!$A$5:$A$3004,$A52,Acuses!$B$5:$B$3004,M$4)&lt;M$5,"Pendiente",IF(M$8=0,"OK",IF(EDATE(_xlfn.MAXIFS(Acuses!$D$5:$D$3004,Acuses!$A$5:$A$3004,$A52,Acuses!$B$5:$B$3004,M$4,Acuses!$C$5:$C$3004,M$5),M$8)&lt;Resumen!$C$4,"Caducado",IF(EDATE(_xlfn.MAXIFS(Acuses!$D$5:$D$3004,Acuses!$A$5:$A$3004,$A52,Acuses!$B$5:$B$3004,M$4,Acuses!$C$5:$C$3004,M$5),M$8)&lt;Resumen!$C$4+30,"Caduca pronto","OK"))))))</f>
        <v/>
      </c>
      <c r="N52" s="26" t="str">
        <f aca="false">IF(OR($A52="",N$4=""),"",IF(NOT(OR(N$6="Toda la plantilla",ISNUMBER(SEARCH(";"&amp;SUBSTITUTE($C52," ","")&amp;";",";"&amp;SUBSTITUTE(N$7," ","")&amp;";")))),"—",IF(_xlfn.MAXIFS(Acuses!$C$5:$C$3004,Acuses!$A$5:$A$3004,$A52,Acuses!$B$5:$B$3004,N$4)&lt;N$5,"Pendiente",IF(N$8=0,"OK",IF(EDATE(_xlfn.MAXIFS(Acuses!$D$5:$D$3004,Acuses!$A$5:$A$3004,$A52,Acuses!$B$5:$B$3004,N$4,Acuses!$C$5:$C$3004,N$5),N$8)&lt;Resumen!$C$4,"Caducado",IF(EDATE(_xlfn.MAXIFS(Acuses!$D$5:$D$3004,Acuses!$A$5:$A$3004,$A52,Acuses!$B$5:$B$3004,N$4,Acuses!$C$5:$C$3004,N$5),N$8)&lt;Resumen!$C$4+30,"Caduca pronto","OK"))))))</f>
        <v/>
      </c>
      <c r="O52" s="26" t="str">
        <f aca="false">IF(OR($A52="",O$4=""),"",IF(NOT(OR(O$6="Toda la plantilla",ISNUMBER(SEARCH(";"&amp;SUBSTITUTE($C52," ","")&amp;";",";"&amp;SUBSTITUTE(O$7," ","")&amp;";")))),"—",IF(_xlfn.MAXIFS(Acuses!$C$5:$C$3004,Acuses!$A$5:$A$3004,$A52,Acuses!$B$5:$B$3004,O$4)&lt;O$5,"Pendiente",IF(O$8=0,"OK",IF(EDATE(_xlfn.MAXIFS(Acuses!$D$5:$D$3004,Acuses!$A$5:$A$3004,$A52,Acuses!$B$5:$B$3004,O$4,Acuses!$C$5:$C$3004,O$5),O$8)&lt;Resumen!$C$4,"Caducado",IF(EDATE(_xlfn.MAXIFS(Acuses!$D$5:$D$3004,Acuses!$A$5:$A$3004,$A52,Acuses!$B$5:$B$3004,O$4,Acuses!$C$5:$C$3004,O$5),O$8)&lt;Resumen!$C$4+30,"Caduca pronto","OK"))))))</f>
        <v/>
      </c>
      <c r="P52" s="26" t="str">
        <f aca="false">IF(OR($A52="",P$4=""),"",IF(NOT(OR(P$6="Toda la plantilla",ISNUMBER(SEARCH(";"&amp;SUBSTITUTE($C52," ","")&amp;";",";"&amp;SUBSTITUTE(P$7," ","")&amp;";")))),"—",IF(_xlfn.MAXIFS(Acuses!$C$5:$C$3004,Acuses!$A$5:$A$3004,$A52,Acuses!$B$5:$B$3004,P$4)&lt;P$5,"Pendiente",IF(P$8=0,"OK",IF(EDATE(_xlfn.MAXIFS(Acuses!$D$5:$D$3004,Acuses!$A$5:$A$3004,$A52,Acuses!$B$5:$B$3004,P$4,Acuses!$C$5:$C$3004,P$5),P$8)&lt;Resumen!$C$4,"Caducado",IF(EDATE(_xlfn.MAXIFS(Acuses!$D$5:$D$3004,Acuses!$A$5:$A$3004,$A52,Acuses!$B$5:$B$3004,P$4,Acuses!$C$5:$C$3004,P$5),P$8)&lt;Resumen!$C$4+30,"Caduca pronto","OK"))))))</f>
        <v/>
      </c>
      <c r="Q52" s="26" t="str">
        <f aca="false">IF(OR($A52="",Q$4=""),"",IF(NOT(OR(Q$6="Toda la plantilla",ISNUMBER(SEARCH(";"&amp;SUBSTITUTE($C52," ","")&amp;";",";"&amp;SUBSTITUTE(Q$7," ","")&amp;";")))),"—",IF(_xlfn.MAXIFS(Acuses!$C$5:$C$3004,Acuses!$A$5:$A$3004,$A52,Acuses!$B$5:$B$3004,Q$4)&lt;Q$5,"Pendiente",IF(Q$8=0,"OK",IF(EDATE(_xlfn.MAXIFS(Acuses!$D$5:$D$3004,Acuses!$A$5:$A$3004,$A52,Acuses!$B$5:$B$3004,Q$4,Acuses!$C$5:$C$3004,Q$5),Q$8)&lt;Resumen!$C$4,"Caducado",IF(EDATE(_xlfn.MAXIFS(Acuses!$D$5:$D$3004,Acuses!$A$5:$A$3004,$A52,Acuses!$B$5:$B$3004,Q$4,Acuses!$C$5:$C$3004,Q$5),Q$8)&lt;Resumen!$C$4+30,"Caduca pronto","OK"))))))</f>
        <v/>
      </c>
      <c r="R52" s="26" t="str">
        <f aca="false">IF(OR($A52="",R$4=""),"",IF(NOT(OR(R$6="Toda la plantilla",ISNUMBER(SEARCH(";"&amp;SUBSTITUTE($C52," ","")&amp;";",";"&amp;SUBSTITUTE(R$7," ","")&amp;";")))),"—",IF(_xlfn.MAXIFS(Acuses!$C$5:$C$3004,Acuses!$A$5:$A$3004,$A52,Acuses!$B$5:$B$3004,R$4)&lt;R$5,"Pendiente",IF(R$8=0,"OK",IF(EDATE(_xlfn.MAXIFS(Acuses!$D$5:$D$3004,Acuses!$A$5:$A$3004,$A52,Acuses!$B$5:$B$3004,R$4,Acuses!$C$5:$C$3004,R$5),R$8)&lt;Resumen!$C$4,"Caducado",IF(EDATE(_xlfn.MAXIFS(Acuses!$D$5:$D$3004,Acuses!$A$5:$A$3004,$A52,Acuses!$B$5:$B$3004,R$4,Acuses!$C$5:$C$3004,R$5),R$8)&lt;Resumen!$C$4+30,"Caduca pronto","OK"))))))</f>
        <v/>
      </c>
      <c r="S52" s="26" t="str">
        <f aca="false">IF(OR($A52="",S$4=""),"",IF(NOT(OR(S$6="Toda la plantilla",ISNUMBER(SEARCH(";"&amp;SUBSTITUTE($C52," ","")&amp;";",";"&amp;SUBSTITUTE(S$7," ","")&amp;";")))),"—",IF(_xlfn.MAXIFS(Acuses!$C$5:$C$3004,Acuses!$A$5:$A$3004,$A52,Acuses!$B$5:$B$3004,S$4)&lt;S$5,"Pendiente",IF(S$8=0,"OK",IF(EDATE(_xlfn.MAXIFS(Acuses!$D$5:$D$3004,Acuses!$A$5:$A$3004,$A52,Acuses!$B$5:$B$3004,S$4,Acuses!$C$5:$C$3004,S$5),S$8)&lt;Resumen!$C$4,"Caducado",IF(EDATE(_xlfn.MAXIFS(Acuses!$D$5:$D$3004,Acuses!$A$5:$A$3004,$A52,Acuses!$B$5:$B$3004,S$4,Acuses!$C$5:$C$3004,S$5),S$8)&lt;Resumen!$C$4+30,"Caduca pronto","OK"))))))</f>
        <v/>
      </c>
      <c r="T52" s="26" t="str">
        <f aca="false">IF(OR($A52="",T$4=""),"",IF(NOT(OR(T$6="Toda la plantilla",ISNUMBER(SEARCH(";"&amp;SUBSTITUTE($C52," ","")&amp;";",";"&amp;SUBSTITUTE(T$7," ","")&amp;";")))),"—",IF(_xlfn.MAXIFS(Acuses!$C$5:$C$3004,Acuses!$A$5:$A$3004,$A52,Acuses!$B$5:$B$3004,T$4)&lt;T$5,"Pendiente",IF(T$8=0,"OK",IF(EDATE(_xlfn.MAXIFS(Acuses!$D$5:$D$3004,Acuses!$A$5:$A$3004,$A52,Acuses!$B$5:$B$3004,T$4,Acuses!$C$5:$C$3004,T$5),T$8)&lt;Resumen!$C$4,"Caducado",IF(EDATE(_xlfn.MAXIFS(Acuses!$D$5:$D$3004,Acuses!$A$5:$A$3004,$A52,Acuses!$B$5:$B$3004,T$4,Acuses!$C$5:$C$3004,T$5),T$8)&lt;Resumen!$C$4+30,"Caduca pronto","OK"))))))</f>
        <v/>
      </c>
      <c r="U52" s="26" t="str">
        <f aca="false">IF(OR($A52="",U$4=""),"",IF(NOT(OR(U$6="Toda la plantilla",ISNUMBER(SEARCH(";"&amp;SUBSTITUTE($C52," ","")&amp;";",";"&amp;SUBSTITUTE(U$7," ","")&amp;";")))),"—",IF(_xlfn.MAXIFS(Acuses!$C$5:$C$3004,Acuses!$A$5:$A$3004,$A52,Acuses!$B$5:$B$3004,U$4)&lt;U$5,"Pendiente",IF(U$8=0,"OK",IF(EDATE(_xlfn.MAXIFS(Acuses!$D$5:$D$3004,Acuses!$A$5:$A$3004,$A52,Acuses!$B$5:$B$3004,U$4,Acuses!$C$5:$C$3004,U$5),U$8)&lt;Resumen!$C$4,"Caducado",IF(EDATE(_xlfn.MAXIFS(Acuses!$D$5:$D$3004,Acuses!$A$5:$A$3004,$A52,Acuses!$B$5:$B$3004,U$4,Acuses!$C$5:$C$3004,U$5),U$8)&lt;Resumen!$C$4+30,"Caduca pronto","OK"))))))</f>
        <v/>
      </c>
      <c r="V52" s="26" t="str">
        <f aca="false">IF(OR($A52="",V$4=""),"",IF(NOT(OR(V$6="Toda la plantilla",ISNUMBER(SEARCH(";"&amp;SUBSTITUTE($C52," ","")&amp;";",";"&amp;SUBSTITUTE(V$7," ","")&amp;";")))),"—",IF(_xlfn.MAXIFS(Acuses!$C$5:$C$3004,Acuses!$A$5:$A$3004,$A52,Acuses!$B$5:$B$3004,V$4)&lt;V$5,"Pendiente",IF(V$8=0,"OK",IF(EDATE(_xlfn.MAXIFS(Acuses!$D$5:$D$3004,Acuses!$A$5:$A$3004,$A52,Acuses!$B$5:$B$3004,V$4,Acuses!$C$5:$C$3004,V$5),V$8)&lt;Resumen!$C$4,"Caducado",IF(EDATE(_xlfn.MAXIFS(Acuses!$D$5:$D$3004,Acuses!$A$5:$A$3004,$A52,Acuses!$B$5:$B$3004,V$4,Acuses!$C$5:$C$3004,V$5),V$8)&lt;Resumen!$C$4+30,"Caduca pronto","OK"))))))</f>
        <v/>
      </c>
      <c r="W52" s="26" t="str">
        <f aca="false">IF(OR($A52="",W$4=""),"",IF(NOT(OR(W$6="Toda la plantilla",ISNUMBER(SEARCH(";"&amp;SUBSTITUTE($C52," ","")&amp;";",";"&amp;SUBSTITUTE(W$7," ","")&amp;";")))),"—",IF(_xlfn.MAXIFS(Acuses!$C$5:$C$3004,Acuses!$A$5:$A$3004,$A52,Acuses!$B$5:$B$3004,W$4)&lt;W$5,"Pendiente",IF(W$8=0,"OK",IF(EDATE(_xlfn.MAXIFS(Acuses!$D$5:$D$3004,Acuses!$A$5:$A$3004,$A52,Acuses!$B$5:$B$3004,W$4,Acuses!$C$5:$C$3004,W$5),W$8)&lt;Resumen!$C$4,"Caducado",IF(EDATE(_xlfn.MAXIFS(Acuses!$D$5:$D$3004,Acuses!$A$5:$A$3004,$A52,Acuses!$B$5:$B$3004,W$4,Acuses!$C$5:$C$3004,W$5),W$8)&lt;Resumen!$C$4+30,"Caduca pronto","OK"))))))</f>
        <v/>
      </c>
      <c r="X52" s="26" t="str">
        <f aca="false">IF(OR($A52="",X$4=""),"",IF(NOT(OR(X$6="Toda la plantilla",ISNUMBER(SEARCH(";"&amp;SUBSTITUTE($C52," ","")&amp;";",";"&amp;SUBSTITUTE(X$7," ","")&amp;";")))),"—",IF(_xlfn.MAXIFS(Acuses!$C$5:$C$3004,Acuses!$A$5:$A$3004,$A52,Acuses!$B$5:$B$3004,X$4)&lt;X$5,"Pendiente",IF(X$8=0,"OK",IF(EDATE(_xlfn.MAXIFS(Acuses!$D$5:$D$3004,Acuses!$A$5:$A$3004,$A52,Acuses!$B$5:$B$3004,X$4,Acuses!$C$5:$C$3004,X$5),X$8)&lt;Resumen!$C$4,"Caducado",IF(EDATE(_xlfn.MAXIFS(Acuses!$D$5:$D$3004,Acuses!$A$5:$A$3004,$A52,Acuses!$B$5:$B$3004,X$4,Acuses!$C$5:$C$3004,X$5),X$8)&lt;Resumen!$C$4+30,"Caduca pronto","OK"))))))</f>
        <v/>
      </c>
      <c r="Y52" s="26" t="str">
        <f aca="false">IF(OR($A52="",Y$4=""),"",IF(NOT(OR(Y$6="Toda la plantilla",ISNUMBER(SEARCH(";"&amp;SUBSTITUTE($C52," ","")&amp;";",";"&amp;SUBSTITUTE(Y$7," ","")&amp;";")))),"—",IF(_xlfn.MAXIFS(Acuses!$C$5:$C$3004,Acuses!$A$5:$A$3004,$A52,Acuses!$B$5:$B$3004,Y$4)&lt;Y$5,"Pendiente",IF(Y$8=0,"OK",IF(EDATE(_xlfn.MAXIFS(Acuses!$D$5:$D$3004,Acuses!$A$5:$A$3004,$A52,Acuses!$B$5:$B$3004,Y$4,Acuses!$C$5:$C$3004,Y$5),Y$8)&lt;Resumen!$C$4,"Caducado",IF(EDATE(_xlfn.MAXIFS(Acuses!$D$5:$D$3004,Acuses!$A$5:$A$3004,$A52,Acuses!$B$5:$B$3004,Y$4,Acuses!$C$5:$C$3004,Y$5),Y$8)&lt;Resumen!$C$4+30,"Caduca pronto","OK"))))))</f>
        <v/>
      </c>
      <c r="Z52" s="26" t="str">
        <f aca="false">IF(OR($A52="",Z$4=""),"",IF(NOT(OR(Z$6="Toda la plantilla",ISNUMBER(SEARCH(";"&amp;SUBSTITUTE($C52," ","")&amp;";",";"&amp;SUBSTITUTE(Z$7," ","")&amp;";")))),"—",IF(_xlfn.MAXIFS(Acuses!$C$5:$C$3004,Acuses!$A$5:$A$3004,$A52,Acuses!$B$5:$B$3004,Z$4)&lt;Z$5,"Pendiente",IF(Z$8=0,"OK",IF(EDATE(_xlfn.MAXIFS(Acuses!$D$5:$D$3004,Acuses!$A$5:$A$3004,$A52,Acuses!$B$5:$B$3004,Z$4,Acuses!$C$5:$C$3004,Z$5),Z$8)&lt;Resumen!$C$4,"Caducado",IF(EDATE(_xlfn.MAXIFS(Acuses!$D$5:$D$3004,Acuses!$A$5:$A$3004,$A52,Acuses!$B$5:$B$3004,Z$4,Acuses!$C$5:$C$3004,Z$5),Z$8)&lt;Resumen!$C$4+30,"Caduca pronto","OK"))))))</f>
        <v/>
      </c>
      <c r="AA52" s="26" t="str">
        <f aca="false">IF(OR($A52="",AA$4=""),"",IF(NOT(OR(AA$6="Toda la plantilla",ISNUMBER(SEARCH(";"&amp;SUBSTITUTE($C52," ","")&amp;";",";"&amp;SUBSTITUTE(AA$7," ","")&amp;";")))),"—",IF(_xlfn.MAXIFS(Acuses!$C$5:$C$3004,Acuses!$A$5:$A$3004,$A52,Acuses!$B$5:$B$3004,AA$4)&lt;AA$5,"Pendiente",IF(AA$8=0,"OK",IF(EDATE(_xlfn.MAXIFS(Acuses!$D$5:$D$3004,Acuses!$A$5:$A$3004,$A52,Acuses!$B$5:$B$3004,AA$4,Acuses!$C$5:$C$3004,AA$5),AA$8)&lt;Resumen!$C$4,"Caducado",IF(EDATE(_xlfn.MAXIFS(Acuses!$D$5:$D$3004,Acuses!$A$5:$A$3004,$A52,Acuses!$B$5:$B$3004,AA$4,Acuses!$C$5:$C$3004,AA$5),AA$8)&lt;Resumen!$C$4+30,"Caduca pronto","OK"))))))</f>
        <v/>
      </c>
      <c r="AB52" s="26" t="str">
        <f aca="false">IF(OR($A52="",AB$4=""),"",IF(NOT(OR(AB$6="Toda la plantilla",ISNUMBER(SEARCH(";"&amp;SUBSTITUTE($C52," ","")&amp;";",";"&amp;SUBSTITUTE(AB$7," ","")&amp;";")))),"—",IF(_xlfn.MAXIFS(Acuses!$C$5:$C$3004,Acuses!$A$5:$A$3004,$A52,Acuses!$B$5:$B$3004,AB$4)&lt;AB$5,"Pendiente",IF(AB$8=0,"OK",IF(EDATE(_xlfn.MAXIFS(Acuses!$D$5:$D$3004,Acuses!$A$5:$A$3004,$A52,Acuses!$B$5:$B$3004,AB$4,Acuses!$C$5:$C$3004,AB$5),AB$8)&lt;Resumen!$C$4,"Caducado",IF(EDATE(_xlfn.MAXIFS(Acuses!$D$5:$D$3004,Acuses!$A$5:$A$3004,$A52,Acuses!$B$5:$B$3004,AB$4,Acuses!$C$5:$C$3004,AB$5),AB$8)&lt;Resumen!$C$4+30,"Caduca pronto","OK"))))))</f>
        <v/>
      </c>
      <c r="AC52" s="26" t="str">
        <f aca="false">IF(OR($A52="",AC$4=""),"",IF(NOT(OR(AC$6="Toda la plantilla",ISNUMBER(SEARCH(";"&amp;SUBSTITUTE($C52," ","")&amp;";",";"&amp;SUBSTITUTE(AC$7," ","")&amp;";")))),"—",IF(_xlfn.MAXIFS(Acuses!$C$5:$C$3004,Acuses!$A$5:$A$3004,$A52,Acuses!$B$5:$B$3004,AC$4)&lt;AC$5,"Pendiente",IF(AC$8=0,"OK",IF(EDATE(_xlfn.MAXIFS(Acuses!$D$5:$D$3004,Acuses!$A$5:$A$3004,$A52,Acuses!$B$5:$B$3004,AC$4,Acuses!$C$5:$C$3004,AC$5),AC$8)&lt;Resumen!$C$4,"Caducado",IF(EDATE(_xlfn.MAXIFS(Acuses!$D$5:$D$3004,Acuses!$A$5:$A$3004,$A52,Acuses!$B$5:$B$3004,AC$4,Acuses!$C$5:$C$3004,AC$5),AC$8)&lt;Resumen!$C$4+30,"Caduca pronto","OK"))))))</f>
        <v/>
      </c>
      <c r="AD52" s="26" t="str">
        <f aca="false">IF(OR($A52="",AD$4=""),"",IF(NOT(OR(AD$6="Toda la plantilla",ISNUMBER(SEARCH(";"&amp;SUBSTITUTE($C52," ","")&amp;";",";"&amp;SUBSTITUTE(AD$7," ","")&amp;";")))),"—",IF(_xlfn.MAXIFS(Acuses!$C$5:$C$3004,Acuses!$A$5:$A$3004,$A52,Acuses!$B$5:$B$3004,AD$4)&lt;AD$5,"Pendiente",IF(AD$8=0,"OK",IF(EDATE(_xlfn.MAXIFS(Acuses!$D$5:$D$3004,Acuses!$A$5:$A$3004,$A52,Acuses!$B$5:$B$3004,AD$4,Acuses!$C$5:$C$3004,AD$5),AD$8)&lt;Resumen!$C$4,"Caducado",IF(EDATE(_xlfn.MAXIFS(Acuses!$D$5:$D$3004,Acuses!$A$5:$A$3004,$A52,Acuses!$B$5:$B$3004,AD$4,Acuses!$C$5:$C$3004,AD$5),AD$8)&lt;Resumen!$C$4+30,"Caduca pronto","OK"))))))</f>
        <v/>
      </c>
      <c r="AE52" s="26" t="str">
        <f aca="false">IF(OR($A52="",AE$4=""),"",IF(NOT(OR(AE$6="Toda la plantilla",ISNUMBER(SEARCH(";"&amp;SUBSTITUTE($C52," ","")&amp;";",";"&amp;SUBSTITUTE(AE$7," ","")&amp;";")))),"—",IF(_xlfn.MAXIFS(Acuses!$C$5:$C$3004,Acuses!$A$5:$A$3004,$A52,Acuses!$B$5:$B$3004,AE$4)&lt;AE$5,"Pendiente",IF(AE$8=0,"OK",IF(EDATE(_xlfn.MAXIFS(Acuses!$D$5:$D$3004,Acuses!$A$5:$A$3004,$A52,Acuses!$B$5:$B$3004,AE$4,Acuses!$C$5:$C$3004,AE$5),AE$8)&lt;Resumen!$C$4,"Caducado",IF(EDATE(_xlfn.MAXIFS(Acuses!$D$5:$D$3004,Acuses!$A$5:$A$3004,$A52,Acuses!$B$5:$B$3004,AE$4,Acuses!$C$5:$C$3004,AE$5),AE$8)&lt;Resumen!$C$4+30,"Caduca pronto","OK"))))))</f>
        <v/>
      </c>
      <c r="AF52" s="26" t="str">
        <f aca="false">IF(OR($A52="",AF$4=""),"",IF(NOT(OR(AF$6="Toda la plantilla",ISNUMBER(SEARCH(";"&amp;SUBSTITUTE($C52," ","")&amp;";",";"&amp;SUBSTITUTE(AF$7," ","")&amp;";")))),"—",IF(_xlfn.MAXIFS(Acuses!$C$5:$C$3004,Acuses!$A$5:$A$3004,$A52,Acuses!$B$5:$B$3004,AF$4)&lt;AF$5,"Pendiente",IF(AF$8=0,"OK",IF(EDATE(_xlfn.MAXIFS(Acuses!$D$5:$D$3004,Acuses!$A$5:$A$3004,$A52,Acuses!$B$5:$B$3004,AF$4,Acuses!$C$5:$C$3004,AF$5),AF$8)&lt;Resumen!$C$4,"Caducado",IF(EDATE(_xlfn.MAXIFS(Acuses!$D$5:$D$3004,Acuses!$A$5:$A$3004,$A52,Acuses!$B$5:$B$3004,AF$4,Acuses!$C$5:$C$3004,AF$5),AF$8)&lt;Resumen!$C$4+30,"Caduca pronto","OK"))))))</f>
        <v/>
      </c>
      <c r="AG52" s="26" t="str">
        <f aca="false">IF(OR($A52="",AG$4=""),"",IF(NOT(OR(AG$6="Toda la plantilla",ISNUMBER(SEARCH(";"&amp;SUBSTITUTE($C52," ","")&amp;";",";"&amp;SUBSTITUTE(AG$7," ","")&amp;";")))),"—",IF(_xlfn.MAXIFS(Acuses!$C$5:$C$3004,Acuses!$A$5:$A$3004,$A52,Acuses!$B$5:$B$3004,AG$4)&lt;AG$5,"Pendiente",IF(AG$8=0,"OK",IF(EDATE(_xlfn.MAXIFS(Acuses!$D$5:$D$3004,Acuses!$A$5:$A$3004,$A52,Acuses!$B$5:$B$3004,AG$4,Acuses!$C$5:$C$3004,AG$5),AG$8)&lt;Resumen!$C$4,"Caducado",IF(EDATE(_xlfn.MAXIFS(Acuses!$D$5:$D$3004,Acuses!$A$5:$A$3004,$A52,Acuses!$B$5:$B$3004,AG$4,Acuses!$C$5:$C$3004,AG$5),AG$8)&lt;Resumen!$C$4+30,"Caduca pronto","OK"))))))</f>
        <v/>
      </c>
      <c r="AH52" s="26" t="str">
        <f aca="false">IF(OR($A52="",AH$4=""),"",IF(NOT(OR(AH$6="Toda la plantilla",ISNUMBER(SEARCH(";"&amp;SUBSTITUTE($C52," ","")&amp;";",";"&amp;SUBSTITUTE(AH$7," ","")&amp;";")))),"—",IF(_xlfn.MAXIFS(Acuses!$C$5:$C$3004,Acuses!$A$5:$A$3004,$A52,Acuses!$B$5:$B$3004,AH$4)&lt;AH$5,"Pendiente",IF(AH$8=0,"OK",IF(EDATE(_xlfn.MAXIFS(Acuses!$D$5:$D$3004,Acuses!$A$5:$A$3004,$A52,Acuses!$B$5:$B$3004,AH$4,Acuses!$C$5:$C$3004,AH$5),AH$8)&lt;Resumen!$C$4,"Caducado",IF(EDATE(_xlfn.MAXIFS(Acuses!$D$5:$D$3004,Acuses!$A$5:$A$3004,$A52,Acuses!$B$5:$B$3004,AH$4,Acuses!$C$5:$C$3004,AH$5),AH$8)&lt;Resumen!$C$4+30,"Caduca pronto","OK"))))))</f>
        <v/>
      </c>
      <c r="AI52" s="26" t="str">
        <f aca="false">IF(OR($A52="",AI$4=""),"",IF(NOT(OR(AI$6="Toda la plantilla",ISNUMBER(SEARCH(";"&amp;SUBSTITUTE($C52," ","")&amp;";",";"&amp;SUBSTITUTE(AI$7," ","")&amp;";")))),"—",IF(_xlfn.MAXIFS(Acuses!$C$5:$C$3004,Acuses!$A$5:$A$3004,$A52,Acuses!$B$5:$B$3004,AI$4)&lt;AI$5,"Pendiente",IF(AI$8=0,"OK",IF(EDATE(_xlfn.MAXIFS(Acuses!$D$5:$D$3004,Acuses!$A$5:$A$3004,$A52,Acuses!$B$5:$B$3004,AI$4,Acuses!$C$5:$C$3004,AI$5),AI$8)&lt;Resumen!$C$4,"Caducado",IF(EDATE(_xlfn.MAXIFS(Acuses!$D$5:$D$3004,Acuses!$A$5:$A$3004,$A52,Acuses!$B$5:$B$3004,AI$4,Acuses!$C$5:$C$3004,AI$5),AI$8)&lt;Resumen!$C$4+30,"Caduca pronto","OK"))))))</f>
        <v/>
      </c>
      <c r="AJ52" s="26" t="str">
        <f aca="false">IF(OR($A52="",AJ$4=""),"",IF(NOT(OR(AJ$6="Toda la plantilla",ISNUMBER(SEARCH(";"&amp;SUBSTITUTE($C52," ","")&amp;";",";"&amp;SUBSTITUTE(AJ$7," ","")&amp;";")))),"—",IF(_xlfn.MAXIFS(Acuses!$C$5:$C$3004,Acuses!$A$5:$A$3004,$A52,Acuses!$B$5:$B$3004,AJ$4)&lt;AJ$5,"Pendiente",IF(AJ$8=0,"OK",IF(EDATE(_xlfn.MAXIFS(Acuses!$D$5:$D$3004,Acuses!$A$5:$A$3004,$A52,Acuses!$B$5:$B$3004,AJ$4,Acuses!$C$5:$C$3004,AJ$5),AJ$8)&lt;Resumen!$C$4,"Caducado",IF(EDATE(_xlfn.MAXIFS(Acuses!$D$5:$D$3004,Acuses!$A$5:$A$3004,$A52,Acuses!$B$5:$B$3004,AJ$4,Acuses!$C$5:$C$3004,AJ$5),AJ$8)&lt;Resumen!$C$4+30,"Caduca pronto","OK"))))))</f>
        <v/>
      </c>
      <c r="AK52" s="26" t="str">
        <f aca="false">IF(OR($A52="",AK$4=""),"",IF(NOT(OR(AK$6="Toda la plantilla",ISNUMBER(SEARCH(";"&amp;SUBSTITUTE($C52," ","")&amp;";",";"&amp;SUBSTITUTE(AK$7," ","")&amp;";")))),"—",IF(_xlfn.MAXIFS(Acuses!$C$5:$C$3004,Acuses!$A$5:$A$3004,$A52,Acuses!$B$5:$B$3004,AK$4)&lt;AK$5,"Pendiente",IF(AK$8=0,"OK",IF(EDATE(_xlfn.MAXIFS(Acuses!$D$5:$D$3004,Acuses!$A$5:$A$3004,$A52,Acuses!$B$5:$B$3004,AK$4,Acuses!$C$5:$C$3004,AK$5),AK$8)&lt;Resumen!$C$4,"Caducado",IF(EDATE(_xlfn.MAXIFS(Acuses!$D$5:$D$3004,Acuses!$A$5:$A$3004,$A52,Acuses!$B$5:$B$3004,AK$4,Acuses!$C$5:$C$3004,AK$5),AK$8)&lt;Resumen!$C$4+30,"Caduca pronto","OK"))))))</f>
        <v/>
      </c>
      <c r="AL52" s="26" t="str">
        <f aca="false">IF(OR($A52="",AL$4=""),"",IF(NOT(OR(AL$6="Toda la plantilla",ISNUMBER(SEARCH(";"&amp;SUBSTITUTE($C52," ","")&amp;";",";"&amp;SUBSTITUTE(AL$7," ","")&amp;";")))),"—",IF(_xlfn.MAXIFS(Acuses!$C$5:$C$3004,Acuses!$A$5:$A$3004,$A52,Acuses!$B$5:$B$3004,AL$4)&lt;AL$5,"Pendiente",IF(AL$8=0,"OK",IF(EDATE(_xlfn.MAXIFS(Acuses!$D$5:$D$3004,Acuses!$A$5:$A$3004,$A52,Acuses!$B$5:$B$3004,AL$4,Acuses!$C$5:$C$3004,AL$5),AL$8)&lt;Resumen!$C$4,"Caducado",IF(EDATE(_xlfn.MAXIFS(Acuses!$D$5:$D$3004,Acuses!$A$5:$A$3004,$A52,Acuses!$B$5:$B$3004,AL$4,Acuses!$C$5:$C$3004,AL$5),AL$8)&lt;Resumen!$C$4+30,"Caduca pronto","OK"))))))</f>
        <v/>
      </c>
      <c r="AM52" s="26" t="str">
        <f aca="false">IF(OR($A52="",AM$4=""),"",IF(NOT(OR(AM$6="Toda la plantilla",ISNUMBER(SEARCH(";"&amp;SUBSTITUTE($C52," ","")&amp;";",";"&amp;SUBSTITUTE(AM$7," ","")&amp;";")))),"—",IF(_xlfn.MAXIFS(Acuses!$C$5:$C$3004,Acuses!$A$5:$A$3004,$A52,Acuses!$B$5:$B$3004,AM$4)&lt;AM$5,"Pendiente",IF(AM$8=0,"OK",IF(EDATE(_xlfn.MAXIFS(Acuses!$D$5:$D$3004,Acuses!$A$5:$A$3004,$A52,Acuses!$B$5:$B$3004,AM$4,Acuses!$C$5:$C$3004,AM$5),AM$8)&lt;Resumen!$C$4,"Caducado",IF(EDATE(_xlfn.MAXIFS(Acuses!$D$5:$D$3004,Acuses!$A$5:$A$3004,$A52,Acuses!$B$5:$B$3004,AM$4,Acuses!$C$5:$C$3004,AM$5),AM$8)&lt;Resumen!$C$4+30,"Caduca pronto","OK"))))))</f>
        <v/>
      </c>
      <c r="AN52" s="26" t="str">
        <f aca="false">IF(OR($A52="",AN$4=""),"",IF(NOT(OR(AN$6="Toda la plantilla",ISNUMBER(SEARCH(";"&amp;SUBSTITUTE($C52," ","")&amp;";",";"&amp;SUBSTITUTE(AN$7," ","")&amp;";")))),"—",IF(_xlfn.MAXIFS(Acuses!$C$5:$C$3004,Acuses!$A$5:$A$3004,$A52,Acuses!$B$5:$B$3004,AN$4)&lt;AN$5,"Pendiente",IF(AN$8=0,"OK",IF(EDATE(_xlfn.MAXIFS(Acuses!$D$5:$D$3004,Acuses!$A$5:$A$3004,$A52,Acuses!$B$5:$B$3004,AN$4,Acuses!$C$5:$C$3004,AN$5),AN$8)&lt;Resumen!$C$4,"Caducado",IF(EDATE(_xlfn.MAXIFS(Acuses!$D$5:$D$3004,Acuses!$A$5:$A$3004,$A52,Acuses!$B$5:$B$3004,AN$4,Acuses!$C$5:$C$3004,AN$5),AN$8)&lt;Resumen!$C$4+30,"Caduca pronto","OK"))))))</f>
        <v/>
      </c>
      <c r="AO52" s="26" t="str">
        <f aca="false">IF(OR($A52="",AO$4=""),"",IF(NOT(OR(AO$6="Toda la plantilla",ISNUMBER(SEARCH(";"&amp;SUBSTITUTE($C52," ","")&amp;";",";"&amp;SUBSTITUTE(AO$7," ","")&amp;";")))),"—",IF(_xlfn.MAXIFS(Acuses!$C$5:$C$3004,Acuses!$A$5:$A$3004,$A52,Acuses!$B$5:$B$3004,AO$4)&lt;AO$5,"Pendiente",IF(AO$8=0,"OK",IF(EDATE(_xlfn.MAXIFS(Acuses!$D$5:$D$3004,Acuses!$A$5:$A$3004,$A52,Acuses!$B$5:$B$3004,AO$4,Acuses!$C$5:$C$3004,AO$5),AO$8)&lt;Resumen!$C$4,"Caducado",IF(EDATE(_xlfn.MAXIFS(Acuses!$D$5:$D$3004,Acuses!$A$5:$A$3004,$A52,Acuses!$B$5:$B$3004,AO$4,Acuses!$C$5:$C$3004,AO$5),AO$8)&lt;Resumen!$C$4+30,"Caduca pronto","OK"))))))</f>
        <v/>
      </c>
      <c r="AP52" s="26" t="str">
        <f aca="false">IF(OR($A52="",AP$4=""),"",IF(NOT(OR(AP$6="Toda la plantilla",ISNUMBER(SEARCH(";"&amp;SUBSTITUTE($C52," ","")&amp;";",";"&amp;SUBSTITUTE(AP$7," ","")&amp;";")))),"—",IF(_xlfn.MAXIFS(Acuses!$C$5:$C$3004,Acuses!$A$5:$A$3004,$A52,Acuses!$B$5:$B$3004,AP$4)&lt;AP$5,"Pendiente",IF(AP$8=0,"OK",IF(EDATE(_xlfn.MAXIFS(Acuses!$D$5:$D$3004,Acuses!$A$5:$A$3004,$A52,Acuses!$B$5:$B$3004,AP$4,Acuses!$C$5:$C$3004,AP$5),AP$8)&lt;Resumen!$C$4,"Caducado",IF(EDATE(_xlfn.MAXIFS(Acuses!$D$5:$D$3004,Acuses!$A$5:$A$3004,$A52,Acuses!$B$5:$B$3004,AP$4,Acuses!$C$5:$C$3004,AP$5),AP$8)&lt;Resumen!$C$4+30,"Caduca pronto","OK"))))))</f>
        <v/>
      </c>
      <c r="AQ52" s="26" t="str">
        <f aca="false">IF(OR($A52="",AQ$4=""),"",IF(NOT(OR(AQ$6="Toda la plantilla",ISNUMBER(SEARCH(";"&amp;SUBSTITUTE($C52," ","")&amp;";",";"&amp;SUBSTITUTE(AQ$7," ","")&amp;";")))),"—",IF(_xlfn.MAXIFS(Acuses!$C$5:$C$3004,Acuses!$A$5:$A$3004,$A52,Acuses!$B$5:$B$3004,AQ$4)&lt;AQ$5,"Pendiente",IF(AQ$8=0,"OK",IF(EDATE(_xlfn.MAXIFS(Acuses!$D$5:$D$3004,Acuses!$A$5:$A$3004,$A52,Acuses!$B$5:$B$3004,AQ$4,Acuses!$C$5:$C$3004,AQ$5),AQ$8)&lt;Resumen!$C$4,"Caducado",IF(EDATE(_xlfn.MAXIFS(Acuses!$D$5:$D$3004,Acuses!$A$5:$A$3004,$A52,Acuses!$B$5:$B$3004,AQ$4,Acuses!$C$5:$C$3004,AQ$5),AQ$8)&lt;Resumen!$C$4+30,"Caduca pronto","OK"))))))</f>
        <v/>
      </c>
    </row>
    <row r="53" customFormat="false" ht="15" hidden="false" customHeight="false" outlineLevel="0" collapsed="false">
      <c r="A53" s="25" t="str">
        <f aca="false">IF(AND(Trabajadores!$A$48&lt;&gt;"",Trabajadores!$G$48&lt;&gt;"No"),Trabajadores!$A$48,"")</f>
        <v/>
      </c>
      <c r="B53" s="25" t="str">
        <f aca="false">IF($A53="","",Trabajadores!$B$48)</f>
        <v/>
      </c>
      <c r="C53" s="25" t="str">
        <f aca="false">IF($A53="","",Trabajadores!$C$48)</f>
        <v/>
      </c>
      <c r="D53" s="26" t="str">
        <f aca="false">IF(OR($A53="",D$4=""),"",IF(NOT(OR(D$6="Toda la plantilla",ISNUMBER(SEARCH(";"&amp;SUBSTITUTE($C53," ","")&amp;";",";"&amp;SUBSTITUTE(D$7," ","")&amp;";")))),"—",IF(_xlfn.MAXIFS(Acuses!$C$5:$C$3004,Acuses!$A$5:$A$3004,$A53,Acuses!$B$5:$B$3004,D$4)&lt;D$5,"Pendiente",IF(D$8=0,"OK",IF(EDATE(_xlfn.MAXIFS(Acuses!$D$5:$D$3004,Acuses!$A$5:$A$3004,$A53,Acuses!$B$5:$B$3004,D$4,Acuses!$C$5:$C$3004,D$5),D$8)&lt;Resumen!$C$4,"Caducado",IF(EDATE(_xlfn.MAXIFS(Acuses!$D$5:$D$3004,Acuses!$A$5:$A$3004,$A53,Acuses!$B$5:$B$3004,D$4,Acuses!$C$5:$C$3004,D$5),D$8)&lt;Resumen!$C$4+30,"Caduca pronto","OK"))))))</f>
        <v/>
      </c>
      <c r="E53" s="26" t="str">
        <f aca="false">IF(OR($A53="",E$4=""),"",IF(NOT(OR(E$6="Toda la plantilla",ISNUMBER(SEARCH(";"&amp;SUBSTITUTE($C53," ","")&amp;";",";"&amp;SUBSTITUTE(E$7," ","")&amp;";")))),"—",IF(_xlfn.MAXIFS(Acuses!$C$5:$C$3004,Acuses!$A$5:$A$3004,$A53,Acuses!$B$5:$B$3004,E$4)&lt;E$5,"Pendiente",IF(E$8=0,"OK",IF(EDATE(_xlfn.MAXIFS(Acuses!$D$5:$D$3004,Acuses!$A$5:$A$3004,$A53,Acuses!$B$5:$B$3004,E$4,Acuses!$C$5:$C$3004,E$5),E$8)&lt;Resumen!$C$4,"Caducado",IF(EDATE(_xlfn.MAXIFS(Acuses!$D$5:$D$3004,Acuses!$A$5:$A$3004,$A53,Acuses!$B$5:$B$3004,E$4,Acuses!$C$5:$C$3004,E$5),E$8)&lt;Resumen!$C$4+30,"Caduca pronto","OK"))))))</f>
        <v/>
      </c>
      <c r="F53" s="26" t="str">
        <f aca="false">IF(OR($A53="",F$4=""),"",IF(NOT(OR(F$6="Toda la plantilla",ISNUMBER(SEARCH(";"&amp;SUBSTITUTE($C53," ","")&amp;";",";"&amp;SUBSTITUTE(F$7," ","")&amp;";")))),"—",IF(_xlfn.MAXIFS(Acuses!$C$5:$C$3004,Acuses!$A$5:$A$3004,$A53,Acuses!$B$5:$B$3004,F$4)&lt;F$5,"Pendiente",IF(F$8=0,"OK",IF(EDATE(_xlfn.MAXIFS(Acuses!$D$5:$D$3004,Acuses!$A$5:$A$3004,$A53,Acuses!$B$5:$B$3004,F$4,Acuses!$C$5:$C$3004,F$5),F$8)&lt;Resumen!$C$4,"Caducado",IF(EDATE(_xlfn.MAXIFS(Acuses!$D$5:$D$3004,Acuses!$A$5:$A$3004,$A53,Acuses!$B$5:$B$3004,F$4,Acuses!$C$5:$C$3004,F$5),F$8)&lt;Resumen!$C$4+30,"Caduca pronto","OK"))))))</f>
        <v/>
      </c>
      <c r="G53" s="26" t="str">
        <f aca="false">IF(OR($A53="",G$4=""),"",IF(NOT(OR(G$6="Toda la plantilla",ISNUMBER(SEARCH(";"&amp;SUBSTITUTE($C53," ","")&amp;";",";"&amp;SUBSTITUTE(G$7," ","")&amp;";")))),"—",IF(_xlfn.MAXIFS(Acuses!$C$5:$C$3004,Acuses!$A$5:$A$3004,$A53,Acuses!$B$5:$B$3004,G$4)&lt;G$5,"Pendiente",IF(G$8=0,"OK",IF(EDATE(_xlfn.MAXIFS(Acuses!$D$5:$D$3004,Acuses!$A$5:$A$3004,$A53,Acuses!$B$5:$B$3004,G$4,Acuses!$C$5:$C$3004,G$5),G$8)&lt;Resumen!$C$4,"Caducado",IF(EDATE(_xlfn.MAXIFS(Acuses!$D$5:$D$3004,Acuses!$A$5:$A$3004,$A53,Acuses!$B$5:$B$3004,G$4,Acuses!$C$5:$C$3004,G$5),G$8)&lt;Resumen!$C$4+30,"Caduca pronto","OK"))))))</f>
        <v/>
      </c>
      <c r="H53" s="26" t="str">
        <f aca="false">IF(OR($A53="",H$4=""),"",IF(NOT(OR(H$6="Toda la plantilla",ISNUMBER(SEARCH(";"&amp;SUBSTITUTE($C53," ","")&amp;";",";"&amp;SUBSTITUTE(H$7," ","")&amp;";")))),"—",IF(_xlfn.MAXIFS(Acuses!$C$5:$C$3004,Acuses!$A$5:$A$3004,$A53,Acuses!$B$5:$B$3004,H$4)&lt;H$5,"Pendiente",IF(H$8=0,"OK",IF(EDATE(_xlfn.MAXIFS(Acuses!$D$5:$D$3004,Acuses!$A$5:$A$3004,$A53,Acuses!$B$5:$B$3004,H$4,Acuses!$C$5:$C$3004,H$5),H$8)&lt;Resumen!$C$4,"Caducado",IF(EDATE(_xlfn.MAXIFS(Acuses!$D$5:$D$3004,Acuses!$A$5:$A$3004,$A53,Acuses!$B$5:$B$3004,H$4,Acuses!$C$5:$C$3004,H$5),H$8)&lt;Resumen!$C$4+30,"Caduca pronto","OK"))))))</f>
        <v/>
      </c>
      <c r="I53" s="26" t="str">
        <f aca="false">IF(OR($A53="",I$4=""),"",IF(NOT(OR(I$6="Toda la plantilla",ISNUMBER(SEARCH(";"&amp;SUBSTITUTE($C53," ","")&amp;";",";"&amp;SUBSTITUTE(I$7," ","")&amp;";")))),"—",IF(_xlfn.MAXIFS(Acuses!$C$5:$C$3004,Acuses!$A$5:$A$3004,$A53,Acuses!$B$5:$B$3004,I$4)&lt;I$5,"Pendiente",IF(I$8=0,"OK",IF(EDATE(_xlfn.MAXIFS(Acuses!$D$5:$D$3004,Acuses!$A$5:$A$3004,$A53,Acuses!$B$5:$B$3004,I$4,Acuses!$C$5:$C$3004,I$5),I$8)&lt;Resumen!$C$4,"Caducado",IF(EDATE(_xlfn.MAXIFS(Acuses!$D$5:$D$3004,Acuses!$A$5:$A$3004,$A53,Acuses!$B$5:$B$3004,I$4,Acuses!$C$5:$C$3004,I$5),I$8)&lt;Resumen!$C$4+30,"Caduca pronto","OK"))))))</f>
        <v/>
      </c>
      <c r="J53" s="26" t="str">
        <f aca="false">IF(OR($A53="",J$4=""),"",IF(NOT(OR(J$6="Toda la plantilla",ISNUMBER(SEARCH(";"&amp;SUBSTITUTE($C53," ","")&amp;";",";"&amp;SUBSTITUTE(J$7," ","")&amp;";")))),"—",IF(_xlfn.MAXIFS(Acuses!$C$5:$C$3004,Acuses!$A$5:$A$3004,$A53,Acuses!$B$5:$B$3004,J$4)&lt;J$5,"Pendiente",IF(J$8=0,"OK",IF(EDATE(_xlfn.MAXIFS(Acuses!$D$5:$D$3004,Acuses!$A$5:$A$3004,$A53,Acuses!$B$5:$B$3004,J$4,Acuses!$C$5:$C$3004,J$5),J$8)&lt;Resumen!$C$4,"Caducado",IF(EDATE(_xlfn.MAXIFS(Acuses!$D$5:$D$3004,Acuses!$A$5:$A$3004,$A53,Acuses!$B$5:$B$3004,J$4,Acuses!$C$5:$C$3004,J$5),J$8)&lt;Resumen!$C$4+30,"Caduca pronto","OK"))))))</f>
        <v/>
      </c>
      <c r="K53" s="26" t="str">
        <f aca="false">IF(OR($A53="",K$4=""),"",IF(NOT(OR(K$6="Toda la plantilla",ISNUMBER(SEARCH(";"&amp;SUBSTITUTE($C53," ","")&amp;";",";"&amp;SUBSTITUTE(K$7," ","")&amp;";")))),"—",IF(_xlfn.MAXIFS(Acuses!$C$5:$C$3004,Acuses!$A$5:$A$3004,$A53,Acuses!$B$5:$B$3004,K$4)&lt;K$5,"Pendiente",IF(K$8=0,"OK",IF(EDATE(_xlfn.MAXIFS(Acuses!$D$5:$D$3004,Acuses!$A$5:$A$3004,$A53,Acuses!$B$5:$B$3004,K$4,Acuses!$C$5:$C$3004,K$5),K$8)&lt;Resumen!$C$4,"Caducado",IF(EDATE(_xlfn.MAXIFS(Acuses!$D$5:$D$3004,Acuses!$A$5:$A$3004,$A53,Acuses!$B$5:$B$3004,K$4,Acuses!$C$5:$C$3004,K$5),K$8)&lt;Resumen!$C$4+30,"Caduca pronto","OK"))))))</f>
        <v/>
      </c>
      <c r="L53" s="26" t="str">
        <f aca="false">IF(OR($A53="",L$4=""),"",IF(NOT(OR(L$6="Toda la plantilla",ISNUMBER(SEARCH(";"&amp;SUBSTITUTE($C53," ","")&amp;";",";"&amp;SUBSTITUTE(L$7," ","")&amp;";")))),"—",IF(_xlfn.MAXIFS(Acuses!$C$5:$C$3004,Acuses!$A$5:$A$3004,$A53,Acuses!$B$5:$B$3004,L$4)&lt;L$5,"Pendiente",IF(L$8=0,"OK",IF(EDATE(_xlfn.MAXIFS(Acuses!$D$5:$D$3004,Acuses!$A$5:$A$3004,$A53,Acuses!$B$5:$B$3004,L$4,Acuses!$C$5:$C$3004,L$5),L$8)&lt;Resumen!$C$4,"Caducado",IF(EDATE(_xlfn.MAXIFS(Acuses!$D$5:$D$3004,Acuses!$A$5:$A$3004,$A53,Acuses!$B$5:$B$3004,L$4,Acuses!$C$5:$C$3004,L$5),L$8)&lt;Resumen!$C$4+30,"Caduca pronto","OK"))))))</f>
        <v/>
      </c>
      <c r="M53" s="26" t="str">
        <f aca="false">IF(OR($A53="",M$4=""),"",IF(NOT(OR(M$6="Toda la plantilla",ISNUMBER(SEARCH(";"&amp;SUBSTITUTE($C53," ","")&amp;";",";"&amp;SUBSTITUTE(M$7," ","")&amp;";")))),"—",IF(_xlfn.MAXIFS(Acuses!$C$5:$C$3004,Acuses!$A$5:$A$3004,$A53,Acuses!$B$5:$B$3004,M$4)&lt;M$5,"Pendiente",IF(M$8=0,"OK",IF(EDATE(_xlfn.MAXIFS(Acuses!$D$5:$D$3004,Acuses!$A$5:$A$3004,$A53,Acuses!$B$5:$B$3004,M$4,Acuses!$C$5:$C$3004,M$5),M$8)&lt;Resumen!$C$4,"Caducado",IF(EDATE(_xlfn.MAXIFS(Acuses!$D$5:$D$3004,Acuses!$A$5:$A$3004,$A53,Acuses!$B$5:$B$3004,M$4,Acuses!$C$5:$C$3004,M$5),M$8)&lt;Resumen!$C$4+30,"Caduca pronto","OK"))))))</f>
        <v/>
      </c>
      <c r="N53" s="26" t="str">
        <f aca="false">IF(OR($A53="",N$4=""),"",IF(NOT(OR(N$6="Toda la plantilla",ISNUMBER(SEARCH(";"&amp;SUBSTITUTE($C53," ","")&amp;";",";"&amp;SUBSTITUTE(N$7," ","")&amp;";")))),"—",IF(_xlfn.MAXIFS(Acuses!$C$5:$C$3004,Acuses!$A$5:$A$3004,$A53,Acuses!$B$5:$B$3004,N$4)&lt;N$5,"Pendiente",IF(N$8=0,"OK",IF(EDATE(_xlfn.MAXIFS(Acuses!$D$5:$D$3004,Acuses!$A$5:$A$3004,$A53,Acuses!$B$5:$B$3004,N$4,Acuses!$C$5:$C$3004,N$5),N$8)&lt;Resumen!$C$4,"Caducado",IF(EDATE(_xlfn.MAXIFS(Acuses!$D$5:$D$3004,Acuses!$A$5:$A$3004,$A53,Acuses!$B$5:$B$3004,N$4,Acuses!$C$5:$C$3004,N$5),N$8)&lt;Resumen!$C$4+30,"Caduca pronto","OK"))))))</f>
        <v/>
      </c>
      <c r="O53" s="26" t="str">
        <f aca="false">IF(OR($A53="",O$4=""),"",IF(NOT(OR(O$6="Toda la plantilla",ISNUMBER(SEARCH(";"&amp;SUBSTITUTE($C53," ","")&amp;";",";"&amp;SUBSTITUTE(O$7," ","")&amp;";")))),"—",IF(_xlfn.MAXIFS(Acuses!$C$5:$C$3004,Acuses!$A$5:$A$3004,$A53,Acuses!$B$5:$B$3004,O$4)&lt;O$5,"Pendiente",IF(O$8=0,"OK",IF(EDATE(_xlfn.MAXIFS(Acuses!$D$5:$D$3004,Acuses!$A$5:$A$3004,$A53,Acuses!$B$5:$B$3004,O$4,Acuses!$C$5:$C$3004,O$5),O$8)&lt;Resumen!$C$4,"Caducado",IF(EDATE(_xlfn.MAXIFS(Acuses!$D$5:$D$3004,Acuses!$A$5:$A$3004,$A53,Acuses!$B$5:$B$3004,O$4,Acuses!$C$5:$C$3004,O$5),O$8)&lt;Resumen!$C$4+30,"Caduca pronto","OK"))))))</f>
        <v/>
      </c>
      <c r="P53" s="26" t="str">
        <f aca="false">IF(OR($A53="",P$4=""),"",IF(NOT(OR(P$6="Toda la plantilla",ISNUMBER(SEARCH(";"&amp;SUBSTITUTE($C53," ","")&amp;";",";"&amp;SUBSTITUTE(P$7," ","")&amp;";")))),"—",IF(_xlfn.MAXIFS(Acuses!$C$5:$C$3004,Acuses!$A$5:$A$3004,$A53,Acuses!$B$5:$B$3004,P$4)&lt;P$5,"Pendiente",IF(P$8=0,"OK",IF(EDATE(_xlfn.MAXIFS(Acuses!$D$5:$D$3004,Acuses!$A$5:$A$3004,$A53,Acuses!$B$5:$B$3004,P$4,Acuses!$C$5:$C$3004,P$5),P$8)&lt;Resumen!$C$4,"Caducado",IF(EDATE(_xlfn.MAXIFS(Acuses!$D$5:$D$3004,Acuses!$A$5:$A$3004,$A53,Acuses!$B$5:$B$3004,P$4,Acuses!$C$5:$C$3004,P$5),P$8)&lt;Resumen!$C$4+30,"Caduca pronto","OK"))))))</f>
        <v/>
      </c>
      <c r="Q53" s="26" t="str">
        <f aca="false">IF(OR($A53="",Q$4=""),"",IF(NOT(OR(Q$6="Toda la plantilla",ISNUMBER(SEARCH(";"&amp;SUBSTITUTE($C53," ","")&amp;";",";"&amp;SUBSTITUTE(Q$7," ","")&amp;";")))),"—",IF(_xlfn.MAXIFS(Acuses!$C$5:$C$3004,Acuses!$A$5:$A$3004,$A53,Acuses!$B$5:$B$3004,Q$4)&lt;Q$5,"Pendiente",IF(Q$8=0,"OK",IF(EDATE(_xlfn.MAXIFS(Acuses!$D$5:$D$3004,Acuses!$A$5:$A$3004,$A53,Acuses!$B$5:$B$3004,Q$4,Acuses!$C$5:$C$3004,Q$5),Q$8)&lt;Resumen!$C$4,"Caducado",IF(EDATE(_xlfn.MAXIFS(Acuses!$D$5:$D$3004,Acuses!$A$5:$A$3004,$A53,Acuses!$B$5:$B$3004,Q$4,Acuses!$C$5:$C$3004,Q$5),Q$8)&lt;Resumen!$C$4+30,"Caduca pronto","OK"))))))</f>
        <v/>
      </c>
      <c r="R53" s="26" t="str">
        <f aca="false">IF(OR($A53="",R$4=""),"",IF(NOT(OR(R$6="Toda la plantilla",ISNUMBER(SEARCH(";"&amp;SUBSTITUTE($C53," ","")&amp;";",";"&amp;SUBSTITUTE(R$7," ","")&amp;";")))),"—",IF(_xlfn.MAXIFS(Acuses!$C$5:$C$3004,Acuses!$A$5:$A$3004,$A53,Acuses!$B$5:$B$3004,R$4)&lt;R$5,"Pendiente",IF(R$8=0,"OK",IF(EDATE(_xlfn.MAXIFS(Acuses!$D$5:$D$3004,Acuses!$A$5:$A$3004,$A53,Acuses!$B$5:$B$3004,R$4,Acuses!$C$5:$C$3004,R$5),R$8)&lt;Resumen!$C$4,"Caducado",IF(EDATE(_xlfn.MAXIFS(Acuses!$D$5:$D$3004,Acuses!$A$5:$A$3004,$A53,Acuses!$B$5:$B$3004,R$4,Acuses!$C$5:$C$3004,R$5),R$8)&lt;Resumen!$C$4+30,"Caduca pronto","OK"))))))</f>
        <v/>
      </c>
      <c r="S53" s="26" t="str">
        <f aca="false">IF(OR($A53="",S$4=""),"",IF(NOT(OR(S$6="Toda la plantilla",ISNUMBER(SEARCH(";"&amp;SUBSTITUTE($C53," ","")&amp;";",";"&amp;SUBSTITUTE(S$7," ","")&amp;";")))),"—",IF(_xlfn.MAXIFS(Acuses!$C$5:$C$3004,Acuses!$A$5:$A$3004,$A53,Acuses!$B$5:$B$3004,S$4)&lt;S$5,"Pendiente",IF(S$8=0,"OK",IF(EDATE(_xlfn.MAXIFS(Acuses!$D$5:$D$3004,Acuses!$A$5:$A$3004,$A53,Acuses!$B$5:$B$3004,S$4,Acuses!$C$5:$C$3004,S$5),S$8)&lt;Resumen!$C$4,"Caducado",IF(EDATE(_xlfn.MAXIFS(Acuses!$D$5:$D$3004,Acuses!$A$5:$A$3004,$A53,Acuses!$B$5:$B$3004,S$4,Acuses!$C$5:$C$3004,S$5),S$8)&lt;Resumen!$C$4+30,"Caduca pronto","OK"))))))</f>
        <v/>
      </c>
      <c r="T53" s="26" t="str">
        <f aca="false">IF(OR($A53="",T$4=""),"",IF(NOT(OR(T$6="Toda la plantilla",ISNUMBER(SEARCH(";"&amp;SUBSTITUTE($C53," ","")&amp;";",";"&amp;SUBSTITUTE(T$7," ","")&amp;";")))),"—",IF(_xlfn.MAXIFS(Acuses!$C$5:$C$3004,Acuses!$A$5:$A$3004,$A53,Acuses!$B$5:$B$3004,T$4)&lt;T$5,"Pendiente",IF(T$8=0,"OK",IF(EDATE(_xlfn.MAXIFS(Acuses!$D$5:$D$3004,Acuses!$A$5:$A$3004,$A53,Acuses!$B$5:$B$3004,T$4,Acuses!$C$5:$C$3004,T$5),T$8)&lt;Resumen!$C$4,"Caducado",IF(EDATE(_xlfn.MAXIFS(Acuses!$D$5:$D$3004,Acuses!$A$5:$A$3004,$A53,Acuses!$B$5:$B$3004,T$4,Acuses!$C$5:$C$3004,T$5),T$8)&lt;Resumen!$C$4+30,"Caduca pronto","OK"))))))</f>
        <v/>
      </c>
      <c r="U53" s="26" t="str">
        <f aca="false">IF(OR($A53="",U$4=""),"",IF(NOT(OR(U$6="Toda la plantilla",ISNUMBER(SEARCH(";"&amp;SUBSTITUTE($C53," ","")&amp;";",";"&amp;SUBSTITUTE(U$7," ","")&amp;";")))),"—",IF(_xlfn.MAXIFS(Acuses!$C$5:$C$3004,Acuses!$A$5:$A$3004,$A53,Acuses!$B$5:$B$3004,U$4)&lt;U$5,"Pendiente",IF(U$8=0,"OK",IF(EDATE(_xlfn.MAXIFS(Acuses!$D$5:$D$3004,Acuses!$A$5:$A$3004,$A53,Acuses!$B$5:$B$3004,U$4,Acuses!$C$5:$C$3004,U$5),U$8)&lt;Resumen!$C$4,"Caducado",IF(EDATE(_xlfn.MAXIFS(Acuses!$D$5:$D$3004,Acuses!$A$5:$A$3004,$A53,Acuses!$B$5:$B$3004,U$4,Acuses!$C$5:$C$3004,U$5),U$8)&lt;Resumen!$C$4+30,"Caduca pronto","OK"))))))</f>
        <v/>
      </c>
      <c r="V53" s="26" t="str">
        <f aca="false">IF(OR($A53="",V$4=""),"",IF(NOT(OR(V$6="Toda la plantilla",ISNUMBER(SEARCH(";"&amp;SUBSTITUTE($C53," ","")&amp;";",";"&amp;SUBSTITUTE(V$7," ","")&amp;";")))),"—",IF(_xlfn.MAXIFS(Acuses!$C$5:$C$3004,Acuses!$A$5:$A$3004,$A53,Acuses!$B$5:$B$3004,V$4)&lt;V$5,"Pendiente",IF(V$8=0,"OK",IF(EDATE(_xlfn.MAXIFS(Acuses!$D$5:$D$3004,Acuses!$A$5:$A$3004,$A53,Acuses!$B$5:$B$3004,V$4,Acuses!$C$5:$C$3004,V$5),V$8)&lt;Resumen!$C$4,"Caducado",IF(EDATE(_xlfn.MAXIFS(Acuses!$D$5:$D$3004,Acuses!$A$5:$A$3004,$A53,Acuses!$B$5:$B$3004,V$4,Acuses!$C$5:$C$3004,V$5),V$8)&lt;Resumen!$C$4+30,"Caduca pronto","OK"))))))</f>
        <v/>
      </c>
      <c r="W53" s="26" t="str">
        <f aca="false">IF(OR($A53="",W$4=""),"",IF(NOT(OR(W$6="Toda la plantilla",ISNUMBER(SEARCH(";"&amp;SUBSTITUTE($C53," ","")&amp;";",";"&amp;SUBSTITUTE(W$7," ","")&amp;";")))),"—",IF(_xlfn.MAXIFS(Acuses!$C$5:$C$3004,Acuses!$A$5:$A$3004,$A53,Acuses!$B$5:$B$3004,W$4)&lt;W$5,"Pendiente",IF(W$8=0,"OK",IF(EDATE(_xlfn.MAXIFS(Acuses!$D$5:$D$3004,Acuses!$A$5:$A$3004,$A53,Acuses!$B$5:$B$3004,W$4,Acuses!$C$5:$C$3004,W$5),W$8)&lt;Resumen!$C$4,"Caducado",IF(EDATE(_xlfn.MAXIFS(Acuses!$D$5:$D$3004,Acuses!$A$5:$A$3004,$A53,Acuses!$B$5:$B$3004,W$4,Acuses!$C$5:$C$3004,W$5),W$8)&lt;Resumen!$C$4+30,"Caduca pronto","OK"))))))</f>
        <v/>
      </c>
      <c r="X53" s="26" t="str">
        <f aca="false">IF(OR($A53="",X$4=""),"",IF(NOT(OR(X$6="Toda la plantilla",ISNUMBER(SEARCH(";"&amp;SUBSTITUTE($C53," ","")&amp;";",";"&amp;SUBSTITUTE(X$7," ","")&amp;";")))),"—",IF(_xlfn.MAXIFS(Acuses!$C$5:$C$3004,Acuses!$A$5:$A$3004,$A53,Acuses!$B$5:$B$3004,X$4)&lt;X$5,"Pendiente",IF(X$8=0,"OK",IF(EDATE(_xlfn.MAXIFS(Acuses!$D$5:$D$3004,Acuses!$A$5:$A$3004,$A53,Acuses!$B$5:$B$3004,X$4,Acuses!$C$5:$C$3004,X$5),X$8)&lt;Resumen!$C$4,"Caducado",IF(EDATE(_xlfn.MAXIFS(Acuses!$D$5:$D$3004,Acuses!$A$5:$A$3004,$A53,Acuses!$B$5:$B$3004,X$4,Acuses!$C$5:$C$3004,X$5),X$8)&lt;Resumen!$C$4+30,"Caduca pronto","OK"))))))</f>
        <v/>
      </c>
      <c r="Y53" s="26" t="str">
        <f aca="false">IF(OR($A53="",Y$4=""),"",IF(NOT(OR(Y$6="Toda la plantilla",ISNUMBER(SEARCH(";"&amp;SUBSTITUTE($C53," ","")&amp;";",";"&amp;SUBSTITUTE(Y$7," ","")&amp;";")))),"—",IF(_xlfn.MAXIFS(Acuses!$C$5:$C$3004,Acuses!$A$5:$A$3004,$A53,Acuses!$B$5:$B$3004,Y$4)&lt;Y$5,"Pendiente",IF(Y$8=0,"OK",IF(EDATE(_xlfn.MAXIFS(Acuses!$D$5:$D$3004,Acuses!$A$5:$A$3004,$A53,Acuses!$B$5:$B$3004,Y$4,Acuses!$C$5:$C$3004,Y$5),Y$8)&lt;Resumen!$C$4,"Caducado",IF(EDATE(_xlfn.MAXIFS(Acuses!$D$5:$D$3004,Acuses!$A$5:$A$3004,$A53,Acuses!$B$5:$B$3004,Y$4,Acuses!$C$5:$C$3004,Y$5),Y$8)&lt;Resumen!$C$4+30,"Caduca pronto","OK"))))))</f>
        <v/>
      </c>
      <c r="Z53" s="26" t="str">
        <f aca="false">IF(OR($A53="",Z$4=""),"",IF(NOT(OR(Z$6="Toda la plantilla",ISNUMBER(SEARCH(";"&amp;SUBSTITUTE($C53," ","")&amp;";",";"&amp;SUBSTITUTE(Z$7," ","")&amp;";")))),"—",IF(_xlfn.MAXIFS(Acuses!$C$5:$C$3004,Acuses!$A$5:$A$3004,$A53,Acuses!$B$5:$B$3004,Z$4)&lt;Z$5,"Pendiente",IF(Z$8=0,"OK",IF(EDATE(_xlfn.MAXIFS(Acuses!$D$5:$D$3004,Acuses!$A$5:$A$3004,$A53,Acuses!$B$5:$B$3004,Z$4,Acuses!$C$5:$C$3004,Z$5),Z$8)&lt;Resumen!$C$4,"Caducado",IF(EDATE(_xlfn.MAXIFS(Acuses!$D$5:$D$3004,Acuses!$A$5:$A$3004,$A53,Acuses!$B$5:$B$3004,Z$4,Acuses!$C$5:$C$3004,Z$5),Z$8)&lt;Resumen!$C$4+30,"Caduca pronto","OK"))))))</f>
        <v/>
      </c>
      <c r="AA53" s="26" t="str">
        <f aca="false">IF(OR($A53="",AA$4=""),"",IF(NOT(OR(AA$6="Toda la plantilla",ISNUMBER(SEARCH(";"&amp;SUBSTITUTE($C53," ","")&amp;";",";"&amp;SUBSTITUTE(AA$7," ","")&amp;";")))),"—",IF(_xlfn.MAXIFS(Acuses!$C$5:$C$3004,Acuses!$A$5:$A$3004,$A53,Acuses!$B$5:$B$3004,AA$4)&lt;AA$5,"Pendiente",IF(AA$8=0,"OK",IF(EDATE(_xlfn.MAXIFS(Acuses!$D$5:$D$3004,Acuses!$A$5:$A$3004,$A53,Acuses!$B$5:$B$3004,AA$4,Acuses!$C$5:$C$3004,AA$5),AA$8)&lt;Resumen!$C$4,"Caducado",IF(EDATE(_xlfn.MAXIFS(Acuses!$D$5:$D$3004,Acuses!$A$5:$A$3004,$A53,Acuses!$B$5:$B$3004,AA$4,Acuses!$C$5:$C$3004,AA$5),AA$8)&lt;Resumen!$C$4+30,"Caduca pronto","OK"))))))</f>
        <v/>
      </c>
      <c r="AB53" s="26" t="str">
        <f aca="false">IF(OR($A53="",AB$4=""),"",IF(NOT(OR(AB$6="Toda la plantilla",ISNUMBER(SEARCH(";"&amp;SUBSTITUTE($C53," ","")&amp;";",";"&amp;SUBSTITUTE(AB$7," ","")&amp;";")))),"—",IF(_xlfn.MAXIFS(Acuses!$C$5:$C$3004,Acuses!$A$5:$A$3004,$A53,Acuses!$B$5:$B$3004,AB$4)&lt;AB$5,"Pendiente",IF(AB$8=0,"OK",IF(EDATE(_xlfn.MAXIFS(Acuses!$D$5:$D$3004,Acuses!$A$5:$A$3004,$A53,Acuses!$B$5:$B$3004,AB$4,Acuses!$C$5:$C$3004,AB$5),AB$8)&lt;Resumen!$C$4,"Caducado",IF(EDATE(_xlfn.MAXIFS(Acuses!$D$5:$D$3004,Acuses!$A$5:$A$3004,$A53,Acuses!$B$5:$B$3004,AB$4,Acuses!$C$5:$C$3004,AB$5),AB$8)&lt;Resumen!$C$4+30,"Caduca pronto","OK"))))))</f>
        <v/>
      </c>
      <c r="AC53" s="26" t="str">
        <f aca="false">IF(OR($A53="",AC$4=""),"",IF(NOT(OR(AC$6="Toda la plantilla",ISNUMBER(SEARCH(";"&amp;SUBSTITUTE($C53," ","")&amp;";",";"&amp;SUBSTITUTE(AC$7," ","")&amp;";")))),"—",IF(_xlfn.MAXIFS(Acuses!$C$5:$C$3004,Acuses!$A$5:$A$3004,$A53,Acuses!$B$5:$B$3004,AC$4)&lt;AC$5,"Pendiente",IF(AC$8=0,"OK",IF(EDATE(_xlfn.MAXIFS(Acuses!$D$5:$D$3004,Acuses!$A$5:$A$3004,$A53,Acuses!$B$5:$B$3004,AC$4,Acuses!$C$5:$C$3004,AC$5),AC$8)&lt;Resumen!$C$4,"Caducado",IF(EDATE(_xlfn.MAXIFS(Acuses!$D$5:$D$3004,Acuses!$A$5:$A$3004,$A53,Acuses!$B$5:$B$3004,AC$4,Acuses!$C$5:$C$3004,AC$5),AC$8)&lt;Resumen!$C$4+30,"Caduca pronto","OK"))))))</f>
        <v/>
      </c>
      <c r="AD53" s="26" t="str">
        <f aca="false">IF(OR($A53="",AD$4=""),"",IF(NOT(OR(AD$6="Toda la plantilla",ISNUMBER(SEARCH(";"&amp;SUBSTITUTE($C53," ","")&amp;";",";"&amp;SUBSTITUTE(AD$7," ","")&amp;";")))),"—",IF(_xlfn.MAXIFS(Acuses!$C$5:$C$3004,Acuses!$A$5:$A$3004,$A53,Acuses!$B$5:$B$3004,AD$4)&lt;AD$5,"Pendiente",IF(AD$8=0,"OK",IF(EDATE(_xlfn.MAXIFS(Acuses!$D$5:$D$3004,Acuses!$A$5:$A$3004,$A53,Acuses!$B$5:$B$3004,AD$4,Acuses!$C$5:$C$3004,AD$5),AD$8)&lt;Resumen!$C$4,"Caducado",IF(EDATE(_xlfn.MAXIFS(Acuses!$D$5:$D$3004,Acuses!$A$5:$A$3004,$A53,Acuses!$B$5:$B$3004,AD$4,Acuses!$C$5:$C$3004,AD$5),AD$8)&lt;Resumen!$C$4+30,"Caduca pronto","OK"))))))</f>
        <v/>
      </c>
      <c r="AE53" s="26" t="str">
        <f aca="false">IF(OR($A53="",AE$4=""),"",IF(NOT(OR(AE$6="Toda la plantilla",ISNUMBER(SEARCH(";"&amp;SUBSTITUTE($C53," ","")&amp;";",";"&amp;SUBSTITUTE(AE$7," ","")&amp;";")))),"—",IF(_xlfn.MAXIFS(Acuses!$C$5:$C$3004,Acuses!$A$5:$A$3004,$A53,Acuses!$B$5:$B$3004,AE$4)&lt;AE$5,"Pendiente",IF(AE$8=0,"OK",IF(EDATE(_xlfn.MAXIFS(Acuses!$D$5:$D$3004,Acuses!$A$5:$A$3004,$A53,Acuses!$B$5:$B$3004,AE$4,Acuses!$C$5:$C$3004,AE$5),AE$8)&lt;Resumen!$C$4,"Caducado",IF(EDATE(_xlfn.MAXIFS(Acuses!$D$5:$D$3004,Acuses!$A$5:$A$3004,$A53,Acuses!$B$5:$B$3004,AE$4,Acuses!$C$5:$C$3004,AE$5),AE$8)&lt;Resumen!$C$4+30,"Caduca pronto","OK"))))))</f>
        <v/>
      </c>
      <c r="AF53" s="26" t="str">
        <f aca="false">IF(OR($A53="",AF$4=""),"",IF(NOT(OR(AF$6="Toda la plantilla",ISNUMBER(SEARCH(";"&amp;SUBSTITUTE($C53," ","")&amp;";",";"&amp;SUBSTITUTE(AF$7," ","")&amp;";")))),"—",IF(_xlfn.MAXIFS(Acuses!$C$5:$C$3004,Acuses!$A$5:$A$3004,$A53,Acuses!$B$5:$B$3004,AF$4)&lt;AF$5,"Pendiente",IF(AF$8=0,"OK",IF(EDATE(_xlfn.MAXIFS(Acuses!$D$5:$D$3004,Acuses!$A$5:$A$3004,$A53,Acuses!$B$5:$B$3004,AF$4,Acuses!$C$5:$C$3004,AF$5),AF$8)&lt;Resumen!$C$4,"Caducado",IF(EDATE(_xlfn.MAXIFS(Acuses!$D$5:$D$3004,Acuses!$A$5:$A$3004,$A53,Acuses!$B$5:$B$3004,AF$4,Acuses!$C$5:$C$3004,AF$5),AF$8)&lt;Resumen!$C$4+30,"Caduca pronto","OK"))))))</f>
        <v/>
      </c>
      <c r="AG53" s="26" t="str">
        <f aca="false">IF(OR($A53="",AG$4=""),"",IF(NOT(OR(AG$6="Toda la plantilla",ISNUMBER(SEARCH(";"&amp;SUBSTITUTE($C53," ","")&amp;";",";"&amp;SUBSTITUTE(AG$7," ","")&amp;";")))),"—",IF(_xlfn.MAXIFS(Acuses!$C$5:$C$3004,Acuses!$A$5:$A$3004,$A53,Acuses!$B$5:$B$3004,AG$4)&lt;AG$5,"Pendiente",IF(AG$8=0,"OK",IF(EDATE(_xlfn.MAXIFS(Acuses!$D$5:$D$3004,Acuses!$A$5:$A$3004,$A53,Acuses!$B$5:$B$3004,AG$4,Acuses!$C$5:$C$3004,AG$5),AG$8)&lt;Resumen!$C$4,"Caducado",IF(EDATE(_xlfn.MAXIFS(Acuses!$D$5:$D$3004,Acuses!$A$5:$A$3004,$A53,Acuses!$B$5:$B$3004,AG$4,Acuses!$C$5:$C$3004,AG$5),AG$8)&lt;Resumen!$C$4+30,"Caduca pronto","OK"))))))</f>
        <v/>
      </c>
      <c r="AH53" s="26" t="str">
        <f aca="false">IF(OR($A53="",AH$4=""),"",IF(NOT(OR(AH$6="Toda la plantilla",ISNUMBER(SEARCH(";"&amp;SUBSTITUTE($C53," ","")&amp;";",";"&amp;SUBSTITUTE(AH$7," ","")&amp;";")))),"—",IF(_xlfn.MAXIFS(Acuses!$C$5:$C$3004,Acuses!$A$5:$A$3004,$A53,Acuses!$B$5:$B$3004,AH$4)&lt;AH$5,"Pendiente",IF(AH$8=0,"OK",IF(EDATE(_xlfn.MAXIFS(Acuses!$D$5:$D$3004,Acuses!$A$5:$A$3004,$A53,Acuses!$B$5:$B$3004,AH$4,Acuses!$C$5:$C$3004,AH$5),AH$8)&lt;Resumen!$C$4,"Caducado",IF(EDATE(_xlfn.MAXIFS(Acuses!$D$5:$D$3004,Acuses!$A$5:$A$3004,$A53,Acuses!$B$5:$B$3004,AH$4,Acuses!$C$5:$C$3004,AH$5),AH$8)&lt;Resumen!$C$4+30,"Caduca pronto","OK"))))))</f>
        <v/>
      </c>
      <c r="AI53" s="26" t="str">
        <f aca="false">IF(OR($A53="",AI$4=""),"",IF(NOT(OR(AI$6="Toda la plantilla",ISNUMBER(SEARCH(";"&amp;SUBSTITUTE($C53," ","")&amp;";",";"&amp;SUBSTITUTE(AI$7," ","")&amp;";")))),"—",IF(_xlfn.MAXIFS(Acuses!$C$5:$C$3004,Acuses!$A$5:$A$3004,$A53,Acuses!$B$5:$B$3004,AI$4)&lt;AI$5,"Pendiente",IF(AI$8=0,"OK",IF(EDATE(_xlfn.MAXIFS(Acuses!$D$5:$D$3004,Acuses!$A$5:$A$3004,$A53,Acuses!$B$5:$B$3004,AI$4,Acuses!$C$5:$C$3004,AI$5),AI$8)&lt;Resumen!$C$4,"Caducado",IF(EDATE(_xlfn.MAXIFS(Acuses!$D$5:$D$3004,Acuses!$A$5:$A$3004,$A53,Acuses!$B$5:$B$3004,AI$4,Acuses!$C$5:$C$3004,AI$5),AI$8)&lt;Resumen!$C$4+30,"Caduca pronto","OK"))))))</f>
        <v/>
      </c>
      <c r="AJ53" s="26" t="str">
        <f aca="false">IF(OR($A53="",AJ$4=""),"",IF(NOT(OR(AJ$6="Toda la plantilla",ISNUMBER(SEARCH(";"&amp;SUBSTITUTE($C53," ","")&amp;";",";"&amp;SUBSTITUTE(AJ$7," ","")&amp;";")))),"—",IF(_xlfn.MAXIFS(Acuses!$C$5:$C$3004,Acuses!$A$5:$A$3004,$A53,Acuses!$B$5:$B$3004,AJ$4)&lt;AJ$5,"Pendiente",IF(AJ$8=0,"OK",IF(EDATE(_xlfn.MAXIFS(Acuses!$D$5:$D$3004,Acuses!$A$5:$A$3004,$A53,Acuses!$B$5:$B$3004,AJ$4,Acuses!$C$5:$C$3004,AJ$5),AJ$8)&lt;Resumen!$C$4,"Caducado",IF(EDATE(_xlfn.MAXIFS(Acuses!$D$5:$D$3004,Acuses!$A$5:$A$3004,$A53,Acuses!$B$5:$B$3004,AJ$4,Acuses!$C$5:$C$3004,AJ$5),AJ$8)&lt;Resumen!$C$4+30,"Caduca pronto","OK"))))))</f>
        <v/>
      </c>
      <c r="AK53" s="26" t="str">
        <f aca="false">IF(OR($A53="",AK$4=""),"",IF(NOT(OR(AK$6="Toda la plantilla",ISNUMBER(SEARCH(";"&amp;SUBSTITUTE($C53," ","")&amp;";",";"&amp;SUBSTITUTE(AK$7," ","")&amp;";")))),"—",IF(_xlfn.MAXIFS(Acuses!$C$5:$C$3004,Acuses!$A$5:$A$3004,$A53,Acuses!$B$5:$B$3004,AK$4)&lt;AK$5,"Pendiente",IF(AK$8=0,"OK",IF(EDATE(_xlfn.MAXIFS(Acuses!$D$5:$D$3004,Acuses!$A$5:$A$3004,$A53,Acuses!$B$5:$B$3004,AK$4,Acuses!$C$5:$C$3004,AK$5),AK$8)&lt;Resumen!$C$4,"Caducado",IF(EDATE(_xlfn.MAXIFS(Acuses!$D$5:$D$3004,Acuses!$A$5:$A$3004,$A53,Acuses!$B$5:$B$3004,AK$4,Acuses!$C$5:$C$3004,AK$5),AK$8)&lt;Resumen!$C$4+30,"Caduca pronto","OK"))))))</f>
        <v/>
      </c>
      <c r="AL53" s="26" t="str">
        <f aca="false">IF(OR($A53="",AL$4=""),"",IF(NOT(OR(AL$6="Toda la plantilla",ISNUMBER(SEARCH(";"&amp;SUBSTITUTE($C53," ","")&amp;";",";"&amp;SUBSTITUTE(AL$7," ","")&amp;";")))),"—",IF(_xlfn.MAXIFS(Acuses!$C$5:$C$3004,Acuses!$A$5:$A$3004,$A53,Acuses!$B$5:$B$3004,AL$4)&lt;AL$5,"Pendiente",IF(AL$8=0,"OK",IF(EDATE(_xlfn.MAXIFS(Acuses!$D$5:$D$3004,Acuses!$A$5:$A$3004,$A53,Acuses!$B$5:$B$3004,AL$4,Acuses!$C$5:$C$3004,AL$5),AL$8)&lt;Resumen!$C$4,"Caducado",IF(EDATE(_xlfn.MAXIFS(Acuses!$D$5:$D$3004,Acuses!$A$5:$A$3004,$A53,Acuses!$B$5:$B$3004,AL$4,Acuses!$C$5:$C$3004,AL$5),AL$8)&lt;Resumen!$C$4+30,"Caduca pronto","OK"))))))</f>
        <v/>
      </c>
      <c r="AM53" s="26" t="str">
        <f aca="false">IF(OR($A53="",AM$4=""),"",IF(NOT(OR(AM$6="Toda la plantilla",ISNUMBER(SEARCH(";"&amp;SUBSTITUTE($C53," ","")&amp;";",";"&amp;SUBSTITUTE(AM$7," ","")&amp;";")))),"—",IF(_xlfn.MAXIFS(Acuses!$C$5:$C$3004,Acuses!$A$5:$A$3004,$A53,Acuses!$B$5:$B$3004,AM$4)&lt;AM$5,"Pendiente",IF(AM$8=0,"OK",IF(EDATE(_xlfn.MAXIFS(Acuses!$D$5:$D$3004,Acuses!$A$5:$A$3004,$A53,Acuses!$B$5:$B$3004,AM$4,Acuses!$C$5:$C$3004,AM$5),AM$8)&lt;Resumen!$C$4,"Caducado",IF(EDATE(_xlfn.MAXIFS(Acuses!$D$5:$D$3004,Acuses!$A$5:$A$3004,$A53,Acuses!$B$5:$B$3004,AM$4,Acuses!$C$5:$C$3004,AM$5),AM$8)&lt;Resumen!$C$4+30,"Caduca pronto","OK"))))))</f>
        <v/>
      </c>
      <c r="AN53" s="26" t="str">
        <f aca="false">IF(OR($A53="",AN$4=""),"",IF(NOT(OR(AN$6="Toda la plantilla",ISNUMBER(SEARCH(";"&amp;SUBSTITUTE($C53," ","")&amp;";",";"&amp;SUBSTITUTE(AN$7," ","")&amp;";")))),"—",IF(_xlfn.MAXIFS(Acuses!$C$5:$C$3004,Acuses!$A$5:$A$3004,$A53,Acuses!$B$5:$B$3004,AN$4)&lt;AN$5,"Pendiente",IF(AN$8=0,"OK",IF(EDATE(_xlfn.MAXIFS(Acuses!$D$5:$D$3004,Acuses!$A$5:$A$3004,$A53,Acuses!$B$5:$B$3004,AN$4,Acuses!$C$5:$C$3004,AN$5),AN$8)&lt;Resumen!$C$4,"Caducado",IF(EDATE(_xlfn.MAXIFS(Acuses!$D$5:$D$3004,Acuses!$A$5:$A$3004,$A53,Acuses!$B$5:$B$3004,AN$4,Acuses!$C$5:$C$3004,AN$5),AN$8)&lt;Resumen!$C$4+30,"Caduca pronto","OK"))))))</f>
        <v/>
      </c>
      <c r="AO53" s="26" t="str">
        <f aca="false">IF(OR($A53="",AO$4=""),"",IF(NOT(OR(AO$6="Toda la plantilla",ISNUMBER(SEARCH(";"&amp;SUBSTITUTE($C53," ","")&amp;";",";"&amp;SUBSTITUTE(AO$7," ","")&amp;";")))),"—",IF(_xlfn.MAXIFS(Acuses!$C$5:$C$3004,Acuses!$A$5:$A$3004,$A53,Acuses!$B$5:$B$3004,AO$4)&lt;AO$5,"Pendiente",IF(AO$8=0,"OK",IF(EDATE(_xlfn.MAXIFS(Acuses!$D$5:$D$3004,Acuses!$A$5:$A$3004,$A53,Acuses!$B$5:$B$3004,AO$4,Acuses!$C$5:$C$3004,AO$5),AO$8)&lt;Resumen!$C$4,"Caducado",IF(EDATE(_xlfn.MAXIFS(Acuses!$D$5:$D$3004,Acuses!$A$5:$A$3004,$A53,Acuses!$B$5:$B$3004,AO$4,Acuses!$C$5:$C$3004,AO$5),AO$8)&lt;Resumen!$C$4+30,"Caduca pronto","OK"))))))</f>
        <v/>
      </c>
      <c r="AP53" s="26" t="str">
        <f aca="false">IF(OR($A53="",AP$4=""),"",IF(NOT(OR(AP$6="Toda la plantilla",ISNUMBER(SEARCH(";"&amp;SUBSTITUTE($C53," ","")&amp;";",";"&amp;SUBSTITUTE(AP$7," ","")&amp;";")))),"—",IF(_xlfn.MAXIFS(Acuses!$C$5:$C$3004,Acuses!$A$5:$A$3004,$A53,Acuses!$B$5:$B$3004,AP$4)&lt;AP$5,"Pendiente",IF(AP$8=0,"OK",IF(EDATE(_xlfn.MAXIFS(Acuses!$D$5:$D$3004,Acuses!$A$5:$A$3004,$A53,Acuses!$B$5:$B$3004,AP$4,Acuses!$C$5:$C$3004,AP$5),AP$8)&lt;Resumen!$C$4,"Caducado",IF(EDATE(_xlfn.MAXIFS(Acuses!$D$5:$D$3004,Acuses!$A$5:$A$3004,$A53,Acuses!$B$5:$B$3004,AP$4,Acuses!$C$5:$C$3004,AP$5),AP$8)&lt;Resumen!$C$4+30,"Caduca pronto","OK"))))))</f>
        <v/>
      </c>
      <c r="AQ53" s="26" t="str">
        <f aca="false">IF(OR($A53="",AQ$4=""),"",IF(NOT(OR(AQ$6="Toda la plantilla",ISNUMBER(SEARCH(";"&amp;SUBSTITUTE($C53," ","")&amp;";",";"&amp;SUBSTITUTE(AQ$7," ","")&amp;";")))),"—",IF(_xlfn.MAXIFS(Acuses!$C$5:$C$3004,Acuses!$A$5:$A$3004,$A53,Acuses!$B$5:$B$3004,AQ$4)&lt;AQ$5,"Pendiente",IF(AQ$8=0,"OK",IF(EDATE(_xlfn.MAXIFS(Acuses!$D$5:$D$3004,Acuses!$A$5:$A$3004,$A53,Acuses!$B$5:$B$3004,AQ$4,Acuses!$C$5:$C$3004,AQ$5),AQ$8)&lt;Resumen!$C$4,"Caducado",IF(EDATE(_xlfn.MAXIFS(Acuses!$D$5:$D$3004,Acuses!$A$5:$A$3004,$A53,Acuses!$B$5:$B$3004,AQ$4,Acuses!$C$5:$C$3004,AQ$5),AQ$8)&lt;Resumen!$C$4+30,"Caduca pronto","OK"))))))</f>
        <v/>
      </c>
    </row>
    <row r="54" customFormat="false" ht="15" hidden="false" customHeight="false" outlineLevel="0" collapsed="false">
      <c r="A54" s="25" t="str">
        <f aca="false">IF(AND(Trabajadores!$A$49&lt;&gt;"",Trabajadores!$G$49&lt;&gt;"No"),Trabajadores!$A$49,"")</f>
        <v/>
      </c>
      <c r="B54" s="25" t="str">
        <f aca="false">IF($A54="","",Trabajadores!$B$49)</f>
        <v/>
      </c>
      <c r="C54" s="25" t="str">
        <f aca="false">IF($A54="","",Trabajadores!$C$49)</f>
        <v/>
      </c>
      <c r="D54" s="26" t="str">
        <f aca="false">IF(OR($A54="",D$4=""),"",IF(NOT(OR(D$6="Toda la plantilla",ISNUMBER(SEARCH(";"&amp;SUBSTITUTE($C54," ","")&amp;";",";"&amp;SUBSTITUTE(D$7," ","")&amp;";")))),"—",IF(_xlfn.MAXIFS(Acuses!$C$5:$C$3004,Acuses!$A$5:$A$3004,$A54,Acuses!$B$5:$B$3004,D$4)&lt;D$5,"Pendiente",IF(D$8=0,"OK",IF(EDATE(_xlfn.MAXIFS(Acuses!$D$5:$D$3004,Acuses!$A$5:$A$3004,$A54,Acuses!$B$5:$B$3004,D$4,Acuses!$C$5:$C$3004,D$5),D$8)&lt;Resumen!$C$4,"Caducado",IF(EDATE(_xlfn.MAXIFS(Acuses!$D$5:$D$3004,Acuses!$A$5:$A$3004,$A54,Acuses!$B$5:$B$3004,D$4,Acuses!$C$5:$C$3004,D$5),D$8)&lt;Resumen!$C$4+30,"Caduca pronto","OK"))))))</f>
        <v/>
      </c>
      <c r="E54" s="26" t="str">
        <f aca="false">IF(OR($A54="",E$4=""),"",IF(NOT(OR(E$6="Toda la plantilla",ISNUMBER(SEARCH(";"&amp;SUBSTITUTE($C54," ","")&amp;";",";"&amp;SUBSTITUTE(E$7," ","")&amp;";")))),"—",IF(_xlfn.MAXIFS(Acuses!$C$5:$C$3004,Acuses!$A$5:$A$3004,$A54,Acuses!$B$5:$B$3004,E$4)&lt;E$5,"Pendiente",IF(E$8=0,"OK",IF(EDATE(_xlfn.MAXIFS(Acuses!$D$5:$D$3004,Acuses!$A$5:$A$3004,$A54,Acuses!$B$5:$B$3004,E$4,Acuses!$C$5:$C$3004,E$5),E$8)&lt;Resumen!$C$4,"Caducado",IF(EDATE(_xlfn.MAXIFS(Acuses!$D$5:$D$3004,Acuses!$A$5:$A$3004,$A54,Acuses!$B$5:$B$3004,E$4,Acuses!$C$5:$C$3004,E$5),E$8)&lt;Resumen!$C$4+30,"Caduca pronto","OK"))))))</f>
        <v/>
      </c>
      <c r="F54" s="26" t="str">
        <f aca="false">IF(OR($A54="",F$4=""),"",IF(NOT(OR(F$6="Toda la plantilla",ISNUMBER(SEARCH(";"&amp;SUBSTITUTE($C54," ","")&amp;";",";"&amp;SUBSTITUTE(F$7," ","")&amp;";")))),"—",IF(_xlfn.MAXIFS(Acuses!$C$5:$C$3004,Acuses!$A$5:$A$3004,$A54,Acuses!$B$5:$B$3004,F$4)&lt;F$5,"Pendiente",IF(F$8=0,"OK",IF(EDATE(_xlfn.MAXIFS(Acuses!$D$5:$D$3004,Acuses!$A$5:$A$3004,$A54,Acuses!$B$5:$B$3004,F$4,Acuses!$C$5:$C$3004,F$5),F$8)&lt;Resumen!$C$4,"Caducado",IF(EDATE(_xlfn.MAXIFS(Acuses!$D$5:$D$3004,Acuses!$A$5:$A$3004,$A54,Acuses!$B$5:$B$3004,F$4,Acuses!$C$5:$C$3004,F$5),F$8)&lt;Resumen!$C$4+30,"Caduca pronto","OK"))))))</f>
        <v/>
      </c>
      <c r="G54" s="26" t="str">
        <f aca="false">IF(OR($A54="",G$4=""),"",IF(NOT(OR(G$6="Toda la plantilla",ISNUMBER(SEARCH(";"&amp;SUBSTITUTE($C54," ","")&amp;";",";"&amp;SUBSTITUTE(G$7," ","")&amp;";")))),"—",IF(_xlfn.MAXIFS(Acuses!$C$5:$C$3004,Acuses!$A$5:$A$3004,$A54,Acuses!$B$5:$B$3004,G$4)&lt;G$5,"Pendiente",IF(G$8=0,"OK",IF(EDATE(_xlfn.MAXIFS(Acuses!$D$5:$D$3004,Acuses!$A$5:$A$3004,$A54,Acuses!$B$5:$B$3004,G$4,Acuses!$C$5:$C$3004,G$5),G$8)&lt;Resumen!$C$4,"Caducado",IF(EDATE(_xlfn.MAXIFS(Acuses!$D$5:$D$3004,Acuses!$A$5:$A$3004,$A54,Acuses!$B$5:$B$3004,G$4,Acuses!$C$5:$C$3004,G$5),G$8)&lt;Resumen!$C$4+30,"Caduca pronto","OK"))))))</f>
        <v/>
      </c>
      <c r="H54" s="26" t="str">
        <f aca="false">IF(OR($A54="",H$4=""),"",IF(NOT(OR(H$6="Toda la plantilla",ISNUMBER(SEARCH(";"&amp;SUBSTITUTE($C54," ","")&amp;";",";"&amp;SUBSTITUTE(H$7," ","")&amp;";")))),"—",IF(_xlfn.MAXIFS(Acuses!$C$5:$C$3004,Acuses!$A$5:$A$3004,$A54,Acuses!$B$5:$B$3004,H$4)&lt;H$5,"Pendiente",IF(H$8=0,"OK",IF(EDATE(_xlfn.MAXIFS(Acuses!$D$5:$D$3004,Acuses!$A$5:$A$3004,$A54,Acuses!$B$5:$B$3004,H$4,Acuses!$C$5:$C$3004,H$5),H$8)&lt;Resumen!$C$4,"Caducado",IF(EDATE(_xlfn.MAXIFS(Acuses!$D$5:$D$3004,Acuses!$A$5:$A$3004,$A54,Acuses!$B$5:$B$3004,H$4,Acuses!$C$5:$C$3004,H$5),H$8)&lt;Resumen!$C$4+30,"Caduca pronto","OK"))))))</f>
        <v/>
      </c>
      <c r="I54" s="26" t="str">
        <f aca="false">IF(OR($A54="",I$4=""),"",IF(NOT(OR(I$6="Toda la plantilla",ISNUMBER(SEARCH(";"&amp;SUBSTITUTE($C54," ","")&amp;";",";"&amp;SUBSTITUTE(I$7," ","")&amp;";")))),"—",IF(_xlfn.MAXIFS(Acuses!$C$5:$C$3004,Acuses!$A$5:$A$3004,$A54,Acuses!$B$5:$B$3004,I$4)&lt;I$5,"Pendiente",IF(I$8=0,"OK",IF(EDATE(_xlfn.MAXIFS(Acuses!$D$5:$D$3004,Acuses!$A$5:$A$3004,$A54,Acuses!$B$5:$B$3004,I$4,Acuses!$C$5:$C$3004,I$5),I$8)&lt;Resumen!$C$4,"Caducado",IF(EDATE(_xlfn.MAXIFS(Acuses!$D$5:$D$3004,Acuses!$A$5:$A$3004,$A54,Acuses!$B$5:$B$3004,I$4,Acuses!$C$5:$C$3004,I$5),I$8)&lt;Resumen!$C$4+30,"Caduca pronto","OK"))))))</f>
        <v/>
      </c>
      <c r="J54" s="26" t="str">
        <f aca="false">IF(OR($A54="",J$4=""),"",IF(NOT(OR(J$6="Toda la plantilla",ISNUMBER(SEARCH(";"&amp;SUBSTITUTE($C54," ","")&amp;";",";"&amp;SUBSTITUTE(J$7," ","")&amp;";")))),"—",IF(_xlfn.MAXIFS(Acuses!$C$5:$C$3004,Acuses!$A$5:$A$3004,$A54,Acuses!$B$5:$B$3004,J$4)&lt;J$5,"Pendiente",IF(J$8=0,"OK",IF(EDATE(_xlfn.MAXIFS(Acuses!$D$5:$D$3004,Acuses!$A$5:$A$3004,$A54,Acuses!$B$5:$B$3004,J$4,Acuses!$C$5:$C$3004,J$5),J$8)&lt;Resumen!$C$4,"Caducado",IF(EDATE(_xlfn.MAXIFS(Acuses!$D$5:$D$3004,Acuses!$A$5:$A$3004,$A54,Acuses!$B$5:$B$3004,J$4,Acuses!$C$5:$C$3004,J$5),J$8)&lt;Resumen!$C$4+30,"Caduca pronto","OK"))))))</f>
        <v/>
      </c>
      <c r="K54" s="26" t="str">
        <f aca="false">IF(OR($A54="",K$4=""),"",IF(NOT(OR(K$6="Toda la plantilla",ISNUMBER(SEARCH(";"&amp;SUBSTITUTE($C54," ","")&amp;";",";"&amp;SUBSTITUTE(K$7," ","")&amp;";")))),"—",IF(_xlfn.MAXIFS(Acuses!$C$5:$C$3004,Acuses!$A$5:$A$3004,$A54,Acuses!$B$5:$B$3004,K$4)&lt;K$5,"Pendiente",IF(K$8=0,"OK",IF(EDATE(_xlfn.MAXIFS(Acuses!$D$5:$D$3004,Acuses!$A$5:$A$3004,$A54,Acuses!$B$5:$B$3004,K$4,Acuses!$C$5:$C$3004,K$5),K$8)&lt;Resumen!$C$4,"Caducado",IF(EDATE(_xlfn.MAXIFS(Acuses!$D$5:$D$3004,Acuses!$A$5:$A$3004,$A54,Acuses!$B$5:$B$3004,K$4,Acuses!$C$5:$C$3004,K$5),K$8)&lt;Resumen!$C$4+30,"Caduca pronto","OK"))))))</f>
        <v/>
      </c>
      <c r="L54" s="26" t="str">
        <f aca="false">IF(OR($A54="",L$4=""),"",IF(NOT(OR(L$6="Toda la plantilla",ISNUMBER(SEARCH(";"&amp;SUBSTITUTE($C54," ","")&amp;";",";"&amp;SUBSTITUTE(L$7," ","")&amp;";")))),"—",IF(_xlfn.MAXIFS(Acuses!$C$5:$C$3004,Acuses!$A$5:$A$3004,$A54,Acuses!$B$5:$B$3004,L$4)&lt;L$5,"Pendiente",IF(L$8=0,"OK",IF(EDATE(_xlfn.MAXIFS(Acuses!$D$5:$D$3004,Acuses!$A$5:$A$3004,$A54,Acuses!$B$5:$B$3004,L$4,Acuses!$C$5:$C$3004,L$5),L$8)&lt;Resumen!$C$4,"Caducado",IF(EDATE(_xlfn.MAXIFS(Acuses!$D$5:$D$3004,Acuses!$A$5:$A$3004,$A54,Acuses!$B$5:$B$3004,L$4,Acuses!$C$5:$C$3004,L$5),L$8)&lt;Resumen!$C$4+30,"Caduca pronto","OK"))))))</f>
        <v/>
      </c>
      <c r="M54" s="26" t="str">
        <f aca="false">IF(OR($A54="",M$4=""),"",IF(NOT(OR(M$6="Toda la plantilla",ISNUMBER(SEARCH(";"&amp;SUBSTITUTE($C54," ","")&amp;";",";"&amp;SUBSTITUTE(M$7," ","")&amp;";")))),"—",IF(_xlfn.MAXIFS(Acuses!$C$5:$C$3004,Acuses!$A$5:$A$3004,$A54,Acuses!$B$5:$B$3004,M$4)&lt;M$5,"Pendiente",IF(M$8=0,"OK",IF(EDATE(_xlfn.MAXIFS(Acuses!$D$5:$D$3004,Acuses!$A$5:$A$3004,$A54,Acuses!$B$5:$B$3004,M$4,Acuses!$C$5:$C$3004,M$5),M$8)&lt;Resumen!$C$4,"Caducado",IF(EDATE(_xlfn.MAXIFS(Acuses!$D$5:$D$3004,Acuses!$A$5:$A$3004,$A54,Acuses!$B$5:$B$3004,M$4,Acuses!$C$5:$C$3004,M$5),M$8)&lt;Resumen!$C$4+30,"Caduca pronto","OK"))))))</f>
        <v/>
      </c>
      <c r="N54" s="26" t="str">
        <f aca="false">IF(OR($A54="",N$4=""),"",IF(NOT(OR(N$6="Toda la plantilla",ISNUMBER(SEARCH(";"&amp;SUBSTITUTE($C54," ","")&amp;";",";"&amp;SUBSTITUTE(N$7," ","")&amp;";")))),"—",IF(_xlfn.MAXIFS(Acuses!$C$5:$C$3004,Acuses!$A$5:$A$3004,$A54,Acuses!$B$5:$B$3004,N$4)&lt;N$5,"Pendiente",IF(N$8=0,"OK",IF(EDATE(_xlfn.MAXIFS(Acuses!$D$5:$D$3004,Acuses!$A$5:$A$3004,$A54,Acuses!$B$5:$B$3004,N$4,Acuses!$C$5:$C$3004,N$5),N$8)&lt;Resumen!$C$4,"Caducado",IF(EDATE(_xlfn.MAXIFS(Acuses!$D$5:$D$3004,Acuses!$A$5:$A$3004,$A54,Acuses!$B$5:$B$3004,N$4,Acuses!$C$5:$C$3004,N$5),N$8)&lt;Resumen!$C$4+30,"Caduca pronto","OK"))))))</f>
        <v/>
      </c>
      <c r="O54" s="26" t="str">
        <f aca="false">IF(OR($A54="",O$4=""),"",IF(NOT(OR(O$6="Toda la plantilla",ISNUMBER(SEARCH(";"&amp;SUBSTITUTE($C54," ","")&amp;";",";"&amp;SUBSTITUTE(O$7," ","")&amp;";")))),"—",IF(_xlfn.MAXIFS(Acuses!$C$5:$C$3004,Acuses!$A$5:$A$3004,$A54,Acuses!$B$5:$B$3004,O$4)&lt;O$5,"Pendiente",IF(O$8=0,"OK",IF(EDATE(_xlfn.MAXIFS(Acuses!$D$5:$D$3004,Acuses!$A$5:$A$3004,$A54,Acuses!$B$5:$B$3004,O$4,Acuses!$C$5:$C$3004,O$5),O$8)&lt;Resumen!$C$4,"Caducado",IF(EDATE(_xlfn.MAXIFS(Acuses!$D$5:$D$3004,Acuses!$A$5:$A$3004,$A54,Acuses!$B$5:$B$3004,O$4,Acuses!$C$5:$C$3004,O$5),O$8)&lt;Resumen!$C$4+30,"Caduca pronto","OK"))))))</f>
        <v/>
      </c>
      <c r="P54" s="26" t="str">
        <f aca="false">IF(OR($A54="",P$4=""),"",IF(NOT(OR(P$6="Toda la plantilla",ISNUMBER(SEARCH(";"&amp;SUBSTITUTE($C54," ","")&amp;";",";"&amp;SUBSTITUTE(P$7," ","")&amp;";")))),"—",IF(_xlfn.MAXIFS(Acuses!$C$5:$C$3004,Acuses!$A$5:$A$3004,$A54,Acuses!$B$5:$B$3004,P$4)&lt;P$5,"Pendiente",IF(P$8=0,"OK",IF(EDATE(_xlfn.MAXIFS(Acuses!$D$5:$D$3004,Acuses!$A$5:$A$3004,$A54,Acuses!$B$5:$B$3004,P$4,Acuses!$C$5:$C$3004,P$5),P$8)&lt;Resumen!$C$4,"Caducado",IF(EDATE(_xlfn.MAXIFS(Acuses!$D$5:$D$3004,Acuses!$A$5:$A$3004,$A54,Acuses!$B$5:$B$3004,P$4,Acuses!$C$5:$C$3004,P$5),P$8)&lt;Resumen!$C$4+30,"Caduca pronto","OK"))))))</f>
        <v/>
      </c>
      <c r="Q54" s="26" t="str">
        <f aca="false">IF(OR($A54="",Q$4=""),"",IF(NOT(OR(Q$6="Toda la plantilla",ISNUMBER(SEARCH(";"&amp;SUBSTITUTE($C54," ","")&amp;";",";"&amp;SUBSTITUTE(Q$7," ","")&amp;";")))),"—",IF(_xlfn.MAXIFS(Acuses!$C$5:$C$3004,Acuses!$A$5:$A$3004,$A54,Acuses!$B$5:$B$3004,Q$4)&lt;Q$5,"Pendiente",IF(Q$8=0,"OK",IF(EDATE(_xlfn.MAXIFS(Acuses!$D$5:$D$3004,Acuses!$A$5:$A$3004,$A54,Acuses!$B$5:$B$3004,Q$4,Acuses!$C$5:$C$3004,Q$5),Q$8)&lt;Resumen!$C$4,"Caducado",IF(EDATE(_xlfn.MAXIFS(Acuses!$D$5:$D$3004,Acuses!$A$5:$A$3004,$A54,Acuses!$B$5:$B$3004,Q$4,Acuses!$C$5:$C$3004,Q$5),Q$8)&lt;Resumen!$C$4+30,"Caduca pronto","OK"))))))</f>
        <v/>
      </c>
      <c r="R54" s="26" t="str">
        <f aca="false">IF(OR($A54="",R$4=""),"",IF(NOT(OR(R$6="Toda la plantilla",ISNUMBER(SEARCH(";"&amp;SUBSTITUTE($C54," ","")&amp;";",";"&amp;SUBSTITUTE(R$7," ","")&amp;";")))),"—",IF(_xlfn.MAXIFS(Acuses!$C$5:$C$3004,Acuses!$A$5:$A$3004,$A54,Acuses!$B$5:$B$3004,R$4)&lt;R$5,"Pendiente",IF(R$8=0,"OK",IF(EDATE(_xlfn.MAXIFS(Acuses!$D$5:$D$3004,Acuses!$A$5:$A$3004,$A54,Acuses!$B$5:$B$3004,R$4,Acuses!$C$5:$C$3004,R$5),R$8)&lt;Resumen!$C$4,"Caducado",IF(EDATE(_xlfn.MAXIFS(Acuses!$D$5:$D$3004,Acuses!$A$5:$A$3004,$A54,Acuses!$B$5:$B$3004,R$4,Acuses!$C$5:$C$3004,R$5),R$8)&lt;Resumen!$C$4+30,"Caduca pronto","OK"))))))</f>
        <v/>
      </c>
      <c r="S54" s="26" t="str">
        <f aca="false">IF(OR($A54="",S$4=""),"",IF(NOT(OR(S$6="Toda la plantilla",ISNUMBER(SEARCH(";"&amp;SUBSTITUTE($C54," ","")&amp;";",";"&amp;SUBSTITUTE(S$7," ","")&amp;";")))),"—",IF(_xlfn.MAXIFS(Acuses!$C$5:$C$3004,Acuses!$A$5:$A$3004,$A54,Acuses!$B$5:$B$3004,S$4)&lt;S$5,"Pendiente",IF(S$8=0,"OK",IF(EDATE(_xlfn.MAXIFS(Acuses!$D$5:$D$3004,Acuses!$A$5:$A$3004,$A54,Acuses!$B$5:$B$3004,S$4,Acuses!$C$5:$C$3004,S$5),S$8)&lt;Resumen!$C$4,"Caducado",IF(EDATE(_xlfn.MAXIFS(Acuses!$D$5:$D$3004,Acuses!$A$5:$A$3004,$A54,Acuses!$B$5:$B$3004,S$4,Acuses!$C$5:$C$3004,S$5),S$8)&lt;Resumen!$C$4+30,"Caduca pronto","OK"))))))</f>
        <v/>
      </c>
      <c r="T54" s="26" t="str">
        <f aca="false">IF(OR($A54="",T$4=""),"",IF(NOT(OR(T$6="Toda la plantilla",ISNUMBER(SEARCH(";"&amp;SUBSTITUTE($C54," ","")&amp;";",";"&amp;SUBSTITUTE(T$7," ","")&amp;";")))),"—",IF(_xlfn.MAXIFS(Acuses!$C$5:$C$3004,Acuses!$A$5:$A$3004,$A54,Acuses!$B$5:$B$3004,T$4)&lt;T$5,"Pendiente",IF(T$8=0,"OK",IF(EDATE(_xlfn.MAXIFS(Acuses!$D$5:$D$3004,Acuses!$A$5:$A$3004,$A54,Acuses!$B$5:$B$3004,T$4,Acuses!$C$5:$C$3004,T$5),T$8)&lt;Resumen!$C$4,"Caducado",IF(EDATE(_xlfn.MAXIFS(Acuses!$D$5:$D$3004,Acuses!$A$5:$A$3004,$A54,Acuses!$B$5:$B$3004,T$4,Acuses!$C$5:$C$3004,T$5),T$8)&lt;Resumen!$C$4+30,"Caduca pronto","OK"))))))</f>
        <v/>
      </c>
      <c r="U54" s="26" t="str">
        <f aca="false">IF(OR($A54="",U$4=""),"",IF(NOT(OR(U$6="Toda la plantilla",ISNUMBER(SEARCH(";"&amp;SUBSTITUTE($C54," ","")&amp;";",";"&amp;SUBSTITUTE(U$7," ","")&amp;";")))),"—",IF(_xlfn.MAXIFS(Acuses!$C$5:$C$3004,Acuses!$A$5:$A$3004,$A54,Acuses!$B$5:$B$3004,U$4)&lt;U$5,"Pendiente",IF(U$8=0,"OK",IF(EDATE(_xlfn.MAXIFS(Acuses!$D$5:$D$3004,Acuses!$A$5:$A$3004,$A54,Acuses!$B$5:$B$3004,U$4,Acuses!$C$5:$C$3004,U$5),U$8)&lt;Resumen!$C$4,"Caducado",IF(EDATE(_xlfn.MAXIFS(Acuses!$D$5:$D$3004,Acuses!$A$5:$A$3004,$A54,Acuses!$B$5:$B$3004,U$4,Acuses!$C$5:$C$3004,U$5),U$8)&lt;Resumen!$C$4+30,"Caduca pronto","OK"))))))</f>
        <v/>
      </c>
      <c r="V54" s="26" t="str">
        <f aca="false">IF(OR($A54="",V$4=""),"",IF(NOT(OR(V$6="Toda la plantilla",ISNUMBER(SEARCH(";"&amp;SUBSTITUTE($C54," ","")&amp;";",";"&amp;SUBSTITUTE(V$7," ","")&amp;";")))),"—",IF(_xlfn.MAXIFS(Acuses!$C$5:$C$3004,Acuses!$A$5:$A$3004,$A54,Acuses!$B$5:$B$3004,V$4)&lt;V$5,"Pendiente",IF(V$8=0,"OK",IF(EDATE(_xlfn.MAXIFS(Acuses!$D$5:$D$3004,Acuses!$A$5:$A$3004,$A54,Acuses!$B$5:$B$3004,V$4,Acuses!$C$5:$C$3004,V$5),V$8)&lt;Resumen!$C$4,"Caducado",IF(EDATE(_xlfn.MAXIFS(Acuses!$D$5:$D$3004,Acuses!$A$5:$A$3004,$A54,Acuses!$B$5:$B$3004,V$4,Acuses!$C$5:$C$3004,V$5),V$8)&lt;Resumen!$C$4+30,"Caduca pronto","OK"))))))</f>
        <v/>
      </c>
      <c r="W54" s="26" t="str">
        <f aca="false">IF(OR($A54="",W$4=""),"",IF(NOT(OR(W$6="Toda la plantilla",ISNUMBER(SEARCH(";"&amp;SUBSTITUTE($C54," ","")&amp;";",";"&amp;SUBSTITUTE(W$7," ","")&amp;";")))),"—",IF(_xlfn.MAXIFS(Acuses!$C$5:$C$3004,Acuses!$A$5:$A$3004,$A54,Acuses!$B$5:$B$3004,W$4)&lt;W$5,"Pendiente",IF(W$8=0,"OK",IF(EDATE(_xlfn.MAXIFS(Acuses!$D$5:$D$3004,Acuses!$A$5:$A$3004,$A54,Acuses!$B$5:$B$3004,W$4,Acuses!$C$5:$C$3004,W$5),W$8)&lt;Resumen!$C$4,"Caducado",IF(EDATE(_xlfn.MAXIFS(Acuses!$D$5:$D$3004,Acuses!$A$5:$A$3004,$A54,Acuses!$B$5:$B$3004,W$4,Acuses!$C$5:$C$3004,W$5),W$8)&lt;Resumen!$C$4+30,"Caduca pronto","OK"))))))</f>
        <v/>
      </c>
      <c r="X54" s="26" t="str">
        <f aca="false">IF(OR($A54="",X$4=""),"",IF(NOT(OR(X$6="Toda la plantilla",ISNUMBER(SEARCH(";"&amp;SUBSTITUTE($C54," ","")&amp;";",";"&amp;SUBSTITUTE(X$7," ","")&amp;";")))),"—",IF(_xlfn.MAXIFS(Acuses!$C$5:$C$3004,Acuses!$A$5:$A$3004,$A54,Acuses!$B$5:$B$3004,X$4)&lt;X$5,"Pendiente",IF(X$8=0,"OK",IF(EDATE(_xlfn.MAXIFS(Acuses!$D$5:$D$3004,Acuses!$A$5:$A$3004,$A54,Acuses!$B$5:$B$3004,X$4,Acuses!$C$5:$C$3004,X$5),X$8)&lt;Resumen!$C$4,"Caducado",IF(EDATE(_xlfn.MAXIFS(Acuses!$D$5:$D$3004,Acuses!$A$5:$A$3004,$A54,Acuses!$B$5:$B$3004,X$4,Acuses!$C$5:$C$3004,X$5),X$8)&lt;Resumen!$C$4+30,"Caduca pronto","OK"))))))</f>
        <v/>
      </c>
      <c r="Y54" s="26" t="str">
        <f aca="false">IF(OR($A54="",Y$4=""),"",IF(NOT(OR(Y$6="Toda la plantilla",ISNUMBER(SEARCH(";"&amp;SUBSTITUTE($C54," ","")&amp;";",";"&amp;SUBSTITUTE(Y$7," ","")&amp;";")))),"—",IF(_xlfn.MAXIFS(Acuses!$C$5:$C$3004,Acuses!$A$5:$A$3004,$A54,Acuses!$B$5:$B$3004,Y$4)&lt;Y$5,"Pendiente",IF(Y$8=0,"OK",IF(EDATE(_xlfn.MAXIFS(Acuses!$D$5:$D$3004,Acuses!$A$5:$A$3004,$A54,Acuses!$B$5:$B$3004,Y$4,Acuses!$C$5:$C$3004,Y$5),Y$8)&lt;Resumen!$C$4,"Caducado",IF(EDATE(_xlfn.MAXIFS(Acuses!$D$5:$D$3004,Acuses!$A$5:$A$3004,$A54,Acuses!$B$5:$B$3004,Y$4,Acuses!$C$5:$C$3004,Y$5),Y$8)&lt;Resumen!$C$4+30,"Caduca pronto","OK"))))))</f>
        <v/>
      </c>
      <c r="Z54" s="26" t="str">
        <f aca="false">IF(OR($A54="",Z$4=""),"",IF(NOT(OR(Z$6="Toda la plantilla",ISNUMBER(SEARCH(";"&amp;SUBSTITUTE($C54," ","")&amp;";",";"&amp;SUBSTITUTE(Z$7," ","")&amp;";")))),"—",IF(_xlfn.MAXIFS(Acuses!$C$5:$C$3004,Acuses!$A$5:$A$3004,$A54,Acuses!$B$5:$B$3004,Z$4)&lt;Z$5,"Pendiente",IF(Z$8=0,"OK",IF(EDATE(_xlfn.MAXIFS(Acuses!$D$5:$D$3004,Acuses!$A$5:$A$3004,$A54,Acuses!$B$5:$B$3004,Z$4,Acuses!$C$5:$C$3004,Z$5),Z$8)&lt;Resumen!$C$4,"Caducado",IF(EDATE(_xlfn.MAXIFS(Acuses!$D$5:$D$3004,Acuses!$A$5:$A$3004,$A54,Acuses!$B$5:$B$3004,Z$4,Acuses!$C$5:$C$3004,Z$5),Z$8)&lt;Resumen!$C$4+30,"Caduca pronto","OK"))))))</f>
        <v/>
      </c>
      <c r="AA54" s="26" t="str">
        <f aca="false">IF(OR($A54="",AA$4=""),"",IF(NOT(OR(AA$6="Toda la plantilla",ISNUMBER(SEARCH(";"&amp;SUBSTITUTE($C54," ","")&amp;";",";"&amp;SUBSTITUTE(AA$7," ","")&amp;";")))),"—",IF(_xlfn.MAXIFS(Acuses!$C$5:$C$3004,Acuses!$A$5:$A$3004,$A54,Acuses!$B$5:$B$3004,AA$4)&lt;AA$5,"Pendiente",IF(AA$8=0,"OK",IF(EDATE(_xlfn.MAXIFS(Acuses!$D$5:$D$3004,Acuses!$A$5:$A$3004,$A54,Acuses!$B$5:$B$3004,AA$4,Acuses!$C$5:$C$3004,AA$5),AA$8)&lt;Resumen!$C$4,"Caducado",IF(EDATE(_xlfn.MAXIFS(Acuses!$D$5:$D$3004,Acuses!$A$5:$A$3004,$A54,Acuses!$B$5:$B$3004,AA$4,Acuses!$C$5:$C$3004,AA$5),AA$8)&lt;Resumen!$C$4+30,"Caduca pronto","OK"))))))</f>
        <v/>
      </c>
      <c r="AB54" s="26" t="str">
        <f aca="false">IF(OR($A54="",AB$4=""),"",IF(NOT(OR(AB$6="Toda la plantilla",ISNUMBER(SEARCH(";"&amp;SUBSTITUTE($C54," ","")&amp;";",";"&amp;SUBSTITUTE(AB$7," ","")&amp;";")))),"—",IF(_xlfn.MAXIFS(Acuses!$C$5:$C$3004,Acuses!$A$5:$A$3004,$A54,Acuses!$B$5:$B$3004,AB$4)&lt;AB$5,"Pendiente",IF(AB$8=0,"OK",IF(EDATE(_xlfn.MAXIFS(Acuses!$D$5:$D$3004,Acuses!$A$5:$A$3004,$A54,Acuses!$B$5:$B$3004,AB$4,Acuses!$C$5:$C$3004,AB$5),AB$8)&lt;Resumen!$C$4,"Caducado",IF(EDATE(_xlfn.MAXIFS(Acuses!$D$5:$D$3004,Acuses!$A$5:$A$3004,$A54,Acuses!$B$5:$B$3004,AB$4,Acuses!$C$5:$C$3004,AB$5),AB$8)&lt;Resumen!$C$4+30,"Caduca pronto","OK"))))))</f>
        <v/>
      </c>
      <c r="AC54" s="26" t="str">
        <f aca="false">IF(OR($A54="",AC$4=""),"",IF(NOT(OR(AC$6="Toda la plantilla",ISNUMBER(SEARCH(";"&amp;SUBSTITUTE($C54," ","")&amp;";",";"&amp;SUBSTITUTE(AC$7," ","")&amp;";")))),"—",IF(_xlfn.MAXIFS(Acuses!$C$5:$C$3004,Acuses!$A$5:$A$3004,$A54,Acuses!$B$5:$B$3004,AC$4)&lt;AC$5,"Pendiente",IF(AC$8=0,"OK",IF(EDATE(_xlfn.MAXIFS(Acuses!$D$5:$D$3004,Acuses!$A$5:$A$3004,$A54,Acuses!$B$5:$B$3004,AC$4,Acuses!$C$5:$C$3004,AC$5),AC$8)&lt;Resumen!$C$4,"Caducado",IF(EDATE(_xlfn.MAXIFS(Acuses!$D$5:$D$3004,Acuses!$A$5:$A$3004,$A54,Acuses!$B$5:$B$3004,AC$4,Acuses!$C$5:$C$3004,AC$5),AC$8)&lt;Resumen!$C$4+30,"Caduca pronto","OK"))))))</f>
        <v/>
      </c>
      <c r="AD54" s="26" t="str">
        <f aca="false">IF(OR($A54="",AD$4=""),"",IF(NOT(OR(AD$6="Toda la plantilla",ISNUMBER(SEARCH(";"&amp;SUBSTITUTE($C54," ","")&amp;";",";"&amp;SUBSTITUTE(AD$7," ","")&amp;";")))),"—",IF(_xlfn.MAXIFS(Acuses!$C$5:$C$3004,Acuses!$A$5:$A$3004,$A54,Acuses!$B$5:$B$3004,AD$4)&lt;AD$5,"Pendiente",IF(AD$8=0,"OK",IF(EDATE(_xlfn.MAXIFS(Acuses!$D$5:$D$3004,Acuses!$A$5:$A$3004,$A54,Acuses!$B$5:$B$3004,AD$4,Acuses!$C$5:$C$3004,AD$5),AD$8)&lt;Resumen!$C$4,"Caducado",IF(EDATE(_xlfn.MAXIFS(Acuses!$D$5:$D$3004,Acuses!$A$5:$A$3004,$A54,Acuses!$B$5:$B$3004,AD$4,Acuses!$C$5:$C$3004,AD$5),AD$8)&lt;Resumen!$C$4+30,"Caduca pronto","OK"))))))</f>
        <v/>
      </c>
      <c r="AE54" s="26" t="str">
        <f aca="false">IF(OR($A54="",AE$4=""),"",IF(NOT(OR(AE$6="Toda la plantilla",ISNUMBER(SEARCH(";"&amp;SUBSTITUTE($C54," ","")&amp;";",";"&amp;SUBSTITUTE(AE$7," ","")&amp;";")))),"—",IF(_xlfn.MAXIFS(Acuses!$C$5:$C$3004,Acuses!$A$5:$A$3004,$A54,Acuses!$B$5:$B$3004,AE$4)&lt;AE$5,"Pendiente",IF(AE$8=0,"OK",IF(EDATE(_xlfn.MAXIFS(Acuses!$D$5:$D$3004,Acuses!$A$5:$A$3004,$A54,Acuses!$B$5:$B$3004,AE$4,Acuses!$C$5:$C$3004,AE$5),AE$8)&lt;Resumen!$C$4,"Caducado",IF(EDATE(_xlfn.MAXIFS(Acuses!$D$5:$D$3004,Acuses!$A$5:$A$3004,$A54,Acuses!$B$5:$B$3004,AE$4,Acuses!$C$5:$C$3004,AE$5),AE$8)&lt;Resumen!$C$4+30,"Caduca pronto","OK"))))))</f>
        <v/>
      </c>
      <c r="AF54" s="26" t="str">
        <f aca="false">IF(OR($A54="",AF$4=""),"",IF(NOT(OR(AF$6="Toda la plantilla",ISNUMBER(SEARCH(";"&amp;SUBSTITUTE($C54," ","")&amp;";",";"&amp;SUBSTITUTE(AF$7," ","")&amp;";")))),"—",IF(_xlfn.MAXIFS(Acuses!$C$5:$C$3004,Acuses!$A$5:$A$3004,$A54,Acuses!$B$5:$B$3004,AF$4)&lt;AF$5,"Pendiente",IF(AF$8=0,"OK",IF(EDATE(_xlfn.MAXIFS(Acuses!$D$5:$D$3004,Acuses!$A$5:$A$3004,$A54,Acuses!$B$5:$B$3004,AF$4,Acuses!$C$5:$C$3004,AF$5),AF$8)&lt;Resumen!$C$4,"Caducado",IF(EDATE(_xlfn.MAXIFS(Acuses!$D$5:$D$3004,Acuses!$A$5:$A$3004,$A54,Acuses!$B$5:$B$3004,AF$4,Acuses!$C$5:$C$3004,AF$5),AF$8)&lt;Resumen!$C$4+30,"Caduca pronto","OK"))))))</f>
        <v/>
      </c>
      <c r="AG54" s="26" t="str">
        <f aca="false">IF(OR($A54="",AG$4=""),"",IF(NOT(OR(AG$6="Toda la plantilla",ISNUMBER(SEARCH(";"&amp;SUBSTITUTE($C54," ","")&amp;";",";"&amp;SUBSTITUTE(AG$7," ","")&amp;";")))),"—",IF(_xlfn.MAXIFS(Acuses!$C$5:$C$3004,Acuses!$A$5:$A$3004,$A54,Acuses!$B$5:$B$3004,AG$4)&lt;AG$5,"Pendiente",IF(AG$8=0,"OK",IF(EDATE(_xlfn.MAXIFS(Acuses!$D$5:$D$3004,Acuses!$A$5:$A$3004,$A54,Acuses!$B$5:$B$3004,AG$4,Acuses!$C$5:$C$3004,AG$5),AG$8)&lt;Resumen!$C$4,"Caducado",IF(EDATE(_xlfn.MAXIFS(Acuses!$D$5:$D$3004,Acuses!$A$5:$A$3004,$A54,Acuses!$B$5:$B$3004,AG$4,Acuses!$C$5:$C$3004,AG$5),AG$8)&lt;Resumen!$C$4+30,"Caduca pronto","OK"))))))</f>
        <v/>
      </c>
      <c r="AH54" s="26" t="str">
        <f aca="false">IF(OR($A54="",AH$4=""),"",IF(NOT(OR(AH$6="Toda la plantilla",ISNUMBER(SEARCH(";"&amp;SUBSTITUTE($C54," ","")&amp;";",";"&amp;SUBSTITUTE(AH$7," ","")&amp;";")))),"—",IF(_xlfn.MAXIFS(Acuses!$C$5:$C$3004,Acuses!$A$5:$A$3004,$A54,Acuses!$B$5:$B$3004,AH$4)&lt;AH$5,"Pendiente",IF(AH$8=0,"OK",IF(EDATE(_xlfn.MAXIFS(Acuses!$D$5:$D$3004,Acuses!$A$5:$A$3004,$A54,Acuses!$B$5:$B$3004,AH$4,Acuses!$C$5:$C$3004,AH$5),AH$8)&lt;Resumen!$C$4,"Caducado",IF(EDATE(_xlfn.MAXIFS(Acuses!$D$5:$D$3004,Acuses!$A$5:$A$3004,$A54,Acuses!$B$5:$B$3004,AH$4,Acuses!$C$5:$C$3004,AH$5),AH$8)&lt;Resumen!$C$4+30,"Caduca pronto","OK"))))))</f>
        <v/>
      </c>
      <c r="AI54" s="26" t="str">
        <f aca="false">IF(OR($A54="",AI$4=""),"",IF(NOT(OR(AI$6="Toda la plantilla",ISNUMBER(SEARCH(";"&amp;SUBSTITUTE($C54," ","")&amp;";",";"&amp;SUBSTITUTE(AI$7," ","")&amp;";")))),"—",IF(_xlfn.MAXIFS(Acuses!$C$5:$C$3004,Acuses!$A$5:$A$3004,$A54,Acuses!$B$5:$B$3004,AI$4)&lt;AI$5,"Pendiente",IF(AI$8=0,"OK",IF(EDATE(_xlfn.MAXIFS(Acuses!$D$5:$D$3004,Acuses!$A$5:$A$3004,$A54,Acuses!$B$5:$B$3004,AI$4,Acuses!$C$5:$C$3004,AI$5),AI$8)&lt;Resumen!$C$4,"Caducado",IF(EDATE(_xlfn.MAXIFS(Acuses!$D$5:$D$3004,Acuses!$A$5:$A$3004,$A54,Acuses!$B$5:$B$3004,AI$4,Acuses!$C$5:$C$3004,AI$5),AI$8)&lt;Resumen!$C$4+30,"Caduca pronto","OK"))))))</f>
        <v/>
      </c>
      <c r="AJ54" s="26" t="str">
        <f aca="false">IF(OR($A54="",AJ$4=""),"",IF(NOT(OR(AJ$6="Toda la plantilla",ISNUMBER(SEARCH(";"&amp;SUBSTITUTE($C54," ","")&amp;";",";"&amp;SUBSTITUTE(AJ$7," ","")&amp;";")))),"—",IF(_xlfn.MAXIFS(Acuses!$C$5:$C$3004,Acuses!$A$5:$A$3004,$A54,Acuses!$B$5:$B$3004,AJ$4)&lt;AJ$5,"Pendiente",IF(AJ$8=0,"OK",IF(EDATE(_xlfn.MAXIFS(Acuses!$D$5:$D$3004,Acuses!$A$5:$A$3004,$A54,Acuses!$B$5:$B$3004,AJ$4,Acuses!$C$5:$C$3004,AJ$5),AJ$8)&lt;Resumen!$C$4,"Caducado",IF(EDATE(_xlfn.MAXIFS(Acuses!$D$5:$D$3004,Acuses!$A$5:$A$3004,$A54,Acuses!$B$5:$B$3004,AJ$4,Acuses!$C$5:$C$3004,AJ$5),AJ$8)&lt;Resumen!$C$4+30,"Caduca pronto","OK"))))))</f>
        <v/>
      </c>
      <c r="AK54" s="26" t="str">
        <f aca="false">IF(OR($A54="",AK$4=""),"",IF(NOT(OR(AK$6="Toda la plantilla",ISNUMBER(SEARCH(";"&amp;SUBSTITUTE($C54," ","")&amp;";",";"&amp;SUBSTITUTE(AK$7," ","")&amp;";")))),"—",IF(_xlfn.MAXIFS(Acuses!$C$5:$C$3004,Acuses!$A$5:$A$3004,$A54,Acuses!$B$5:$B$3004,AK$4)&lt;AK$5,"Pendiente",IF(AK$8=0,"OK",IF(EDATE(_xlfn.MAXIFS(Acuses!$D$5:$D$3004,Acuses!$A$5:$A$3004,$A54,Acuses!$B$5:$B$3004,AK$4,Acuses!$C$5:$C$3004,AK$5),AK$8)&lt;Resumen!$C$4,"Caducado",IF(EDATE(_xlfn.MAXIFS(Acuses!$D$5:$D$3004,Acuses!$A$5:$A$3004,$A54,Acuses!$B$5:$B$3004,AK$4,Acuses!$C$5:$C$3004,AK$5),AK$8)&lt;Resumen!$C$4+30,"Caduca pronto","OK"))))))</f>
        <v/>
      </c>
      <c r="AL54" s="26" t="str">
        <f aca="false">IF(OR($A54="",AL$4=""),"",IF(NOT(OR(AL$6="Toda la plantilla",ISNUMBER(SEARCH(";"&amp;SUBSTITUTE($C54," ","")&amp;";",";"&amp;SUBSTITUTE(AL$7," ","")&amp;";")))),"—",IF(_xlfn.MAXIFS(Acuses!$C$5:$C$3004,Acuses!$A$5:$A$3004,$A54,Acuses!$B$5:$B$3004,AL$4)&lt;AL$5,"Pendiente",IF(AL$8=0,"OK",IF(EDATE(_xlfn.MAXIFS(Acuses!$D$5:$D$3004,Acuses!$A$5:$A$3004,$A54,Acuses!$B$5:$B$3004,AL$4,Acuses!$C$5:$C$3004,AL$5),AL$8)&lt;Resumen!$C$4,"Caducado",IF(EDATE(_xlfn.MAXIFS(Acuses!$D$5:$D$3004,Acuses!$A$5:$A$3004,$A54,Acuses!$B$5:$B$3004,AL$4,Acuses!$C$5:$C$3004,AL$5),AL$8)&lt;Resumen!$C$4+30,"Caduca pronto","OK"))))))</f>
        <v/>
      </c>
      <c r="AM54" s="26" t="str">
        <f aca="false">IF(OR($A54="",AM$4=""),"",IF(NOT(OR(AM$6="Toda la plantilla",ISNUMBER(SEARCH(";"&amp;SUBSTITUTE($C54," ","")&amp;";",";"&amp;SUBSTITUTE(AM$7," ","")&amp;";")))),"—",IF(_xlfn.MAXIFS(Acuses!$C$5:$C$3004,Acuses!$A$5:$A$3004,$A54,Acuses!$B$5:$B$3004,AM$4)&lt;AM$5,"Pendiente",IF(AM$8=0,"OK",IF(EDATE(_xlfn.MAXIFS(Acuses!$D$5:$D$3004,Acuses!$A$5:$A$3004,$A54,Acuses!$B$5:$B$3004,AM$4,Acuses!$C$5:$C$3004,AM$5),AM$8)&lt;Resumen!$C$4,"Caducado",IF(EDATE(_xlfn.MAXIFS(Acuses!$D$5:$D$3004,Acuses!$A$5:$A$3004,$A54,Acuses!$B$5:$B$3004,AM$4,Acuses!$C$5:$C$3004,AM$5),AM$8)&lt;Resumen!$C$4+30,"Caduca pronto","OK"))))))</f>
        <v/>
      </c>
      <c r="AN54" s="26" t="str">
        <f aca="false">IF(OR($A54="",AN$4=""),"",IF(NOT(OR(AN$6="Toda la plantilla",ISNUMBER(SEARCH(";"&amp;SUBSTITUTE($C54," ","")&amp;";",";"&amp;SUBSTITUTE(AN$7," ","")&amp;";")))),"—",IF(_xlfn.MAXIFS(Acuses!$C$5:$C$3004,Acuses!$A$5:$A$3004,$A54,Acuses!$B$5:$B$3004,AN$4)&lt;AN$5,"Pendiente",IF(AN$8=0,"OK",IF(EDATE(_xlfn.MAXIFS(Acuses!$D$5:$D$3004,Acuses!$A$5:$A$3004,$A54,Acuses!$B$5:$B$3004,AN$4,Acuses!$C$5:$C$3004,AN$5),AN$8)&lt;Resumen!$C$4,"Caducado",IF(EDATE(_xlfn.MAXIFS(Acuses!$D$5:$D$3004,Acuses!$A$5:$A$3004,$A54,Acuses!$B$5:$B$3004,AN$4,Acuses!$C$5:$C$3004,AN$5),AN$8)&lt;Resumen!$C$4+30,"Caduca pronto","OK"))))))</f>
        <v/>
      </c>
      <c r="AO54" s="26" t="str">
        <f aca="false">IF(OR($A54="",AO$4=""),"",IF(NOT(OR(AO$6="Toda la plantilla",ISNUMBER(SEARCH(";"&amp;SUBSTITUTE($C54," ","")&amp;";",";"&amp;SUBSTITUTE(AO$7," ","")&amp;";")))),"—",IF(_xlfn.MAXIFS(Acuses!$C$5:$C$3004,Acuses!$A$5:$A$3004,$A54,Acuses!$B$5:$B$3004,AO$4)&lt;AO$5,"Pendiente",IF(AO$8=0,"OK",IF(EDATE(_xlfn.MAXIFS(Acuses!$D$5:$D$3004,Acuses!$A$5:$A$3004,$A54,Acuses!$B$5:$B$3004,AO$4,Acuses!$C$5:$C$3004,AO$5),AO$8)&lt;Resumen!$C$4,"Caducado",IF(EDATE(_xlfn.MAXIFS(Acuses!$D$5:$D$3004,Acuses!$A$5:$A$3004,$A54,Acuses!$B$5:$B$3004,AO$4,Acuses!$C$5:$C$3004,AO$5),AO$8)&lt;Resumen!$C$4+30,"Caduca pronto","OK"))))))</f>
        <v/>
      </c>
      <c r="AP54" s="26" t="str">
        <f aca="false">IF(OR($A54="",AP$4=""),"",IF(NOT(OR(AP$6="Toda la plantilla",ISNUMBER(SEARCH(";"&amp;SUBSTITUTE($C54," ","")&amp;";",";"&amp;SUBSTITUTE(AP$7," ","")&amp;";")))),"—",IF(_xlfn.MAXIFS(Acuses!$C$5:$C$3004,Acuses!$A$5:$A$3004,$A54,Acuses!$B$5:$B$3004,AP$4)&lt;AP$5,"Pendiente",IF(AP$8=0,"OK",IF(EDATE(_xlfn.MAXIFS(Acuses!$D$5:$D$3004,Acuses!$A$5:$A$3004,$A54,Acuses!$B$5:$B$3004,AP$4,Acuses!$C$5:$C$3004,AP$5),AP$8)&lt;Resumen!$C$4,"Caducado",IF(EDATE(_xlfn.MAXIFS(Acuses!$D$5:$D$3004,Acuses!$A$5:$A$3004,$A54,Acuses!$B$5:$B$3004,AP$4,Acuses!$C$5:$C$3004,AP$5),AP$8)&lt;Resumen!$C$4+30,"Caduca pronto","OK"))))))</f>
        <v/>
      </c>
      <c r="AQ54" s="26" t="str">
        <f aca="false">IF(OR($A54="",AQ$4=""),"",IF(NOT(OR(AQ$6="Toda la plantilla",ISNUMBER(SEARCH(";"&amp;SUBSTITUTE($C54," ","")&amp;";",";"&amp;SUBSTITUTE(AQ$7," ","")&amp;";")))),"—",IF(_xlfn.MAXIFS(Acuses!$C$5:$C$3004,Acuses!$A$5:$A$3004,$A54,Acuses!$B$5:$B$3004,AQ$4)&lt;AQ$5,"Pendiente",IF(AQ$8=0,"OK",IF(EDATE(_xlfn.MAXIFS(Acuses!$D$5:$D$3004,Acuses!$A$5:$A$3004,$A54,Acuses!$B$5:$B$3004,AQ$4,Acuses!$C$5:$C$3004,AQ$5),AQ$8)&lt;Resumen!$C$4,"Caducado",IF(EDATE(_xlfn.MAXIFS(Acuses!$D$5:$D$3004,Acuses!$A$5:$A$3004,$A54,Acuses!$B$5:$B$3004,AQ$4,Acuses!$C$5:$C$3004,AQ$5),AQ$8)&lt;Resumen!$C$4+30,"Caduca pronto","OK"))))))</f>
        <v/>
      </c>
    </row>
    <row r="55" customFormat="false" ht="15" hidden="false" customHeight="false" outlineLevel="0" collapsed="false">
      <c r="A55" s="25" t="str">
        <f aca="false">IF(AND(Trabajadores!$A$50&lt;&gt;"",Trabajadores!$G$50&lt;&gt;"No"),Trabajadores!$A$50,"")</f>
        <v/>
      </c>
      <c r="B55" s="25" t="str">
        <f aca="false">IF($A55="","",Trabajadores!$B$50)</f>
        <v/>
      </c>
      <c r="C55" s="25" t="str">
        <f aca="false">IF($A55="","",Trabajadores!$C$50)</f>
        <v/>
      </c>
      <c r="D55" s="26" t="str">
        <f aca="false">IF(OR($A55="",D$4=""),"",IF(NOT(OR(D$6="Toda la plantilla",ISNUMBER(SEARCH(";"&amp;SUBSTITUTE($C55," ","")&amp;";",";"&amp;SUBSTITUTE(D$7," ","")&amp;";")))),"—",IF(_xlfn.MAXIFS(Acuses!$C$5:$C$3004,Acuses!$A$5:$A$3004,$A55,Acuses!$B$5:$B$3004,D$4)&lt;D$5,"Pendiente",IF(D$8=0,"OK",IF(EDATE(_xlfn.MAXIFS(Acuses!$D$5:$D$3004,Acuses!$A$5:$A$3004,$A55,Acuses!$B$5:$B$3004,D$4,Acuses!$C$5:$C$3004,D$5),D$8)&lt;Resumen!$C$4,"Caducado",IF(EDATE(_xlfn.MAXIFS(Acuses!$D$5:$D$3004,Acuses!$A$5:$A$3004,$A55,Acuses!$B$5:$B$3004,D$4,Acuses!$C$5:$C$3004,D$5),D$8)&lt;Resumen!$C$4+30,"Caduca pronto","OK"))))))</f>
        <v/>
      </c>
      <c r="E55" s="26" t="str">
        <f aca="false">IF(OR($A55="",E$4=""),"",IF(NOT(OR(E$6="Toda la plantilla",ISNUMBER(SEARCH(";"&amp;SUBSTITUTE($C55," ","")&amp;";",";"&amp;SUBSTITUTE(E$7," ","")&amp;";")))),"—",IF(_xlfn.MAXIFS(Acuses!$C$5:$C$3004,Acuses!$A$5:$A$3004,$A55,Acuses!$B$5:$B$3004,E$4)&lt;E$5,"Pendiente",IF(E$8=0,"OK",IF(EDATE(_xlfn.MAXIFS(Acuses!$D$5:$D$3004,Acuses!$A$5:$A$3004,$A55,Acuses!$B$5:$B$3004,E$4,Acuses!$C$5:$C$3004,E$5),E$8)&lt;Resumen!$C$4,"Caducado",IF(EDATE(_xlfn.MAXIFS(Acuses!$D$5:$D$3004,Acuses!$A$5:$A$3004,$A55,Acuses!$B$5:$B$3004,E$4,Acuses!$C$5:$C$3004,E$5),E$8)&lt;Resumen!$C$4+30,"Caduca pronto","OK"))))))</f>
        <v/>
      </c>
      <c r="F55" s="26" t="str">
        <f aca="false">IF(OR($A55="",F$4=""),"",IF(NOT(OR(F$6="Toda la plantilla",ISNUMBER(SEARCH(";"&amp;SUBSTITUTE($C55," ","")&amp;";",";"&amp;SUBSTITUTE(F$7," ","")&amp;";")))),"—",IF(_xlfn.MAXIFS(Acuses!$C$5:$C$3004,Acuses!$A$5:$A$3004,$A55,Acuses!$B$5:$B$3004,F$4)&lt;F$5,"Pendiente",IF(F$8=0,"OK",IF(EDATE(_xlfn.MAXIFS(Acuses!$D$5:$D$3004,Acuses!$A$5:$A$3004,$A55,Acuses!$B$5:$B$3004,F$4,Acuses!$C$5:$C$3004,F$5),F$8)&lt;Resumen!$C$4,"Caducado",IF(EDATE(_xlfn.MAXIFS(Acuses!$D$5:$D$3004,Acuses!$A$5:$A$3004,$A55,Acuses!$B$5:$B$3004,F$4,Acuses!$C$5:$C$3004,F$5),F$8)&lt;Resumen!$C$4+30,"Caduca pronto","OK"))))))</f>
        <v/>
      </c>
      <c r="G55" s="26" t="str">
        <f aca="false">IF(OR($A55="",G$4=""),"",IF(NOT(OR(G$6="Toda la plantilla",ISNUMBER(SEARCH(";"&amp;SUBSTITUTE($C55," ","")&amp;";",";"&amp;SUBSTITUTE(G$7," ","")&amp;";")))),"—",IF(_xlfn.MAXIFS(Acuses!$C$5:$C$3004,Acuses!$A$5:$A$3004,$A55,Acuses!$B$5:$B$3004,G$4)&lt;G$5,"Pendiente",IF(G$8=0,"OK",IF(EDATE(_xlfn.MAXIFS(Acuses!$D$5:$D$3004,Acuses!$A$5:$A$3004,$A55,Acuses!$B$5:$B$3004,G$4,Acuses!$C$5:$C$3004,G$5),G$8)&lt;Resumen!$C$4,"Caducado",IF(EDATE(_xlfn.MAXIFS(Acuses!$D$5:$D$3004,Acuses!$A$5:$A$3004,$A55,Acuses!$B$5:$B$3004,G$4,Acuses!$C$5:$C$3004,G$5),G$8)&lt;Resumen!$C$4+30,"Caduca pronto","OK"))))))</f>
        <v/>
      </c>
      <c r="H55" s="26" t="str">
        <f aca="false">IF(OR($A55="",H$4=""),"",IF(NOT(OR(H$6="Toda la plantilla",ISNUMBER(SEARCH(";"&amp;SUBSTITUTE($C55," ","")&amp;";",";"&amp;SUBSTITUTE(H$7," ","")&amp;";")))),"—",IF(_xlfn.MAXIFS(Acuses!$C$5:$C$3004,Acuses!$A$5:$A$3004,$A55,Acuses!$B$5:$B$3004,H$4)&lt;H$5,"Pendiente",IF(H$8=0,"OK",IF(EDATE(_xlfn.MAXIFS(Acuses!$D$5:$D$3004,Acuses!$A$5:$A$3004,$A55,Acuses!$B$5:$B$3004,H$4,Acuses!$C$5:$C$3004,H$5),H$8)&lt;Resumen!$C$4,"Caducado",IF(EDATE(_xlfn.MAXIFS(Acuses!$D$5:$D$3004,Acuses!$A$5:$A$3004,$A55,Acuses!$B$5:$B$3004,H$4,Acuses!$C$5:$C$3004,H$5),H$8)&lt;Resumen!$C$4+30,"Caduca pronto","OK"))))))</f>
        <v/>
      </c>
      <c r="I55" s="26" t="str">
        <f aca="false">IF(OR($A55="",I$4=""),"",IF(NOT(OR(I$6="Toda la plantilla",ISNUMBER(SEARCH(";"&amp;SUBSTITUTE($C55," ","")&amp;";",";"&amp;SUBSTITUTE(I$7," ","")&amp;";")))),"—",IF(_xlfn.MAXIFS(Acuses!$C$5:$C$3004,Acuses!$A$5:$A$3004,$A55,Acuses!$B$5:$B$3004,I$4)&lt;I$5,"Pendiente",IF(I$8=0,"OK",IF(EDATE(_xlfn.MAXIFS(Acuses!$D$5:$D$3004,Acuses!$A$5:$A$3004,$A55,Acuses!$B$5:$B$3004,I$4,Acuses!$C$5:$C$3004,I$5),I$8)&lt;Resumen!$C$4,"Caducado",IF(EDATE(_xlfn.MAXIFS(Acuses!$D$5:$D$3004,Acuses!$A$5:$A$3004,$A55,Acuses!$B$5:$B$3004,I$4,Acuses!$C$5:$C$3004,I$5),I$8)&lt;Resumen!$C$4+30,"Caduca pronto","OK"))))))</f>
        <v/>
      </c>
      <c r="J55" s="26" t="str">
        <f aca="false">IF(OR($A55="",J$4=""),"",IF(NOT(OR(J$6="Toda la plantilla",ISNUMBER(SEARCH(";"&amp;SUBSTITUTE($C55," ","")&amp;";",";"&amp;SUBSTITUTE(J$7," ","")&amp;";")))),"—",IF(_xlfn.MAXIFS(Acuses!$C$5:$C$3004,Acuses!$A$5:$A$3004,$A55,Acuses!$B$5:$B$3004,J$4)&lt;J$5,"Pendiente",IF(J$8=0,"OK",IF(EDATE(_xlfn.MAXIFS(Acuses!$D$5:$D$3004,Acuses!$A$5:$A$3004,$A55,Acuses!$B$5:$B$3004,J$4,Acuses!$C$5:$C$3004,J$5),J$8)&lt;Resumen!$C$4,"Caducado",IF(EDATE(_xlfn.MAXIFS(Acuses!$D$5:$D$3004,Acuses!$A$5:$A$3004,$A55,Acuses!$B$5:$B$3004,J$4,Acuses!$C$5:$C$3004,J$5),J$8)&lt;Resumen!$C$4+30,"Caduca pronto","OK"))))))</f>
        <v/>
      </c>
      <c r="K55" s="26" t="str">
        <f aca="false">IF(OR($A55="",K$4=""),"",IF(NOT(OR(K$6="Toda la plantilla",ISNUMBER(SEARCH(";"&amp;SUBSTITUTE($C55," ","")&amp;";",";"&amp;SUBSTITUTE(K$7," ","")&amp;";")))),"—",IF(_xlfn.MAXIFS(Acuses!$C$5:$C$3004,Acuses!$A$5:$A$3004,$A55,Acuses!$B$5:$B$3004,K$4)&lt;K$5,"Pendiente",IF(K$8=0,"OK",IF(EDATE(_xlfn.MAXIFS(Acuses!$D$5:$D$3004,Acuses!$A$5:$A$3004,$A55,Acuses!$B$5:$B$3004,K$4,Acuses!$C$5:$C$3004,K$5),K$8)&lt;Resumen!$C$4,"Caducado",IF(EDATE(_xlfn.MAXIFS(Acuses!$D$5:$D$3004,Acuses!$A$5:$A$3004,$A55,Acuses!$B$5:$B$3004,K$4,Acuses!$C$5:$C$3004,K$5),K$8)&lt;Resumen!$C$4+30,"Caduca pronto","OK"))))))</f>
        <v/>
      </c>
      <c r="L55" s="26" t="str">
        <f aca="false">IF(OR($A55="",L$4=""),"",IF(NOT(OR(L$6="Toda la plantilla",ISNUMBER(SEARCH(";"&amp;SUBSTITUTE($C55," ","")&amp;";",";"&amp;SUBSTITUTE(L$7," ","")&amp;";")))),"—",IF(_xlfn.MAXIFS(Acuses!$C$5:$C$3004,Acuses!$A$5:$A$3004,$A55,Acuses!$B$5:$B$3004,L$4)&lt;L$5,"Pendiente",IF(L$8=0,"OK",IF(EDATE(_xlfn.MAXIFS(Acuses!$D$5:$D$3004,Acuses!$A$5:$A$3004,$A55,Acuses!$B$5:$B$3004,L$4,Acuses!$C$5:$C$3004,L$5),L$8)&lt;Resumen!$C$4,"Caducado",IF(EDATE(_xlfn.MAXIFS(Acuses!$D$5:$D$3004,Acuses!$A$5:$A$3004,$A55,Acuses!$B$5:$B$3004,L$4,Acuses!$C$5:$C$3004,L$5),L$8)&lt;Resumen!$C$4+30,"Caduca pronto","OK"))))))</f>
        <v/>
      </c>
      <c r="M55" s="26" t="str">
        <f aca="false">IF(OR($A55="",M$4=""),"",IF(NOT(OR(M$6="Toda la plantilla",ISNUMBER(SEARCH(";"&amp;SUBSTITUTE($C55," ","")&amp;";",";"&amp;SUBSTITUTE(M$7," ","")&amp;";")))),"—",IF(_xlfn.MAXIFS(Acuses!$C$5:$C$3004,Acuses!$A$5:$A$3004,$A55,Acuses!$B$5:$B$3004,M$4)&lt;M$5,"Pendiente",IF(M$8=0,"OK",IF(EDATE(_xlfn.MAXIFS(Acuses!$D$5:$D$3004,Acuses!$A$5:$A$3004,$A55,Acuses!$B$5:$B$3004,M$4,Acuses!$C$5:$C$3004,M$5),M$8)&lt;Resumen!$C$4,"Caducado",IF(EDATE(_xlfn.MAXIFS(Acuses!$D$5:$D$3004,Acuses!$A$5:$A$3004,$A55,Acuses!$B$5:$B$3004,M$4,Acuses!$C$5:$C$3004,M$5),M$8)&lt;Resumen!$C$4+30,"Caduca pronto","OK"))))))</f>
        <v/>
      </c>
      <c r="N55" s="26" t="str">
        <f aca="false">IF(OR($A55="",N$4=""),"",IF(NOT(OR(N$6="Toda la plantilla",ISNUMBER(SEARCH(";"&amp;SUBSTITUTE($C55," ","")&amp;";",";"&amp;SUBSTITUTE(N$7," ","")&amp;";")))),"—",IF(_xlfn.MAXIFS(Acuses!$C$5:$C$3004,Acuses!$A$5:$A$3004,$A55,Acuses!$B$5:$B$3004,N$4)&lt;N$5,"Pendiente",IF(N$8=0,"OK",IF(EDATE(_xlfn.MAXIFS(Acuses!$D$5:$D$3004,Acuses!$A$5:$A$3004,$A55,Acuses!$B$5:$B$3004,N$4,Acuses!$C$5:$C$3004,N$5),N$8)&lt;Resumen!$C$4,"Caducado",IF(EDATE(_xlfn.MAXIFS(Acuses!$D$5:$D$3004,Acuses!$A$5:$A$3004,$A55,Acuses!$B$5:$B$3004,N$4,Acuses!$C$5:$C$3004,N$5),N$8)&lt;Resumen!$C$4+30,"Caduca pronto","OK"))))))</f>
        <v/>
      </c>
      <c r="O55" s="26" t="str">
        <f aca="false">IF(OR($A55="",O$4=""),"",IF(NOT(OR(O$6="Toda la plantilla",ISNUMBER(SEARCH(";"&amp;SUBSTITUTE($C55," ","")&amp;";",";"&amp;SUBSTITUTE(O$7," ","")&amp;";")))),"—",IF(_xlfn.MAXIFS(Acuses!$C$5:$C$3004,Acuses!$A$5:$A$3004,$A55,Acuses!$B$5:$B$3004,O$4)&lt;O$5,"Pendiente",IF(O$8=0,"OK",IF(EDATE(_xlfn.MAXIFS(Acuses!$D$5:$D$3004,Acuses!$A$5:$A$3004,$A55,Acuses!$B$5:$B$3004,O$4,Acuses!$C$5:$C$3004,O$5),O$8)&lt;Resumen!$C$4,"Caducado",IF(EDATE(_xlfn.MAXIFS(Acuses!$D$5:$D$3004,Acuses!$A$5:$A$3004,$A55,Acuses!$B$5:$B$3004,O$4,Acuses!$C$5:$C$3004,O$5),O$8)&lt;Resumen!$C$4+30,"Caduca pronto","OK"))))))</f>
        <v/>
      </c>
      <c r="P55" s="26" t="str">
        <f aca="false">IF(OR($A55="",P$4=""),"",IF(NOT(OR(P$6="Toda la plantilla",ISNUMBER(SEARCH(";"&amp;SUBSTITUTE($C55," ","")&amp;";",";"&amp;SUBSTITUTE(P$7," ","")&amp;";")))),"—",IF(_xlfn.MAXIFS(Acuses!$C$5:$C$3004,Acuses!$A$5:$A$3004,$A55,Acuses!$B$5:$B$3004,P$4)&lt;P$5,"Pendiente",IF(P$8=0,"OK",IF(EDATE(_xlfn.MAXIFS(Acuses!$D$5:$D$3004,Acuses!$A$5:$A$3004,$A55,Acuses!$B$5:$B$3004,P$4,Acuses!$C$5:$C$3004,P$5),P$8)&lt;Resumen!$C$4,"Caducado",IF(EDATE(_xlfn.MAXIFS(Acuses!$D$5:$D$3004,Acuses!$A$5:$A$3004,$A55,Acuses!$B$5:$B$3004,P$4,Acuses!$C$5:$C$3004,P$5),P$8)&lt;Resumen!$C$4+30,"Caduca pronto","OK"))))))</f>
        <v/>
      </c>
      <c r="Q55" s="26" t="str">
        <f aca="false">IF(OR($A55="",Q$4=""),"",IF(NOT(OR(Q$6="Toda la plantilla",ISNUMBER(SEARCH(";"&amp;SUBSTITUTE($C55," ","")&amp;";",";"&amp;SUBSTITUTE(Q$7," ","")&amp;";")))),"—",IF(_xlfn.MAXIFS(Acuses!$C$5:$C$3004,Acuses!$A$5:$A$3004,$A55,Acuses!$B$5:$B$3004,Q$4)&lt;Q$5,"Pendiente",IF(Q$8=0,"OK",IF(EDATE(_xlfn.MAXIFS(Acuses!$D$5:$D$3004,Acuses!$A$5:$A$3004,$A55,Acuses!$B$5:$B$3004,Q$4,Acuses!$C$5:$C$3004,Q$5),Q$8)&lt;Resumen!$C$4,"Caducado",IF(EDATE(_xlfn.MAXIFS(Acuses!$D$5:$D$3004,Acuses!$A$5:$A$3004,$A55,Acuses!$B$5:$B$3004,Q$4,Acuses!$C$5:$C$3004,Q$5),Q$8)&lt;Resumen!$C$4+30,"Caduca pronto","OK"))))))</f>
        <v/>
      </c>
      <c r="R55" s="26" t="str">
        <f aca="false">IF(OR($A55="",R$4=""),"",IF(NOT(OR(R$6="Toda la plantilla",ISNUMBER(SEARCH(";"&amp;SUBSTITUTE($C55," ","")&amp;";",";"&amp;SUBSTITUTE(R$7," ","")&amp;";")))),"—",IF(_xlfn.MAXIFS(Acuses!$C$5:$C$3004,Acuses!$A$5:$A$3004,$A55,Acuses!$B$5:$B$3004,R$4)&lt;R$5,"Pendiente",IF(R$8=0,"OK",IF(EDATE(_xlfn.MAXIFS(Acuses!$D$5:$D$3004,Acuses!$A$5:$A$3004,$A55,Acuses!$B$5:$B$3004,R$4,Acuses!$C$5:$C$3004,R$5),R$8)&lt;Resumen!$C$4,"Caducado",IF(EDATE(_xlfn.MAXIFS(Acuses!$D$5:$D$3004,Acuses!$A$5:$A$3004,$A55,Acuses!$B$5:$B$3004,R$4,Acuses!$C$5:$C$3004,R$5),R$8)&lt;Resumen!$C$4+30,"Caduca pronto","OK"))))))</f>
        <v/>
      </c>
      <c r="S55" s="26" t="str">
        <f aca="false">IF(OR($A55="",S$4=""),"",IF(NOT(OR(S$6="Toda la plantilla",ISNUMBER(SEARCH(";"&amp;SUBSTITUTE($C55," ","")&amp;";",";"&amp;SUBSTITUTE(S$7," ","")&amp;";")))),"—",IF(_xlfn.MAXIFS(Acuses!$C$5:$C$3004,Acuses!$A$5:$A$3004,$A55,Acuses!$B$5:$B$3004,S$4)&lt;S$5,"Pendiente",IF(S$8=0,"OK",IF(EDATE(_xlfn.MAXIFS(Acuses!$D$5:$D$3004,Acuses!$A$5:$A$3004,$A55,Acuses!$B$5:$B$3004,S$4,Acuses!$C$5:$C$3004,S$5),S$8)&lt;Resumen!$C$4,"Caducado",IF(EDATE(_xlfn.MAXIFS(Acuses!$D$5:$D$3004,Acuses!$A$5:$A$3004,$A55,Acuses!$B$5:$B$3004,S$4,Acuses!$C$5:$C$3004,S$5),S$8)&lt;Resumen!$C$4+30,"Caduca pronto","OK"))))))</f>
        <v/>
      </c>
      <c r="T55" s="26" t="str">
        <f aca="false">IF(OR($A55="",T$4=""),"",IF(NOT(OR(T$6="Toda la plantilla",ISNUMBER(SEARCH(";"&amp;SUBSTITUTE($C55," ","")&amp;";",";"&amp;SUBSTITUTE(T$7," ","")&amp;";")))),"—",IF(_xlfn.MAXIFS(Acuses!$C$5:$C$3004,Acuses!$A$5:$A$3004,$A55,Acuses!$B$5:$B$3004,T$4)&lt;T$5,"Pendiente",IF(T$8=0,"OK",IF(EDATE(_xlfn.MAXIFS(Acuses!$D$5:$D$3004,Acuses!$A$5:$A$3004,$A55,Acuses!$B$5:$B$3004,T$4,Acuses!$C$5:$C$3004,T$5),T$8)&lt;Resumen!$C$4,"Caducado",IF(EDATE(_xlfn.MAXIFS(Acuses!$D$5:$D$3004,Acuses!$A$5:$A$3004,$A55,Acuses!$B$5:$B$3004,T$4,Acuses!$C$5:$C$3004,T$5),T$8)&lt;Resumen!$C$4+30,"Caduca pronto","OK"))))))</f>
        <v/>
      </c>
      <c r="U55" s="26" t="str">
        <f aca="false">IF(OR($A55="",U$4=""),"",IF(NOT(OR(U$6="Toda la plantilla",ISNUMBER(SEARCH(";"&amp;SUBSTITUTE($C55," ","")&amp;";",";"&amp;SUBSTITUTE(U$7," ","")&amp;";")))),"—",IF(_xlfn.MAXIFS(Acuses!$C$5:$C$3004,Acuses!$A$5:$A$3004,$A55,Acuses!$B$5:$B$3004,U$4)&lt;U$5,"Pendiente",IF(U$8=0,"OK",IF(EDATE(_xlfn.MAXIFS(Acuses!$D$5:$D$3004,Acuses!$A$5:$A$3004,$A55,Acuses!$B$5:$B$3004,U$4,Acuses!$C$5:$C$3004,U$5),U$8)&lt;Resumen!$C$4,"Caducado",IF(EDATE(_xlfn.MAXIFS(Acuses!$D$5:$D$3004,Acuses!$A$5:$A$3004,$A55,Acuses!$B$5:$B$3004,U$4,Acuses!$C$5:$C$3004,U$5),U$8)&lt;Resumen!$C$4+30,"Caduca pronto","OK"))))))</f>
        <v/>
      </c>
      <c r="V55" s="26" t="str">
        <f aca="false">IF(OR($A55="",V$4=""),"",IF(NOT(OR(V$6="Toda la plantilla",ISNUMBER(SEARCH(";"&amp;SUBSTITUTE($C55," ","")&amp;";",";"&amp;SUBSTITUTE(V$7," ","")&amp;";")))),"—",IF(_xlfn.MAXIFS(Acuses!$C$5:$C$3004,Acuses!$A$5:$A$3004,$A55,Acuses!$B$5:$B$3004,V$4)&lt;V$5,"Pendiente",IF(V$8=0,"OK",IF(EDATE(_xlfn.MAXIFS(Acuses!$D$5:$D$3004,Acuses!$A$5:$A$3004,$A55,Acuses!$B$5:$B$3004,V$4,Acuses!$C$5:$C$3004,V$5),V$8)&lt;Resumen!$C$4,"Caducado",IF(EDATE(_xlfn.MAXIFS(Acuses!$D$5:$D$3004,Acuses!$A$5:$A$3004,$A55,Acuses!$B$5:$B$3004,V$4,Acuses!$C$5:$C$3004,V$5),V$8)&lt;Resumen!$C$4+30,"Caduca pronto","OK"))))))</f>
        <v/>
      </c>
      <c r="W55" s="26" t="str">
        <f aca="false">IF(OR($A55="",W$4=""),"",IF(NOT(OR(W$6="Toda la plantilla",ISNUMBER(SEARCH(";"&amp;SUBSTITUTE($C55," ","")&amp;";",";"&amp;SUBSTITUTE(W$7," ","")&amp;";")))),"—",IF(_xlfn.MAXIFS(Acuses!$C$5:$C$3004,Acuses!$A$5:$A$3004,$A55,Acuses!$B$5:$B$3004,W$4)&lt;W$5,"Pendiente",IF(W$8=0,"OK",IF(EDATE(_xlfn.MAXIFS(Acuses!$D$5:$D$3004,Acuses!$A$5:$A$3004,$A55,Acuses!$B$5:$B$3004,W$4,Acuses!$C$5:$C$3004,W$5),W$8)&lt;Resumen!$C$4,"Caducado",IF(EDATE(_xlfn.MAXIFS(Acuses!$D$5:$D$3004,Acuses!$A$5:$A$3004,$A55,Acuses!$B$5:$B$3004,W$4,Acuses!$C$5:$C$3004,W$5),W$8)&lt;Resumen!$C$4+30,"Caduca pronto","OK"))))))</f>
        <v/>
      </c>
      <c r="X55" s="26" t="str">
        <f aca="false">IF(OR($A55="",X$4=""),"",IF(NOT(OR(X$6="Toda la plantilla",ISNUMBER(SEARCH(";"&amp;SUBSTITUTE($C55," ","")&amp;";",";"&amp;SUBSTITUTE(X$7," ","")&amp;";")))),"—",IF(_xlfn.MAXIFS(Acuses!$C$5:$C$3004,Acuses!$A$5:$A$3004,$A55,Acuses!$B$5:$B$3004,X$4)&lt;X$5,"Pendiente",IF(X$8=0,"OK",IF(EDATE(_xlfn.MAXIFS(Acuses!$D$5:$D$3004,Acuses!$A$5:$A$3004,$A55,Acuses!$B$5:$B$3004,X$4,Acuses!$C$5:$C$3004,X$5),X$8)&lt;Resumen!$C$4,"Caducado",IF(EDATE(_xlfn.MAXIFS(Acuses!$D$5:$D$3004,Acuses!$A$5:$A$3004,$A55,Acuses!$B$5:$B$3004,X$4,Acuses!$C$5:$C$3004,X$5),X$8)&lt;Resumen!$C$4+30,"Caduca pronto","OK"))))))</f>
        <v/>
      </c>
      <c r="Y55" s="26" t="str">
        <f aca="false">IF(OR($A55="",Y$4=""),"",IF(NOT(OR(Y$6="Toda la plantilla",ISNUMBER(SEARCH(";"&amp;SUBSTITUTE($C55," ","")&amp;";",";"&amp;SUBSTITUTE(Y$7," ","")&amp;";")))),"—",IF(_xlfn.MAXIFS(Acuses!$C$5:$C$3004,Acuses!$A$5:$A$3004,$A55,Acuses!$B$5:$B$3004,Y$4)&lt;Y$5,"Pendiente",IF(Y$8=0,"OK",IF(EDATE(_xlfn.MAXIFS(Acuses!$D$5:$D$3004,Acuses!$A$5:$A$3004,$A55,Acuses!$B$5:$B$3004,Y$4,Acuses!$C$5:$C$3004,Y$5),Y$8)&lt;Resumen!$C$4,"Caducado",IF(EDATE(_xlfn.MAXIFS(Acuses!$D$5:$D$3004,Acuses!$A$5:$A$3004,$A55,Acuses!$B$5:$B$3004,Y$4,Acuses!$C$5:$C$3004,Y$5),Y$8)&lt;Resumen!$C$4+30,"Caduca pronto","OK"))))))</f>
        <v/>
      </c>
      <c r="Z55" s="26" t="str">
        <f aca="false">IF(OR($A55="",Z$4=""),"",IF(NOT(OR(Z$6="Toda la plantilla",ISNUMBER(SEARCH(";"&amp;SUBSTITUTE($C55," ","")&amp;";",";"&amp;SUBSTITUTE(Z$7," ","")&amp;";")))),"—",IF(_xlfn.MAXIFS(Acuses!$C$5:$C$3004,Acuses!$A$5:$A$3004,$A55,Acuses!$B$5:$B$3004,Z$4)&lt;Z$5,"Pendiente",IF(Z$8=0,"OK",IF(EDATE(_xlfn.MAXIFS(Acuses!$D$5:$D$3004,Acuses!$A$5:$A$3004,$A55,Acuses!$B$5:$B$3004,Z$4,Acuses!$C$5:$C$3004,Z$5),Z$8)&lt;Resumen!$C$4,"Caducado",IF(EDATE(_xlfn.MAXIFS(Acuses!$D$5:$D$3004,Acuses!$A$5:$A$3004,$A55,Acuses!$B$5:$B$3004,Z$4,Acuses!$C$5:$C$3004,Z$5),Z$8)&lt;Resumen!$C$4+30,"Caduca pronto","OK"))))))</f>
        <v/>
      </c>
      <c r="AA55" s="26" t="str">
        <f aca="false">IF(OR($A55="",AA$4=""),"",IF(NOT(OR(AA$6="Toda la plantilla",ISNUMBER(SEARCH(";"&amp;SUBSTITUTE($C55," ","")&amp;";",";"&amp;SUBSTITUTE(AA$7," ","")&amp;";")))),"—",IF(_xlfn.MAXIFS(Acuses!$C$5:$C$3004,Acuses!$A$5:$A$3004,$A55,Acuses!$B$5:$B$3004,AA$4)&lt;AA$5,"Pendiente",IF(AA$8=0,"OK",IF(EDATE(_xlfn.MAXIFS(Acuses!$D$5:$D$3004,Acuses!$A$5:$A$3004,$A55,Acuses!$B$5:$B$3004,AA$4,Acuses!$C$5:$C$3004,AA$5),AA$8)&lt;Resumen!$C$4,"Caducado",IF(EDATE(_xlfn.MAXIFS(Acuses!$D$5:$D$3004,Acuses!$A$5:$A$3004,$A55,Acuses!$B$5:$B$3004,AA$4,Acuses!$C$5:$C$3004,AA$5),AA$8)&lt;Resumen!$C$4+30,"Caduca pronto","OK"))))))</f>
        <v/>
      </c>
      <c r="AB55" s="26" t="str">
        <f aca="false">IF(OR($A55="",AB$4=""),"",IF(NOT(OR(AB$6="Toda la plantilla",ISNUMBER(SEARCH(";"&amp;SUBSTITUTE($C55," ","")&amp;";",";"&amp;SUBSTITUTE(AB$7," ","")&amp;";")))),"—",IF(_xlfn.MAXIFS(Acuses!$C$5:$C$3004,Acuses!$A$5:$A$3004,$A55,Acuses!$B$5:$B$3004,AB$4)&lt;AB$5,"Pendiente",IF(AB$8=0,"OK",IF(EDATE(_xlfn.MAXIFS(Acuses!$D$5:$D$3004,Acuses!$A$5:$A$3004,$A55,Acuses!$B$5:$B$3004,AB$4,Acuses!$C$5:$C$3004,AB$5),AB$8)&lt;Resumen!$C$4,"Caducado",IF(EDATE(_xlfn.MAXIFS(Acuses!$D$5:$D$3004,Acuses!$A$5:$A$3004,$A55,Acuses!$B$5:$B$3004,AB$4,Acuses!$C$5:$C$3004,AB$5),AB$8)&lt;Resumen!$C$4+30,"Caduca pronto","OK"))))))</f>
        <v/>
      </c>
      <c r="AC55" s="26" t="str">
        <f aca="false">IF(OR($A55="",AC$4=""),"",IF(NOT(OR(AC$6="Toda la plantilla",ISNUMBER(SEARCH(";"&amp;SUBSTITUTE($C55," ","")&amp;";",";"&amp;SUBSTITUTE(AC$7," ","")&amp;";")))),"—",IF(_xlfn.MAXIFS(Acuses!$C$5:$C$3004,Acuses!$A$5:$A$3004,$A55,Acuses!$B$5:$B$3004,AC$4)&lt;AC$5,"Pendiente",IF(AC$8=0,"OK",IF(EDATE(_xlfn.MAXIFS(Acuses!$D$5:$D$3004,Acuses!$A$5:$A$3004,$A55,Acuses!$B$5:$B$3004,AC$4,Acuses!$C$5:$C$3004,AC$5),AC$8)&lt;Resumen!$C$4,"Caducado",IF(EDATE(_xlfn.MAXIFS(Acuses!$D$5:$D$3004,Acuses!$A$5:$A$3004,$A55,Acuses!$B$5:$B$3004,AC$4,Acuses!$C$5:$C$3004,AC$5),AC$8)&lt;Resumen!$C$4+30,"Caduca pronto","OK"))))))</f>
        <v/>
      </c>
      <c r="AD55" s="26" t="str">
        <f aca="false">IF(OR($A55="",AD$4=""),"",IF(NOT(OR(AD$6="Toda la plantilla",ISNUMBER(SEARCH(";"&amp;SUBSTITUTE($C55," ","")&amp;";",";"&amp;SUBSTITUTE(AD$7," ","")&amp;";")))),"—",IF(_xlfn.MAXIFS(Acuses!$C$5:$C$3004,Acuses!$A$5:$A$3004,$A55,Acuses!$B$5:$B$3004,AD$4)&lt;AD$5,"Pendiente",IF(AD$8=0,"OK",IF(EDATE(_xlfn.MAXIFS(Acuses!$D$5:$D$3004,Acuses!$A$5:$A$3004,$A55,Acuses!$B$5:$B$3004,AD$4,Acuses!$C$5:$C$3004,AD$5),AD$8)&lt;Resumen!$C$4,"Caducado",IF(EDATE(_xlfn.MAXIFS(Acuses!$D$5:$D$3004,Acuses!$A$5:$A$3004,$A55,Acuses!$B$5:$B$3004,AD$4,Acuses!$C$5:$C$3004,AD$5),AD$8)&lt;Resumen!$C$4+30,"Caduca pronto","OK"))))))</f>
        <v/>
      </c>
      <c r="AE55" s="26" t="str">
        <f aca="false">IF(OR($A55="",AE$4=""),"",IF(NOT(OR(AE$6="Toda la plantilla",ISNUMBER(SEARCH(";"&amp;SUBSTITUTE($C55," ","")&amp;";",";"&amp;SUBSTITUTE(AE$7," ","")&amp;";")))),"—",IF(_xlfn.MAXIFS(Acuses!$C$5:$C$3004,Acuses!$A$5:$A$3004,$A55,Acuses!$B$5:$B$3004,AE$4)&lt;AE$5,"Pendiente",IF(AE$8=0,"OK",IF(EDATE(_xlfn.MAXIFS(Acuses!$D$5:$D$3004,Acuses!$A$5:$A$3004,$A55,Acuses!$B$5:$B$3004,AE$4,Acuses!$C$5:$C$3004,AE$5),AE$8)&lt;Resumen!$C$4,"Caducado",IF(EDATE(_xlfn.MAXIFS(Acuses!$D$5:$D$3004,Acuses!$A$5:$A$3004,$A55,Acuses!$B$5:$B$3004,AE$4,Acuses!$C$5:$C$3004,AE$5),AE$8)&lt;Resumen!$C$4+30,"Caduca pronto","OK"))))))</f>
        <v/>
      </c>
      <c r="AF55" s="26" t="str">
        <f aca="false">IF(OR($A55="",AF$4=""),"",IF(NOT(OR(AF$6="Toda la plantilla",ISNUMBER(SEARCH(";"&amp;SUBSTITUTE($C55," ","")&amp;";",";"&amp;SUBSTITUTE(AF$7," ","")&amp;";")))),"—",IF(_xlfn.MAXIFS(Acuses!$C$5:$C$3004,Acuses!$A$5:$A$3004,$A55,Acuses!$B$5:$B$3004,AF$4)&lt;AF$5,"Pendiente",IF(AF$8=0,"OK",IF(EDATE(_xlfn.MAXIFS(Acuses!$D$5:$D$3004,Acuses!$A$5:$A$3004,$A55,Acuses!$B$5:$B$3004,AF$4,Acuses!$C$5:$C$3004,AF$5),AF$8)&lt;Resumen!$C$4,"Caducado",IF(EDATE(_xlfn.MAXIFS(Acuses!$D$5:$D$3004,Acuses!$A$5:$A$3004,$A55,Acuses!$B$5:$B$3004,AF$4,Acuses!$C$5:$C$3004,AF$5),AF$8)&lt;Resumen!$C$4+30,"Caduca pronto","OK"))))))</f>
        <v/>
      </c>
      <c r="AG55" s="26" t="str">
        <f aca="false">IF(OR($A55="",AG$4=""),"",IF(NOT(OR(AG$6="Toda la plantilla",ISNUMBER(SEARCH(";"&amp;SUBSTITUTE($C55," ","")&amp;";",";"&amp;SUBSTITUTE(AG$7," ","")&amp;";")))),"—",IF(_xlfn.MAXIFS(Acuses!$C$5:$C$3004,Acuses!$A$5:$A$3004,$A55,Acuses!$B$5:$B$3004,AG$4)&lt;AG$5,"Pendiente",IF(AG$8=0,"OK",IF(EDATE(_xlfn.MAXIFS(Acuses!$D$5:$D$3004,Acuses!$A$5:$A$3004,$A55,Acuses!$B$5:$B$3004,AG$4,Acuses!$C$5:$C$3004,AG$5),AG$8)&lt;Resumen!$C$4,"Caducado",IF(EDATE(_xlfn.MAXIFS(Acuses!$D$5:$D$3004,Acuses!$A$5:$A$3004,$A55,Acuses!$B$5:$B$3004,AG$4,Acuses!$C$5:$C$3004,AG$5),AG$8)&lt;Resumen!$C$4+30,"Caduca pronto","OK"))))))</f>
        <v/>
      </c>
      <c r="AH55" s="26" t="str">
        <f aca="false">IF(OR($A55="",AH$4=""),"",IF(NOT(OR(AH$6="Toda la plantilla",ISNUMBER(SEARCH(";"&amp;SUBSTITUTE($C55," ","")&amp;";",";"&amp;SUBSTITUTE(AH$7," ","")&amp;";")))),"—",IF(_xlfn.MAXIFS(Acuses!$C$5:$C$3004,Acuses!$A$5:$A$3004,$A55,Acuses!$B$5:$B$3004,AH$4)&lt;AH$5,"Pendiente",IF(AH$8=0,"OK",IF(EDATE(_xlfn.MAXIFS(Acuses!$D$5:$D$3004,Acuses!$A$5:$A$3004,$A55,Acuses!$B$5:$B$3004,AH$4,Acuses!$C$5:$C$3004,AH$5),AH$8)&lt;Resumen!$C$4,"Caducado",IF(EDATE(_xlfn.MAXIFS(Acuses!$D$5:$D$3004,Acuses!$A$5:$A$3004,$A55,Acuses!$B$5:$B$3004,AH$4,Acuses!$C$5:$C$3004,AH$5),AH$8)&lt;Resumen!$C$4+30,"Caduca pronto","OK"))))))</f>
        <v/>
      </c>
      <c r="AI55" s="26" t="str">
        <f aca="false">IF(OR($A55="",AI$4=""),"",IF(NOT(OR(AI$6="Toda la plantilla",ISNUMBER(SEARCH(";"&amp;SUBSTITUTE($C55," ","")&amp;";",";"&amp;SUBSTITUTE(AI$7," ","")&amp;";")))),"—",IF(_xlfn.MAXIFS(Acuses!$C$5:$C$3004,Acuses!$A$5:$A$3004,$A55,Acuses!$B$5:$B$3004,AI$4)&lt;AI$5,"Pendiente",IF(AI$8=0,"OK",IF(EDATE(_xlfn.MAXIFS(Acuses!$D$5:$D$3004,Acuses!$A$5:$A$3004,$A55,Acuses!$B$5:$B$3004,AI$4,Acuses!$C$5:$C$3004,AI$5),AI$8)&lt;Resumen!$C$4,"Caducado",IF(EDATE(_xlfn.MAXIFS(Acuses!$D$5:$D$3004,Acuses!$A$5:$A$3004,$A55,Acuses!$B$5:$B$3004,AI$4,Acuses!$C$5:$C$3004,AI$5),AI$8)&lt;Resumen!$C$4+30,"Caduca pronto","OK"))))))</f>
        <v/>
      </c>
      <c r="AJ55" s="26" t="str">
        <f aca="false">IF(OR($A55="",AJ$4=""),"",IF(NOT(OR(AJ$6="Toda la plantilla",ISNUMBER(SEARCH(";"&amp;SUBSTITUTE($C55," ","")&amp;";",";"&amp;SUBSTITUTE(AJ$7," ","")&amp;";")))),"—",IF(_xlfn.MAXIFS(Acuses!$C$5:$C$3004,Acuses!$A$5:$A$3004,$A55,Acuses!$B$5:$B$3004,AJ$4)&lt;AJ$5,"Pendiente",IF(AJ$8=0,"OK",IF(EDATE(_xlfn.MAXIFS(Acuses!$D$5:$D$3004,Acuses!$A$5:$A$3004,$A55,Acuses!$B$5:$B$3004,AJ$4,Acuses!$C$5:$C$3004,AJ$5),AJ$8)&lt;Resumen!$C$4,"Caducado",IF(EDATE(_xlfn.MAXIFS(Acuses!$D$5:$D$3004,Acuses!$A$5:$A$3004,$A55,Acuses!$B$5:$B$3004,AJ$4,Acuses!$C$5:$C$3004,AJ$5),AJ$8)&lt;Resumen!$C$4+30,"Caduca pronto","OK"))))))</f>
        <v/>
      </c>
      <c r="AK55" s="26" t="str">
        <f aca="false">IF(OR($A55="",AK$4=""),"",IF(NOT(OR(AK$6="Toda la plantilla",ISNUMBER(SEARCH(";"&amp;SUBSTITUTE($C55," ","")&amp;";",";"&amp;SUBSTITUTE(AK$7," ","")&amp;";")))),"—",IF(_xlfn.MAXIFS(Acuses!$C$5:$C$3004,Acuses!$A$5:$A$3004,$A55,Acuses!$B$5:$B$3004,AK$4)&lt;AK$5,"Pendiente",IF(AK$8=0,"OK",IF(EDATE(_xlfn.MAXIFS(Acuses!$D$5:$D$3004,Acuses!$A$5:$A$3004,$A55,Acuses!$B$5:$B$3004,AK$4,Acuses!$C$5:$C$3004,AK$5),AK$8)&lt;Resumen!$C$4,"Caducado",IF(EDATE(_xlfn.MAXIFS(Acuses!$D$5:$D$3004,Acuses!$A$5:$A$3004,$A55,Acuses!$B$5:$B$3004,AK$4,Acuses!$C$5:$C$3004,AK$5),AK$8)&lt;Resumen!$C$4+30,"Caduca pronto","OK"))))))</f>
        <v/>
      </c>
      <c r="AL55" s="26" t="str">
        <f aca="false">IF(OR($A55="",AL$4=""),"",IF(NOT(OR(AL$6="Toda la plantilla",ISNUMBER(SEARCH(";"&amp;SUBSTITUTE($C55," ","")&amp;";",";"&amp;SUBSTITUTE(AL$7," ","")&amp;";")))),"—",IF(_xlfn.MAXIFS(Acuses!$C$5:$C$3004,Acuses!$A$5:$A$3004,$A55,Acuses!$B$5:$B$3004,AL$4)&lt;AL$5,"Pendiente",IF(AL$8=0,"OK",IF(EDATE(_xlfn.MAXIFS(Acuses!$D$5:$D$3004,Acuses!$A$5:$A$3004,$A55,Acuses!$B$5:$B$3004,AL$4,Acuses!$C$5:$C$3004,AL$5),AL$8)&lt;Resumen!$C$4,"Caducado",IF(EDATE(_xlfn.MAXIFS(Acuses!$D$5:$D$3004,Acuses!$A$5:$A$3004,$A55,Acuses!$B$5:$B$3004,AL$4,Acuses!$C$5:$C$3004,AL$5),AL$8)&lt;Resumen!$C$4+30,"Caduca pronto","OK"))))))</f>
        <v/>
      </c>
      <c r="AM55" s="26" t="str">
        <f aca="false">IF(OR($A55="",AM$4=""),"",IF(NOT(OR(AM$6="Toda la plantilla",ISNUMBER(SEARCH(";"&amp;SUBSTITUTE($C55," ","")&amp;";",";"&amp;SUBSTITUTE(AM$7," ","")&amp;";")))),"—",IF(_xlfn.MAXIFS(Acuses!$C$5:$C$3004,Acuses!$A$5:$A$3004,$A55,Acuses!$B$5:$B$3004,AM$4)&lt;AM$5,"Pendiente",IF(AM$8=0,"OK",IF(EDATE(_xlfn.MAXIFS(Acuses!$D$5:$D$3004,Acuses!$A$5:$A$3004,$A55,Acuses!$B$5:$B$3004,AM$4,Acuses!$C$5:$C$3004,AM$5),AM$8)&lt;Resumen!$C$4,"Caducado",IF(EDATE(_xlfn.MAXIFS(Acuses!$D$5:$D$3004,Acuses!$A$5:$A$3004,$A55,Acuses!$B$5:$B$3004,AM$4,Acuses!$C$5:$C$3004,AM$5),AM$8)&lt;Resumen!$C$4+30,"Caduca pronto","OK"))))))</f>
        <v/>
      </c>
      <c r="AN55" s="26" t="str">
        <f aca="false">IF(OR($A55="",AN$4=""),"",IF(NOT(OR(AN$6="Toda la plantilla",ISNUMBER(SEARCH(";"&amp;SUBSTITUTE($C55," ","")&amp;";",";"&amp;SUBSTITUTE(AN$7," ","")&amp;";")))),"—",IF(_xlfn.MAXIFS(Acuses!$C$5:$C$3004,Acuses!$A$5:$A$3004,$A55,Acuses!$B$5:$B$3004,AN$4)&lt;AN$5,"Pendiente",IF(AN$8=0,"OK",IF(EDATE(_xlfn.MAXIFS(Acuses!$D$5:$D$3004,Acuses!$A$5:$A$3004,$A55,Acuses!$B$5:$B$3004,AN$4,Acuses!$C$5:$C$3004,AN$5),AN$8)&lt;Resumen!$C$4,"Caducado",IF(EDATE(_xlfn.MAXIFS(Acuses!$D$5:$D$3004,Acuses!$A$5:$A$3004,$A55,Acuses!$B$5:$B$3004,AN$4,Acuses!$C$5:$C$3004,AN$5),AN$8)&lt;Resumen!$C$4+30,"Caduca pronto","OK"))))))</f>
        <v/>
      </c>
      <c r="AO55" s="26" t="str">
        <f aca="false">IF(OR($A55="",AO$4=""),"",IF(NOT(OR(AO$6="Toda la plantilla",ISNUMBER(SEARCH(";"&amp;SUBSTITUTE($C55," ","")&amp;";",";"&amp;SUBSTITUTE(AO$7," ","")&amp;";")))),"—",IF(_xlfn.MAXIFS(Acuses!$C$5:$C$3004,Acuses!$A$5:$A$3004,$A55,Acuses!$B$5:$B$3004,AO$4)&lt;AO$5,"Pendiente",IF(AO$8=0,"OK",IF(EDATE(_xlfn.MAXIFS(Acuses!$D$5:$D$3004,Acuses!$A$5:$A$3004,$A55,Acuses!$B$5:$B$3004,AO$4,Acuses!$C$5:$C$3004,AO$5),AO$8)&lt;Resumen!$C$4,"Caducado",IF(EDATE(_xlfn.MAXIFS(Acuses!$D$5:$D$3004,Acuses!$A$5:$A$3004,$A55,Acuses!$B$5:$B$3004,AO$4,Acuses!$C$5:$C$3004,AO$5),AO$8)&lt;Resumen!$C$4+30,"Caduca pronto","OK"))))))</f>
        <v/>
      </c>
      <c r="AP55" s="26" t="str">
        <f aca="false">IF(OR($A55="",AP$4=""),"",IF(NOT(OR(AP$6="Toda la plantilla",ISNUMBER(SEARCH(";"&amp;SUBSTITUTE($C55," ","")&amp;";",";"&amp;SUBSTITUTE(AP$7," ","")&amp;";")))),"—",IF(_xlfn.MAXIFS(Acuses!$C$5:$C$3004,Acuses!$A$5:$A$3004,$A55,Acuses!$B$5:$B$3004,AP$4)&lt;AP$5,"Pendiente",IF(AP$8=0,"OK",IF(EDATE(_xlfn.MAXIFS(Acuses!$D$5:$D$3004,Acuses!$A$5:$A$3004,$A55,Acuses!$B$5:$B$3004,AP$4,Acuses!$C$5:$C$3004,AP$5),AP$8)&lt;Resumen!$C$4,"Caducado",IF(EDATE(_xlfn.MAXIFS(Acuses!$D$5:$D$3004,Acuses!$A$5:$A$3004,$A55,Acuses!$B$5:$B$3004,AP$4,Acuses!$C$5:$C$3004,AP$5),AP$8)&lt;Resumen!$C$4+30,"Caduca pronto","OK"))))))</f>
        <v/>
      </c>
      <c r="AQ55" s="26" t="str">
        <f aca="false">IF(OR($A55="",AQ$4=""),"",IF(NOT(OR(AQ$6="Toda la plantilla",ISNUMBER(SEARCH(";"&amp;SUBSTITUTE($C55," ","")&amp;";",";"&amp;SUBSTITUTE(AQ$7," ","")&amp;";")))),"—",IF(_xlfn.MAXIFS(Acuses!$C$5:$C$3004,Acuses!$A$5:$A$3004,$A55,Acuses!$B$5:$B$3004,AQ$4)&lt;AQ$5,"Pendiente",IF(AQ$8=0,"OK",IF(EDATE(_xlfn.MAXIFS(Acuses!$D$5:$D$3004,Acuses!$A$5:$A$3004,$A55,Acuses!$B$5:$B$3004,AQ$4,Acuses!$C$5:$C$3004,AQ$5),AQ$8)&lt;Resumen!$C$4,"Caducado",IF(EDATE(_xlfn.MAXIFS(Acuses!$D$5:$D$3004,Acuses!$A$5:$A$3004,$A55,Acuses!$B$5:$B$3004,AQ$4,Acuses!$C$5:$C$3004,AQ$5),AQ$8)&lt;Resumen!$C$4+30,"Caduca pronto","OK"))))))</f>
        <v/>
      </c>
    </row>
    <row r="56" customFormat="false" ht="15" hidden="false" customHeight="false" outlineLevel="0" collapsed="false">
      <c r="A56" s="25" t="str">
        <f aca="false">IF(AND(Trabajadores!$A$51&lt;&gt;"",Trabajadores!$G$51&lt;&gt;"No"),Trabajadores!$A$51,"")</f>
        <v/>
      </c>
      <c r="B56" s="25" t="str">
        <f aca="false">IF($A56="","",Trabajadores!$B$51)</f>
        <v/>
      </c>
      <c r="C56" s="25" t="str">
        <f aca="false">IF($A56="","",Trabajadores!$C$51)</f>
        <v/>
      </c>
      <c r="D56" s="26" t="str">
        <f aca="false">IF(OR($A56="",D$4=""),"",IF(NOT(OR(D$6="Toda la plantilla",ISNUMBER(SEARCH(";"&amp;SUBSTITUTE($C56," ","")&amp;";",";"&amp;SUBSTITUTE(D$7," ","")&amp;";")))),"—",IF(_xlfn.MAXIFS(Acuses!$C$5:$C$3004,Acuses!$A$5:$A$3004,$A56,Acuses!$B$5:$B$3004,D$4)&lt;D$5,"Pendiente",IF(D$8=0,"OK",IF(EDATE(_xlfn.MAXIFS(Acuses!$D$5:$D$3004,Acuses!$A$5:$A$3004,$A56,Acuses!$B$5:$B$3004,D$4,Acuses!$C$5:$C$3004,D$5),D$8)&lt;Resumen!$C$4,"Caducado",IF(EDATE(_xlfn.MAXIFS(Acuses!$D$5:$D$3004,Acuses!$A$5:$A$3004,$A56,Acuses!$B$5:$B$3004,D$4,Acuses!$C$5:$C$3004,D$5),D$8)&lt;Resumen!$C$4+30,"Caduca pronto","OK"))))))</f>
        <v/>
      </c>
      <c r="E56" s="26" t="str">
        <f aca="false">IF(OR($A56="",E$4=""),"",IF(NOT(OR(E$6="Toda la plantilla",ISNUMBER(SEARCH(";"&amp;SUBSTITUTE($C56," ","")&amp;";",";"&amp;SUBSTITUTE(E$7," ","")&amp;";")))),"—",IF(_xlfn.MAXIFS(Acuses!$C$5:$C$3004,Acuses!$A$5:$A$3004,$A56,Acuses!$B$5:$B$3004,E$4)&lt;E$5,"Pendiente",IF(E$8=0,"OK",IF(EDATE(_xlfn.MAXIFS(Acuses!$D$5:$D$3004,Acuses!$A$5:$A$3004,$A56,Acuses!$B$5:$B$3004,E$4,Acuses!$C$5:$C$3004,E$5),E$8)&lt;Resumen!$C$4,"Caducado",IF(EDATE(_xlfn.MAXIFS(Acuses!$D$5:$D$3004,Acuses!$A$5:$A$3004,$A56,Acuses!$B$5:$B$3004,E$4,Acuses!$C$5:$C$3004,E$5),E$8)&lt;Resumen!$C$4+30,"Caduca pronto","OK"))))))</f>
        <v/>
      </c>
      <c r="F56" s="26" t="str">
        <f aca="false">IF(OR($A56="",F$4=""),"",IF(NOT(OR(F$6="Toda la plantilla",ISNUMBER(SEARCH(";"&amp;SUBSTITUTE($C56," ","")&amp;";",";"&amp;SUBSTITUTE(F$7," ","")&amp;";")))),"—",IF(_xlfn.MAXIFS(Acuses!$C$5:$C$3004,Acuses!$A$5:$A$3004,$A56,Acuses!$B$5:$B$3004,F$4)&lt;F$5,"Pendiente",IF(F$8=0,"OK",IF(EDATE(_xlfn.MAXIFS(Acuses!$D$5:$D$3004,Acuses!$A$5:$A$3004,$A56,Acuses!$B$5:$B$3004,F$4,Acuses!$C$5:$C$3004,F$5),F$8)&lt;Resumen!$C$4,"Caducado",IF(EDATE(_xlfn.MAXIFS(Acuses!$D$5:$D$3004,Acuses!$A$5:$A$3004,$A56,Acuses!$B$5:$B$3004,F$4,Acuses!$C$5:$C$3004,F$5),F$8)&lt;Resumen!$C$4+30,"Caduca pronto","OK"))))))</f>
        <v/>
      </c>
      <c r="G56" s="26" t="str">
        <f aca="false">IF(OR($A56="",G$4=""),"",IF(NOT(OR(G$6="Toda la plantilla",ISNUMBER(SEARCH(";"&amp;SUBSTITUTE($C56," ","")&amp;";",";"&amp;SUBSTITUTE(G$7," ","")&amp;";")))),"—",IF(_xlfn.MAXIFS(Acuses!$C$5:$C$3004,Acuses!$A$5:$A$3004,$A56,Acuses!$B$5:$B$3004,G$4)&lt;G$5,"Pendiente",IF(G$8=0,"OK",IF(EDATE(_xlfn.MAXIFS(Acuses!$D$5:$D$3004,Acuses!$A$5:$A$3004,$A56,Acuses!$B$5:$B$3004,G$4,Acuses!$C$5:$C$3004,G$5),G$8)&lt;Resumen!$C$4,"Caducado",IF(EDATE(_xlfn.MAXIFS(Acuses!$D$5:$D$3004,Acuses!$A$5:$A$3004,$A56,Acuses!$B$5:$B$3004,G$4,Acuses!$C$5:$C$3004,G$5),G$8)&lt;Resumen!$C$4+30,"Caduca pronto","OK"))))))</f>
        <v/>
      </c>
      <c r="H56" s="26" t="str">
        <f aca="false">IF(OR($A56="",H$4=""),"",IF(NOT(OR(H$6="Toda la plantilla",ISNUMBER(SEARCH(";"&amp;SUBSTITUTE($C56," ","")&amp;";",";"&amp;SUBSTITUTE(H$7," ","")&amp;";")))),"—",IF(_xlfn.MAXIFS(Acuses!$C$5:$C$3004,Acuses!$A$5:$A$3004,$A56,Acuses!$B$5:$B$3004,H$4)&lt;H$5,"Pendiente",IF(H$8=0,"OK",IF(EDATE(_xlfn.MAXIFS(Acuses!$D$5:$D$3004,Acuses!$A$5:$A$3004,$A56,Acuses!$B$5:$B$3004,H$4,Acuses!$C$5:$C$3004,H$5),H$8)&lt;Resumen!$C$4,"Caducado",IF(EDATE(_xlfn.MAXIFS(Acuses!$D$5:$D$3004,Acuses!$A$5:$A$3004,$A56,Acuses!$B$5:$B$3004,H$4,Acuses!$C$5:$C$3004,H$5),H$8)&lt;Resumen!$C$4+30,"Caduca pronto","OK"))))))</f>
        <v/>
      </c>
      <c r="I56" s="26" t="str">
        <f aca="false">IF(OR($A56="",I$4=""),"",IF(NOT(OR(I$6="Toda la plantilla",ISNUMBER(SEARCH(";"&amp;SUBSTITUTE($C56," ","")&amp;";",";"&amp;SUBSTITUTE(I$7," ","")&amp;";")))),"—",IF(_xlfn.MAXIFS(Acuses!$C$5:$C$3004,Acuses!$A$5:$A$3004,$A56,Acuses!$B$5:$B$3004,I$4)&lt;I$5,"Pendiente",IF(I$8=0,"OK",IF(EDATE(_xlfn.MAXIFS(Acuses!$D$5:$D$3004,Acuses!$A$5:$A$3004,$A56,Acuses!$B$5:$B$3004,I$4,Acuses!$C$5:$C$3004,I$5),I$8)&lt;Resumen!$C$4,"Caducado",IF(EDATE(_xlfn.MAXIFS(Acuses!$D$5:$D$3004,Acuses!$A$5:$A$3004,$A56,Acuses!$B$5:$B$3004,I$4,Acuses!$C$5:$C$3004,I$5),I$8)&lt;Resumen!$C$4+30,"Caduca pronto","OK"))))))</f>
        <v/>
      </c>
      <c r="J56" s="26" t="str">
        <f aca="false">IF(OR($A56="",J$4=""),"",IF(NOT(OR(J$6="Toda la plantilla",ISNUMBER(SEARCH(";"&amp;SUBSTITUTE($C56," ","")&amp;";",";"&amp;SUBSTITUTE(J$7," ","")&amp;";")))),"—",IF(_xlfn.MAXIFS(Acuses!$C$5:$C$3004,Acuses!$A$5:$A$3004,$A56,Acuses!$B$5:$B$3004,J$4)&lt;J$5,"Pendiente",IF(J$8=0,"OK",IF(EDATE(_xlfn.MAXIFS(Acuses!$D$5:$D$3004,Acuses!$A$5:$A$3004,$A56,Acuses!$B$5:$B$3004,J$4,Acuses!$C$5:$C$3004,J$5),J$8)&lt;Resumen!$C$4,"Caducado",IF(EDATE(_xlfn.MAXIFS(Acuses!$D$5:$D$3004,Acuses!$A$5:$A$3004,$A56,Acuses!$B$5:$B$3004,J$4,Acuses!$C$5:$C$3004,J$5),J$8)&lt;Resumen!$C$4+30,"Caduca pronto","OK"))))))</f>
        <v/>
      </c>
      <c r="K56" s="26" t="str">
        <f aca="false">IF(OR($A56="",K$4=""),"",IF(NOT(OR(K$6="Toda la plantilla",ISNUMBER(SEARCH(";"&amp;SUBSTITUTE($C56," ","")&amp;";",";"&amp;SUBSTITUTE(K$7," ","")&amp;";")))),"—",IF(_xlfn.MAXIFS(Acuses!$C$5:$C$3004,Acuses!$A$5:$A$3004,$A56,Acuses!$B$5:$B$3004,K$4)&lt;K$5,"Pendiente",IF(K$8=0,"OK",IF(EDATE(_xlfn.MAXIFS(Acuses!$D$5:$D$3004,Acuses!$A$5:$A$3004,$A56,Acuses!$B$5:$B$3004,K$4,Acuses!$C$5:$C$3004,K$5),K$8)&lt;Resumen!$C$4,"Caducado",IF(EDATE(_xlfn.MAXIFS(Acuses!$D$5:$D$3004,Acuses!$A$5:$A$3004,$A56,Acuses!$B$5:$B$3004,K$4,Acuses!$C$5:$C$3004,K$5),K$8)&lt;Resumen!$C$4+30,"Caduca pronto","OK"))))))</f>
        <v/>
      </c>
      <c r="L56" s="26" t="str">
        <f aca="false">IF(OR($A56="",L$4=""),"",IF(NOT(OR(L$6="Toda la plantilla",ISNUMBER(SEARCH(";"&amp;SUBSTITUTE($C56," ","")&amp;";",";"&amp;SUBSTITUTE(L$7," ","")&amp;";")))),"—",IF(_xlfn.MAXIFS(Acuses!$C$5:$C$3004,Acuses!$A$5:$A$3004,$A56,Acuses!$B$5:$B$3004,L$4)&lt;L$5,"Pendiente",IF(L$8=0,"OK",IF(EDATE(_xlfn.MAXIFS(Acuses!$D$5:$D$3004,Acuses!$A$5:$A$3004,$A56,Acuses!$B$5:$B$3004,L$4,Acuses!$C$5:$C$3004,L$5),L$8)&lt;Resumen!$C$4,"Caducado",IF(EDATE(_xlfn.MAXIFS(Acuses!$D$5:$D$3004,Acuses!$A$5:$A$3004,$A56,Acuses!$B$5:$B$3004,L$4,Acuses!$C$5:$C$3004,L$5),L$8)&lt;Resumen!$C$4+30,"Caduca pronto","OK"))))))</f>
        <v/>
      </c>
      <c r="M56" s="26" t="str">
        <f aca="false">IF(OR($A56="",M$4=""),"",IF(NOT(OR(M$6="Toda la plantilla",ISNUMBER(SEARCH(";"&amp;SUBSTITUTE($C56," ","")&amp;";",";"&amp;SUBSTITUTE(M$7," ","")&amp;";")))),"—",IF(_xlfn.MAXIFS(Acuses!$C$5:$C$3004,Acuses!$A$5:$A$3004,$A56,Acuses!$B$5:$B$3004,M$4)&lt;M$5,"Pendiente",IF(M$8=0,"OK",IF(EDATE(_xlfn.MAXIFS(Acuses!$D$5:$D$3004,Acuses!$A$5:$A$3004,$A56,Acuses!$B$5:$B$3004,M$4,Acuses!$C$5:$C$3004,M$5),M$8)&lt;Resumen!$C$4,"Caducado",IF(EDATE(_xlfn.MAXIFS(Acuses!$D$5:$D$3004,Acuses!$A$5:$A$3004,$A56,Acuses!$B$5:$B$3004,M$4,Acuses!$C$5:$C$3004,M$5),M$8)&lt;Resumen!$C$4+30,"Caduca pronto","OK"))))))</f>
        <v/>
      </c>
      <c r="N56" s="26" t="str">
        <f aca="false">IF(OR($A56="",N$4=""),"",IF(NOT(OR(N$6="Toda la plantilla",ISNUMBER(SEARCH(";"&amp;SUBSTITUTE($C56," ","")&amp;";",";"&amp;SUBSTITUTE(N$7," ","")&amp;";")))),"—",IF(_xlfn.MAXIFS(Acuses!$C$5:$C$3004,Acuses!$A$5:$A$3004,$A56,Acuses!$B$5:$B$3004,N$4)&lt;N$5,"Pendiente",IF(N$8=0,"OK",IF(EDATE(_xlfn.MAXIFS(Acuses!$D$5:$D$3004,Acuses!$A$5:$A$3004,$A56,Acuses!$B$5:$B$3004,N$4,Acuses!$C$5:$C$3004,N$5),N$8)&lt;Resumen!$C$4,"Caducado",IF(EDATE(_xlfn.MAXIFS(Acuses!$D$5:$D$3004,Acuses!$A$5:$A$3004,$A56,Acuses!$B$5:$B$3004,N$4,Acuses!$C$5:$C$3004,N$5),N$8)&lt;Resumen!$C$4+30,"Caduca pronto","OK"))))))</f>
        <v/>
      </c>
      <c r="O56" s="26" t="str">
        <f aca="false">IF(OR($A56="",O$4=""),"",IF(NOT(OR(O$6="Toda la plantilla",ISNUMBER(SEARCH(";"&amp;SUBSTITUTE($C56," ","")&amp;";",";"&amp;SUBSTITUTE(O$7," ","")&amp;";")))),"—",IF(_xlfn.MAXIFS(Acuses!$C$5:$C$3004,Acuses!$A$5:$A$3004,$A56,Acuses!$B$5:$B$3004,O$4)&lt;O$5,"Pendiente",IF(O$8=0,"OK",IF(EDATE(_xlfn.MAXIFS(Acuses!$D$5:$D$3004,Acuses!$A$5:$A$3004,$A56,Acuses!$B$5:$B$3004,O$4,Acuses!$C$5:$C$3004,O$5),O$8)&lt;Resumen!$C$4,"Caducado",IF(EDATE(_xlfn.MAXIFS(Acuses!$D$5:$D$3004,Acuses!$A$5:$A$3004,$A56,Acuses!$B$5:$B$3004,O$4,Acuses!$C$5:$C$3004,O$5),O$8)&lt;Resumen!$C$4+30,"Caduca pronto","OK"))))))</f>
        <v/>
      </c>
      <c r="P56" s="26" t="str">
        <f aca="false">IF(OR($A56="",P$4=""),"",IF(NOT(OR(P$6="Toda la plantilla",ISNUMBER(SEARCH(";"&amp;SUBSTITUTE($C56," ","")&amp;";",";"&amp;SUBSTITUTE(P$7," ","")&amp;";")))),"—",IF(_xlfn.MAXIFS(Acuses!$C$5:$C$3004,Acuses!$A$5:$A$3004,$A56,Acuses!$B$5:$B$3004,P$4)&lt;P$5,"Pendiente",IF(P$8=0,"OK",IF(EDATE(_xlfn.MAXIFS(Acuses!$D$5:$D$3004,Acuses!$A$5:$A$3004,$A56,Acuses!$B$5:$B$3004,P$4,Acuses!$C$5:$C$3004,P$5),P$8)&lt;Resumen!$C$4,"Caducado",IF(EDATE(_xlfn.MAXIFS(Acuses!$D$5:$D$3004,Acuses!$A$5:$A$3004,$A56,Acuses!$B$5:$B$3004,P$4,Acuses!$C$5:$C$3004,P$5),P$8)&lt;Resumen!$C$4+30,"Caduca pronto","OK"))))))</f>
        <v/>
      </c>
      <c r="Q56" s="26" t="str">
        <f aca="false">IF(OR($A56="",Q$4=""),"",IF(NOT(OR(Q$6="Toda la plantilla",ISNUMBER(SEARCH(";"&amp;SUBSTITUTE($C56," ","")&amp;";",";"&amp;SUBSTITUTE(Q$7," ","")&amp;";")))),"—",IF(_xlfn.MAXIFS(Acuses!$C$5:$C$3004,Acuses!$A$5:$A$3004,$A56,Acuses!$B$5:$B$3004,Q$4)&lt;Q$5,"Pendiente",IF(Q$8=0,"OK",IF(EDATE(_xlfn.MAXIFS(Acuses!$D$5:$D$3004,Acuses!$A$5:$A$3004,$A56,Acuses!$B$5:$B$3004,Q$4,Acuses!$C$5:$C$3004,Q$5),Q$8)&lt;Resumen!$C$4,"Caducado",IF(EDATE(_xlfn.MAXIFS(Acuses!$D$5:$D$3004,Acuses!$A$5:$A$3004,$A56,Acuses!$B$5:$B$3004,Q$4,Acuses!$C$5:$C$3004,Q$5),Q$8)&lt;Resumen!$C$4+30,"Caduca pronto","OK"))))))</f>
        <v/>
      </c>
      <c r="R56" s="26" t="str">
        <f aca="false">IF(OR($A56="",R$4=""),"",IF(NOT(OR(R$6="Toda la plantilla",ISNUMBER(SEARCH(";"&amp;SUBSTITUTE($C56," ","")&amp;";",";"&amp;SUBSTITUTE(R$7," ","")&amp;";")))),"—",IF(_xlfn.MAXIFS(Acuses!$C$5:$C$3004,Acuses!$A$5:$A$3004,$A56,Acuses!$B$5:$B$3004,R$4)&lt;R$5,"Pendiente",IF(R$8=0,"OK",IF(EDATE(_xlfn.MAXIFS(Acuses!$D$5:$D$3004,Acuses!$A$5:$A$3004,$A56,Acuses!$B$5:$B$3004,R$4,Acuses!$C$5:$C$3004,R$5),R$8)&lt;Resumen!$C$4,"Caducado",IF(EDATE(_xlfn.MAXIFS(Acuses!$D$5:$D$3004,Acuses!$A$5:$A$3004,$A56,Acuses!$B$5:$B$3004,R$4,Acuses!$C$5:$C$3004,R$5),R$8)&lt;Resumen!$C$4+30,"Caduca pronto","OK"))))))</f>
        <v/>
      </c>
      <c r="S56" s="26" t="str">
        <f aca="false">IF(OR($A56="",S$4=""),"",IF(NOT(OR(S$6="Toda la plantilla",ISNUMBER(SEARCH(";"&amp;SUBSTITUTE($C56," ","")&amp;";",";"&amp;SUBSTITUTE(S$7," ","")&amp;";")))),"—",IF(_xlfn.MAXIFS(Acuses!$C$5:$C$3004,Acuses!$A$5:$A$3004,$A56,Acuses!$B$5:$B$3004,S$4)&lt;S$5,"Pendiente",IF(S$8=0,"OK",IF(EDATE(_xlfn.MAXIFS(Acuses!$D$5:$D$3004,Acuses!$A$5:$A$3004,$A56,Acuses!$B$5:$B$3004,S$4,Acuses!$C$5:$C$3004,S$5),S$8)&lt;Resumen!$C$4,"Caducado",IF(EDATE(_xlfn.MAXIFS(Acuses!$D$5:$D$3004,Acuses!$A$5:$A$3004,$A56,Acuses!$B$5:$B$3004,S$4,Acuses!$C$5:$C$3004,S$5),S$8)&lt;Resumen!$C$4+30,"Caduca pronto","OK"))))))</f>
        <v/>
      </c>
      <c r="T56" s="26" t="str">
        <f aca="false">IF(OR($A56="",T$4=""),"",IF(NOT(OR(T$6="Toda la plantilla",ISNUMBER(SEARCH(";"&amp;SUBSTITUTE($C56," ","")&amp;";",";"&amp;SUBSTITUTE(T$7," ","")&amp;";")))),"—",IF(_xlfn.MAXIFS(Acuses!$C$5:$C$3004,Acuses!$A$5:$A$3004,$A56,Acuses!$B$5:$B$3004,T$4)&lt;T$5,"Pendiente",IF(T$8=0,"OK",IF(EDATE(_xlfn.MAXIFS(Acuses!$D$5:$D$3004,Acuses!$A$5:$A$3004,$A56,Acuses!$B$5:$B$3004,T$4,Acuses!$C$5:$C$3004,T$5),T$8)&lt;Resumen!$C$4,"Caducado",IF(EDATE(_xlfn.MAXIFS(Acuses!$D$5:$D$3004,Acuses!$A$5:$A$3004,$A56,Acuses!$B$5:$B$3004,T$4,Acuses!$C$5:$C$3004,T$5),T$8)&lt;Resumen!$C$4+30,"Caduca pronto","OK"))))))</f>
        <v/>
      </c>
      <c r="U56" s="26" t="str">
        <f aca="false">IF(OR($A56="",U$4=""),"",IF(NOT(OR(U$6="Toda la plantilla",ISNUMBER(SEARCH(";"&amp;SUBSTITUTE($C56," ","")&amp;";",";"&amp;SUBSTITUTE(U$7," ","")&amp;";")))),"—",IF(_xlfn.MAXIFS(Acuses!$C$5:$C$3004,Acuses!$A$5:$A$3004,$A56,Acuses!$B$5:$B$3004,U$4)&lt;U$5,"Pendiente",IF(U$8=0,"OK",IF(EDATE(_xlfn.MAXIFS(Acuses!$D$5:$D$3004,Acuses!$A$5:$A$3004,$A56,Acuses!$B$5:$B$3004,U$4,Acuses!$C$5:$C$3004,U$5),U$8)&lt;Resumen!$C$4,"Caducado",IF(EDATE(_xlfn.MAXIFS(Acuses!$D$5:$D$3004,Acuses!$A$5:$A$3004,$A56,Acuses!$B$5:$B$3004,U$4,Acuses!$C$5:$C$3004,U$5),U$8)&lt;Resumen!$C$4+30,"Caduca pronto","OK"))))))</f>
        <v/>
      </c>
      <c r="V56" s="26" t="str">
        <f aca="false">IF(OR($A56="",V$4=""),"",IF(NOT(OR(V$6="Toda la plantilla",ISNUMBER(SEARCH(";"&amp;SUBSTITUTE($C56," ","")&amp;";",";"&amp;SUBSTITUTE(V$7," ","")&amp;";")))),"—",IF(_xlfn.MAXIFS(Acuses!$C$5:$C$3004,Acuses!$A$5:$A$3004,$A56,Acuses!$B$5:$B$3004,V$4)&lt;V$5,"Pendiente",IF(V$8=0,"OK",IF(EDATE(_xlfn.MAXIFS(Acuses!$D$5:$D$3004,Acuses!$A$5:$A$3004,$A56,Acuses!$B$5:$B$3004,V$4,Acuses!$C$5:$C$3004,V$5),V$8)&lt;Resumen!$C$4,"Caducado",IF(EDATE(_xlfn.MAXIFS(Acuses!$D$5:$D$3004,Acuses!$A$5:$A$3004,$A56,Acuses!$B$5:$B$3004,V$4,Acuses!$C$5:$C$3004,V$5),V$8)&lt;Resumen!$C$4+30,"Caduca pronto","OK"))))))</f>
        <v/>
      </c>
      <c r="W56" s="26" t="str">
        <f aca="false">IF(OR($A56="",W$4=""),"",IF(NOT(OR(W$6="Toda la plantilla",ISNUMBER(SEARCH(";"&amp;SUBSTITUTE($C56," ","")&amp;";",";"&amp;SUBSTITUTE(W$7," ","")&amp;";")))),"—",IF(_xlfn.MAXIFS(Acuses!$C$5:$C$3004,Acuses!$A$5:$A$3004,$A56,Acuses!$B$5:$B$3004,W$4)&lt;W$5,"Pendiente",IF(W$8=0,"OK",IF(EDATE(_xlfn.MAXIFS(Acuses!$D$5:$D$3004,Acuses!$A$5:$A$3004,$A56,Acuses!$B$5:$B$3004,W$4,Acuses!$C$5:$C$3004,W$5),W$8)&lt;Resumen!$C$4,"Caducado",IF(EDATE(_xlfn.MAXIFS(Acuses!$D$5:$D$3004,Acuses!$A$5:$A$3004,$A56,Acuses!$B$5:$B$3004,W$4,Acuses!$C$5:$C$3004,W$5),W$8)&lt;Resumen!$C$4+30,"Caduca pronto","OK"))))))</f>
        <v/>
      </c>
      <c r="X56" s="26" t="str">
        <f aca="false">IF(OR($A56="",X$4=""),"",IF(NOT(OR(X$6="Toda la plantilla",ISNUMBER(SEARCH(";"&amp;SUBSTITUTE($C56," ","")&amp;";",";"&amp;SUBSTITUTE(X$7," ","")&amp;";")))),"—",IF(_xlfn.MAXIFS(Acuses!$C$5:$C$3004,Acuses!$A$5:$A$3004,$A56,Acuses!$B$5:$B$3004,X$4)&lt;X$5,"Pendiente",IF(X$8=0,"OK",IF(EDATE(_xlfn.MAXIFS(Acuses!$D$5:$D$3004,Acuses!$A$5:$A$3004,$A56,Acuses!$B$5:$B$3004,X$4,Acuses!$C$5:$C$3004,X$5),X$8)&lt;Resumen!$C$4,"Caducado",IF(EDATE(_xlfn.MAXIFS(Acuses!$D$5:$D$3004,Acuses!$A$5:$A$3004,$A56,Acuses!$B$5:$B$3004,X$4,Acuses!$C$5:$C$3004,X$5),X$8)&lt;Resumen!$C$4+30,"Caduca pronto","OK"))))))</f>
        <v/>
      </c>
      <c r="Y56" s="26" t="str">
        <f aca="false">IF(OR($A56="",Y$4=""),"",IF(NOT(OR(Y$6="Toda la plantilla",ISNUMBER(SEARCH(";"&amp;SUBSTITUTE($C56," ","")&amp;";",";"&amp;SUBSTITUTE(Y$7," ","")&amp;";")))),"—",IF(_xlfn.MAXIFS(Acuses!$C$5:$C$3004,Acuses!$A$5:$A$3004,$A56,Acuses!$B$5:$B$3004,Y$4)&lt;Y$5,"Pendiente",IF(Y$8=0,"OK",IF(EDATE(_xlfn.MAXIFS(Acuses!$D$5:$D$3004,Acuses!$A$5:$A$3004,$A56,Acuses!$B$5:$B$3004,Y$4,Acuses!$C$5:$C$3004,Y$5),Y$8)&lt;Resumen!$C$4,"Caducado",IF(EDATE(_xlfn.MAXIFS(Acuses!$D$5:$D$3004,Acuses!$A$5:$A$3004,$A56,Acuses!$B$5:$B$3004,Y$4,Acuses!$C$5:$C$3004,Y$5),Y$8)&lt;Resumen!$C$4+30,"Caduca pronto","OK"))))))</f>
        <v/>
      </c>
      <c r="Z56" s="26" t="str">
        <f aca="false">IF(OR($A56="",Z$4=""),"",IF(NOT(OR(Z$6="Toda la plantilla",ISNUMBER(SEARCH(";"&amp;SUBSTITUTE($C56," ","")&amp;";",";"&amp;SUBSTITUTE(Z$7," ","")&amp;";")))),"—",IF(_xlfn.MAXIFS(Acuses!$C$5:$C$3004,Acuses!$A$5:$A$3004,$A56,Acuses!$B$5:$B$3004,Z$4)&lt;Z$5,"Pendiente",IF(Z$8=0,"OK",IF(EDATE(_xlfn.MAXIFS(Acuses!$D$5:$D$3004,Acuses!$A$5:$A$3004,$A56,Acuses!$B$5:$B$3004,Z$4,Acuses!$C$5:$C$3004,Z$5),Z$8)&lt;Resumen!$C$4,"Caducado",IF(EDATE(_xlfn.MAXIFS(Acuses!$D$5:$D$3004,Acuses!$A$5:$A$3004,$A56,Acuses!$B$5:$B$3004,Z$4,Acuses!$C$5:$C$3004,Z$5),Z$8)&lt;Resumen!$C$4+30,"Caduca pronto","OK"))))))</f>
        <v/>
      </c>
      <c r="AA56" s="26" t="str">
        <f aca="false">IF(OR($A56="",AA$4=""),"",IF(NOT(OR(AA$6="Toda la plantilla",ISNUMBER(SEARCH(";"&amp;SUBSTITUTE($C56," ","")&amp;";",";"&amp;SUBSTITUTE(AA$7," ","")&amp;";")))),"—",IF(_xlfn.MAXIFS(Acuses!$C$5:$C$3004,Acuses!$A$5:$A$3004,$A56,Acuses!$B$5:$B$3004,AA$4)&lt;AA$5,"Pendiente",IF(AA$8=0,"OK",IF(EDATE(_xlfn.MAXIFS(Acuses!$D$5:$D$3004,Acuses!$A$5:$A$3004,$A56,Acuses!$B$5:$B$3004,AA$4,Acuses!$C$5:$C$3004,AA$5),AA$8)&lt;Resumen!$C$4,"Caducado",IF(EDATE(_xlfn.MAXIFS(Acuses!$D$5:$D$3004,Acuses!$A$5:$A$3004,$A56,Acuses!$B$5:$B$3004,AA$4,Acuses!$C$5:$C$3004,AA$5),AA$8)&lt;Resumen!$C$4+30,"Caduca pronto","OK"))))))</f>
        <v/>
      </c>
      <c r="AB56" s="26" t="str">
        <f aca="false">IF(OR($A56="",AB$4=""),"",IF(NOT(OR(AB$6="Toda la plantilla",ISNUMBER(SEARCH(";"&amp;SUBSTITUTE($C56," ","")&amp;";",";"&amp;SUBSTITUTE(AB$7," ","")&amp;";")))),"—",IF(_xlfn.MAXIFS(Acuses!$C$5:$C$3004,Acuses!$A$5:$A$3004,$A56,Acuses!$B$5:$B$3004,AB$4)&lt;AB$5,"Pendiente",IF(AB$8=0,"OK",IF(EDATE(_xlfn.MAXIFS(Acuses!$D$5:$D$3004,Acuses!$A$5:$A$3004,$A56,Acuses!$B$5:$B$3004,AB$4,Acuses!$C$5:$C$3004,AB$5),AB$8)&lt;Resumen!$C$4,"Caducado",IF(EDATE(_xlfn.MAXIFS(Acuses!$D$5:$D$3004,Acuses!$A$5:$A$3004,$A56,Acuses!$B$5:$B$3004,AB$4,Acuses!$C$5:$C$3004,AB$5),AB$8)&lt;Resumen!$C$4+30,"Caduca pronto","OK"))))))</f>
        <v/>
      </c>
      <c r="AC56" s="26" t="str">
        <f aca="false">IF(OR($A56="",AC$4=""),"",IF(NOT(OR(AC$6="Toda la plantilla",ISNUMBER(SEARCH(";"&amp;SUBSTITUTE($C56," ","")&amp;";",";"&amp;SUBSTITUTE(AC$7," ","")&amp;";")))),"—",IF(_xlfn.MAXIFS(Acuses!$C$5:$C$3004,Acuses!$A$5:$A$3004,$A56,Acuses!$B$5:$B$3004,AC$4)&lt;AC$5,"Pendiente",IF(AC$8=0,"OK",IF(EDATE(_xlfn.MAXIFS(Acuses!$D$5:$D$3004,Acuses!$A$5:$A$3004,$A56,Acuses!$B$5:$B$3004,AC$4,Acuses!$C$5:$C$3004,AC$5),AC$8)&lt;Resumen!$C$4,"Caducado",IF(EDATE(_xlfn.MAXIFS(Acuses!$D$5:$D$3004,Acuses!$A$5:$A$3004,$A56,Acuses!$B$5:$B$3004,AC$4,Acuses!$C$5:$C$3004,AC$5),AC$8)&lt;Resumen!$C$4+30,"Caduca pronto","OK"))))))</f>
        <v/>
      </c>
      <c r="AD56" s="26" t="str">
        <f aca="false">IF(OR($A56="",AD$4=""),"",IF(NOT(OR(AD$6="Toda la plantilla",ISNUMBER(SEARCH(";"&amp;SUBSTITUTE($C56," ","")&amp;";",";"&amp;SUBSTITUTE(AD$7," ","")&amp;";")))),"—",IF(_xlfn.MAXIFS(Acuses!$C$5:$C$3004,Acuses!$A$5:$A$3004,$A56,Acuses!$B$5:$B$3004,AD$4)&lt;AD$5,"Pendiente",IF(AD$8=0,"OK",IF(EDATE(_xlfn.MAXIFS(Acuses!$D$5:$D$3004,Acuses!$A$5:$A$3004,$A56,Acuses!$B$5:$B$3004,AD$4,Acuses!$C$5:$C$3004,AD$5),AD$8)&lt;Resumen!$C$4,"Caducado",IF(EDATE(_xlfn.MAXIFS(Acuses!$D$5:$D$3004,Acuses!$A$5:$A$3004,$A56,Acuses!$B$5:$B$3004,AD$4,Acuses!$C$5:$C$3004,AD$5),AD$8)&lt;Resumen!$C$4+30,"Caduca pronto","OK"))))))</f>
        <v/>
      </c>
      <c r="AE56" s="26" t="str">
        <f aca="false">IF(OR($A56="",AE$4=""),"",IF(NOT(OR(AE$6="Toda la plantilla",ISNUMBER(SEARCH(";"&amp;SUBSTITUTE($C56," ","")&amp;";",";"&amp;SUBSTITUTE(AE$7," ","")&amp;";")))),"—",IF(_xlfn.MAXIFS(Acuses!$C$5:$C$3004,Acuses!$A$5:$A$3004,$A56,Acuses!$B$5:$B$3004,AE$4)&lt;AE$5,"Pendiente",IF(AE$8=0,"OK",IF(EDATE(_xlfn.MAXIFS(Acuses!$D$5:$D$3004,Acuses!$A$5:$A$3004,$A56,Acuses!$B$5:$B$3004,AE$4,Acuses!$C$5:$C$3004,AE$5),AE$8)&lt;Resumen!$C$4,"Caducado",IF(EDATE(_xlfn.MAXIFS(Acuses!$D$5:$D$3004,Acuses!$A$5:$A$3004,$A56,Acuses!$B$5:$B$3004,AE$4,Acuses!$C$5:$C$3004,AE$5),AE$8)&lt;Resumen!$C$4+30,"Caduca pronto","OK"))))))</f>
        <v/>
      </c>
      <c r="AF56" s="26" t="str">
        <f aca="false">IF(OR($A56="",AF$4=""),"",IF(NOT(OR(AF$6="Toda la plantilla",ISNUMBER(SEARCH(";"&amp;SUBSTITUTE($C56," ","")&amp;";",";"&amp;SUBSTITUTE(AF$7," ","")&amp;";")))),"—",IF(_xlfn.MAXIFS(Acuses!$C$5:$C$3004,Acuses!$A$5:$A$3004,$A56,Acuses!$B$5:$B$3004,AF$4)&lt;AF$5,"Pendiente",IF(AF$8=0,"OK",IF(EDATE(_xlfn.MAXIFS(Acuses!$D$5:$D$3004,Acuses!$A$5:$A$3004,$A56,Acuses!$B$5:$B$3004,AF$4,Acuses!$C$5:$C$3004,AF$5),AF$8)&lt;Resumen!$C$4,"Caducado",IF(EDATE(_xlfn.MAXIFS(Acuses!$D$5:$D$3004,Acuses!$A$5:$A$3004,$A56,Acuses!$B$5:$B$3004,AF$4,Acuses!$C$5:$C$3004,AF$5),AF$8)&lt;Resumen!$C$4+30,"Caduca pronto","OK"))))))</f>
        <v/>
      </c>
      <c r="AG56" s="26" t="str">
        <f aca="false">IF(OR($A56="",AG$4=""),"",IF(NOT(OR(AG$6="Toda la plantilla",ISNUMBER(SEARCH(";"&amp;SUBSTITUTE($C56," ","")&amp;";",";"&amp;SUBSTITUTE(AG$7," ","")&amp;";")))),"—",IF(_xlfn.MAXIFS(Acuses!$C$5:$C$3004,Acuses!$A$5:$A$3004,$A56,Acuses!$B$5:$B$3004,AG$4)&lt;AG$5,"Pendiente",IF(AG$8=0,"OK",IF(EDATE(_xlfn.MAXIFS(Acuses!$D$5:$D$3004,Acuses!$A$5:$A$3004,$A56,Acuses!$B$5:$B$3004,AG$4,Acuses!$C$5:$C$3004,AG$5),AG$8)&lt;Resumen!$C$4,"Caducado",IF(EDATE(_xlfn.MAXIFS(Acuses!$D$5:$D$3004,Acuses!$A$5:$A$3004,$A56,Acuses!$B$5:$B$3004,AG$4,Acuses!$C$5:$C$3004,AG$5),AG$8)&lt;Resumen!$C$4+30,"Caduca pronto","OK"))))))</f>
        <v/>
      </c>
      <c r="AH56" s="26" t="str">
        <f aca="false">IF(OR($A56="",AH$4=""),"",IF(NOT(OR(AH$6="Toda la plantilla",ISNUMBER(SEARCH(";"&amp;SUBSTITUTE($C56," ","")&amp;";",";"&amp;SUBSTITUTE(AH$7," ","")&amp;";")))),"—",IF(_xlfn.MAXIFS(Acuses!$C$5:$C$3004,Acuses!$A$5:$A$3004,$A56,Acuses!$B$5:$B$3004,AH$4)&lt;AH$5,"Pendiente",IF(AH$8=0,"OK",IF(EDATE(_xlfn.MAXIFS(Acuses!$D$5:$D$3004,Acuses!$A$5:$A$3004,$A56,Acuses!$B$5:$B$3004,AH$4,Acuses!$C$5:$C$3004,AH$5),AH$8)&lt;Resumen!$C$4,"Caducado",IF(EDATE(_xlfn.MAXIFS(Acuses!$D$5:$D$3004,Acuses!$A$5:$A$3004,$A56,Acuses!$B$5:$B$3004,AH$4,Acuses!$C$5:$C$3004,AH$5),AH$8)&lt;Resumen!$C$4+30,"Caduca pronto","OK"))))))</f>
        <v/>
      </c>
      <c r="AI56" s="26" t="str">
        <f aca="false">IF(OR($A56="",AI$4=""),"",IF(NOT(OR(AI$6="Toda la plantilla",ISNUMBER(SEARCH(";"&amp;SUBSTITUTE($C56," ","")&amp;";",";"&amp;SUBSTITUTE(AI$7," ","")&amp;";")))),"—",IF(_xlfn.MAXIFS(Acuses!$C$5:$C$3004,Acuses!$A$5:$A$3004,$A56,Acuses!$B$5:$B$3004,AI$4)&lt;AI$5,"Pendiente",IF(AI$8=0,"OK",IF(EDATE(_xlfn.MAXIFS(Acuses!$D$5:$D$3004,Acuses!$A$5:$A$3004,$A56,Acuses!$B$5:$B$3004,AI$4,Acuses!$C$5:$C$3004,AI$5),AI$8)&lt;Resumen!$C$4,"Caducado",IF(EDATE(_xlfn.MAXIFS(Acuses!$D$5:$D$3004,Acuses!$A$5:$A$3004,$A56,Acuses!$B$5:$B$3004,AI$4,Acuses!$C$5:$C$3004,AI$5),AI$8)&lt;Resumen!$C$4+30,"Caduca pronto","OK"))))))</f>
        <v/>
      </c>
      <c r="AJ56" s="26" t="str">
        <f aca="false">IF(OR($A56="",AJ$4=""),"",IF(NOT(OR(AJ$6="Toda la plantilla",ISNUMBER(SEARCH(";"&amp;SUBSTITUTE($C56," ","")&amp;";",";"&amp;SUBSTITUTE(AJ$7," ","")&amp;";")))),"—",IF(_xlfn.MAXIFS(Acuses!$C$5:$C$3004,Acuses!$A$5:$A$3004,$A56,Acuses!$B$5:$B$3004,AJ$4)&lt;AJ$5,"Pendiente",IF(AJ$8=0,"OK",IF(EDATE(_xlfn.MAXIFS(Acuses!$D$5:$D$3004,Acuses!$A$5:$A$3004,$A56,Acuses!$B$5:$B$3004,AJ$4,Acuses!$C$5:$C$3004,AJ$5),AJ$8)&lt;Resumen!$C$4,"Caducado",IF(EDATE(_xlfn.MAXIFS(Acuses!$D$5:$D$3004,Acuses!$A$5:$A$3004,$A56,Acuses!$B$5:$B$3004,AJ$4,Acuses!$C$5:$C$3004,AJ$5),AJ$8)&lt;Resumen!$C$4+30,"Caduca pronto","OK"))))))</f>
        <v/>
      </c>
      <c r="AK56" s="26" t="str">
        <f aca="false">IF(OR($A56="",AK$4=""),"",IF(NOT(OR(AK$6="Toda la plantilla",ISNUMBER(SEARCH(";"&amp;SUBSTITUTE($C56," ","")&amp;";",";"&amp;SUBSTITUTE(AK$7," ","")&amp;";")))),"—",IF(_xlfn.MAXIFS(Acuses!$C$5:$C$3004,Acuses!$A$5:$A$3004,$A56,Acuses!$B$5:$B$3004,AK$4)&lt;AK$5,"Pendiente",IF(AK$8=0,"OK",IF(EDATE(_xlfn.MAXIFS(Acuses!$D$5:$D$3004,Acuses!$A$5:$A$3004,$A56,Acuses!$B$5:$B$3004,AK$4,Acuses!$C$5:$C$3004,AK$5),AK$8)&lt;Resumen!$C$4,"Caducado",IF(EDATE(_xlfn.MAXIFS(Acuses!$D$5:$D$3004,Acuses!$A$5:$A$3004,$A56,Acuses!$B$5:$B$3004,AK$4,Acuses!$C$5:$C$3004,AK$5),AK$8)&lt;Resumen!$C$4+30,"Caduca pronto","OK"))))))</f>
        <v/>
      </c>
      <c r="AL56" s="26" t="str">
        <f aca="false">IF(OR($A56="",AL$4=""),"",IF(NOT(OR(AL$6="Toda la plantilla",ISNUMBER(SEARCH(";"&amp;SUBSTITUTE($C56," ","")&amp;";",";"&amp;SUBSTITUTE(AL$7," ","")&amp;";")))),"—",IF(_xlfn.MAXIFS(Acuses!$C$5:$C$3004,Acuses!$A$5:$A$3004,$A56,Acuses!$B$5:$B$3004,AL$4)&lt;AL$5,"Pendiente",IF(AL$8=0,"OK",IF(EDATE(_xlfn.MAXIFS(Acuses!$D$5:$D$3004,Acuses!$A$5:$A$3004,$A56,Acuses!$B$5:$B$3004,AL$4,Acuses!$C$5:$C$3004,AL$5),AL$8)&lt;Resumen!$C$4,"Caducado",IF(EDATE(_xlfn.MAXIFS(Acuses!$D$5:$D$3004,Acuses!$A$5:$A$3004,$A56,Acuses!$B$5:$B$3004,AL$4,Acuses!$C$5:$C$3004,AL$5),AL$8)&lt;Resumen!$C$4+30,"Caduca pronto","OK"))))))</f>
        <v/>
      </c>
      <c r="AM56" s="26" t="str">
        <f aca="false">IF(OR($A56="",AM$4=""),"",IF(NOT(OR(AM$6="Toda la plantilla",ISNUMBER(SEARCH(";"&amp;SUBSTITUTE($C56," ","")&amp;";",";"&amp;SUBSTITUTE(AM$7," ","")&amp;";")))),"—",IF(_xlfn.MAXIFS(Acuses!$C$5:$C$3004,Acuses!$A$5:$A$3004,$A56,Acuses!$B$5:$B$3004,AM$4)&lt;AM$5,"Pendiente",IF(AM$8=0,"OK",IF(EDATE(_xlfn.MAXIFS(Acuses!$D$5:$D$3004,Acuses!$A$5:$A$3004,$A56,Acuses!$B$5:$B$3004,AM$4,Acuses!$C$5:$C$3004,AM$5),AM$8)&lt;Resumen!$C$4,"Caducado",IF(EDATE(_xlfn.MAXIFS(Acuses!$D$5:$D$3004,Acuses!$A$5:$A$3004,$A56,Acuses!$B$5:$B$3004,AM$4,Acuses!$C$5:$C$3004,AM$5),AM$8)&lt;Resumen!$C$4+30,"Caduca pronto","OK"))))))</f>
        <v/>
      </c>
      <c r="AN56" s="26" t="str">
        <f aca="false">IF(OR($A56="",AN$4=""),"",IF(NOT(OR(AN$6="Toda la plantilla",ISNUMBER(SEARCH(";"&amp;SUBSTITUTE($C56," ","")&amp;";",";"&amp;SUBSTITUTE(AN$7," ","")&amp;";")))),"—",IF(_xlfn.MAXIFS(Acuses!$C$5:$C$3004,Acuses!$A$5:$A$3004,$A56,Acuses!$B$5:$B$3004,AN$4)&lt;AN$5,"Pendiente",IF(AN$8=0,"OK",IF(EDATE(_xlfn.MAXIFS(Acuses!$D$5:$D$3004,Acuses!$A$5:$A$3004,$A56,Acuses!$B$5:$B$3004,AN$4,Acuses!$C$5:$C$3004,AN$5),AN$8)&lt;Resumen!$C$4,"Caducado",IF(EDATE(_xlfn.MAXIFS(Acuses!$D$5:$D$3004,Acuses!$A$5:$A$3004,$A56,Acuses!$B$5:$B$3004,AN$4,Acuses!$C$5:$C$3004,AN$5),AN$8)&lt;Resumen!$C$4+30,"Caduca pronto","OK"))))))</f>
        <v/>
      </c>
      <c r="AO56" s="26" t="str">
        <f aca="false">IF(OR($A56="",AO$4=""),"",IF(NOT(OR(AO$6="Toda la plantilla",ISNUMBER(SEARCH(";"&amp;SUBSTITUTE($C56," ","")&amp;";",";"&amp;SUBSTITUTE(AO$7," ","")&amp;";")))),"—",IF(_xlfn.MAXIFS(Acuses!$C$5:$C$3004,Acuses!$A$5:$A$3004,$A56,Acuses!$B$5:$B$3004,AO$4)&lt;AO$5,"Pendiente",IF(AO$8=0,"OK",IF(EDATE(_xlfn.MAXIFS(Acuses!$D$5:$D$3004,Acuses!$A$5:$A$3004,$A56,Acuses!$B$5:$B$3004,AO$4,Acuses!$C$5:$C$3004,AO$5),AO$8)&lt;Resumen!$C$4,"Caducado",IF(EDATE(_xlfn.MAXIFS(Acuses!$D$5:$D$3004,Acuses!$A$5:$A$3004,$A56,Acuses!$B$5:$B$3004,AO$4,Acuses!$C$5:$C$3004,AO$5),AO$8)&lt;Resumen!$C$4+30,"Caduca pronto","OK"))))))</f>
        <v/>
      </c>
      <c r="AP56" s="26" t="str">
        <f aca="false">IF(OR($A56="",AP$4=""),"",IF(NOT(OR(AP$6="Toda la plantilla",ISNUMBER(SEARCH(";"&amp;SUBSTITUTE($C56," ","")&amp;";",";"&amp;SUBSTITUTE(AP$7," ","")&amp;";")))),"—",IF(_xlfn.MAXIFS(Acuses!$C$5:$C$3004,Acuses!$A$5:$A$3004,$A56,Acuses!$B$5:$B$3004,AP$4)&lt;AP$5,"Pendiente",IF(AP$8=0,"OK",IF(EDATE(_xlfn.MAXIFS(Acuses!$D$5:$D$3004,Acuses!$A$5:$A$3004,$A56,Acuses!$B$5:$B$3004,AP$4,Acuses!$C$5:$C$3004,AP$5),AP$8)&lt;Resumen!$C$4,"Caducado",IF(EDATE(_xlfn.MAXIFS(Acuses!$D$5:$D$3004,Acuses!$A$5:$A$3004,$A56,Acuses!$B$5:$B$3004,AP$4,Acuses!$C$5:$C$3004,AP$5),AP$8)&lt;Resumen!$C$4+30,"Caduca pronto","OK"))))))</f>
        <v/>
      </c>
      <c r="AQ56" s="26" t="str">
        <f aca="false">IF(OR($A56="",AQ$4=""),"",IF(NOT(OR(AQ$6="Toda la plantilla",ISNUMBER(SEARCH(";"&amp;SUBSTITUTE($C56," ","")&amp;";",";"&amp;SUBSTITUTE(AQ$7," ","")&amp;";")))),"—",IF(_xlfn.MAXIFS(Acuses!$C$5:$C$3004,Acuses!$A$5:$A$3004,$A56,Acuses!$B$5:$B$3004,AQ$4)&lt;AQ$5,"Pendiente",IF(AQ$8=0,"OK",IF(EDATE(_xlfn.MAXIFS(Acuses!$D$5:$D$3004,Acuses!$A$5:$A$3004,$A56,Acuses!$B$5:$B$3004,AQ$4,Acuses!$C$5:$C$3004,AQ$5),AQ$8)&lt;Resumen!$C$4,"Caducado",IF(EDATE(_xlfn.MAXIFS(Acuses!$D$5:$D$3004,Acuses!$A$5:$A$3004,$A56,Acuses!$B$5:$B$3004,AQ$4,Acuses!$C$5:$C$3004,AQ$5),AQ$8)&lt;Resumen!$C$4+30,"Caduca pronto","OK"))))))</f>
        <v/>
      </c>
    </row>
    <row r="57" customFormat="false" ht="15" hidden="false" customHeight="false" outlineLevel="0" collapsed="false">
      <c r="A57" s="25" t="str">
        <f aca="false">IF(AND(Trabajadores!$A$52&lt;&gt;"",Trabajadores!$G$52&lt;&gt;"No"),Trabajadores!$A$52,"")</f>
        <v/>
      </c>
      <c r="B57" s="25" t="str">
        <f aca="false">IF($A57="","",Trabajadores!$B$52)</f>
        <v/>
      </c>
      <c r="C57" s="25" t="str">
        <f aca="false">IF($A57="","",Trabajadores!$C$52)</f>
        <v/>
      </c>
      <c r="D57" s="26" t="str">
        <f aca="false">IF(OR($A57="",D$4=""),"",IF(NOT(OR(D$6="Toda la plantilla",ISNUMBER(SEARCH(";"&amp;SUBSTITUTE($C57," ","")&amp;";",";"&amp;SUBSTITUTE(D$7," ","")&amp;";")))),"—",IF(_xlfn.MAXIFS(Acuses!$C$5:$C$3004,Acuses!$A$5:$A$3004,$A57,Acuses!$B$5:$B$3004,D$4)&lt;D$5,"Pendiente",IF(D$8=0,"OK",IF(EDATE(_xlfn.MAXIFS(Acuses!$D$5:$D$3004,Acuses!$A$5:$A$3004,$A57,Acuses!$B$5:$B$3004,D$4,Acuses!$C$5:$C$3004,D$5),D$8)&lt;Resumen!$C$4,"Caducado",IF(EDATE(_xlfn.MAXIFS(Acuses!$D$5:$D$3004,Acuses!$A$5:$A$3004,$A57,Acuses!$B$5:$B$3004,D$4,Acuses!$C$5:$C$3004,D$5),D$8)&lt;Resumen!$C$4+30,"Caduca pronto","OK"))))))</f>
        <v/>
      </c>
      <c r="E57" s="26" t="str">
        <f aca="false">IF(OR($A57="",E$4=""),"",IF(NOT(OR(E$6="Toda la plantilla",ISNUMBER(SEARCH(";"&amp;SUBSTITUTE($C57," ","")&amp;";",";"&amp;SUBSTITUTE(E$7," ","")&amp;";")))),"—",IF(_xlfn.MAXIFS(Acuses!$C$5:$C$3004,Acuses!$A$5:$A$3004,$A57,Acuses!$B$5:$B$3004,E$4)&lt;E$5,"Pendiente",IF(E$8=0,"OK",IF(EDATE(_xlfn.MAXIFS(Acuses!$D$5:$D$3004,Acuses!$A$5:$A$3004,$A57,Acuses!$B$5:$B$3004,E$4,Acuses!$C$5:$C$3004,E$5),E$8)&lt;Resumen!$C$4,"Caducado",IF(EDATE(_xlfn.MAXIFS(Acuses!$D$5:$D$3004,Acuses!$A$5:$A$3004,$A57,Acuses!$B$5:$B$3004,E$4,Acuses!$C$5:$C$3004,E$5),E$8)&lt;Resumen!$C$4+30,"Caduca pronto","OK"))))))</f>
        <v/>
      </c>
      <c r="F57" s="26" t="str">
        <f aca="false">IF(OR($A57="",F$4=""),"",IF(NOT(OR(F$6="Toda la plantilla",ISNUMBER(SEARCH(";"&amp;SUBSTITUTE($C57," ","")&amp;";",";"&amp;SUBSTITUTE(F$7," ","")&amp;";")))),"—",IF(_xlfn.MAXIFS(Acuses!$C$5:$C$3004,Acuses!$A$5:$A$3004,$A57,Acuses!$B$5:$B$3004,F$4)&lt;F$5,"Pendiente",IF(F$8=0,"OK",IF(EDATE(_xlfn.MAXIFS(Acuses!$D$5:$D$3004,Acuses!$A$5:$A$3004,$A57,Acuses!$B$5:$B$3004,F$4,Acuses!$C$5:$C$3004,F$5),F$8)&lt;Resumen!$C$4,"Caducado",IF(EDATE(_xlfn.MAXIFS(Acuses!$D$5:$D$3004,Acuses!$A$5:$A$3004,$A57,Acuses!$B$5:$B$3004,F$4,Acuses!$C$5:$C$3004,F$5),F$8)&lt;Resumen!$C$4+30,"Caduca pronto","OK"))))))</f>
        <v/>
      </c>
      <c r="G57" s="26" t="str">
        <f aca="false">IF(OR($A57="",G$4=""),"",IF(NOT(OR(G$6="Toda la plantilla",ISNUMBER(SEARCH(";"&amp;SUBSTITUTE($C57," ","")&amp;";",";"&amp;SUBSTITUTE(G$7," ","")&amp;";")))),"—",IF(_xlfn.MAXIFS(Acuses!$C$5:$C$3004,Acuses!$A$5:$A$3004,$A57,Acuses!$B$5:$B$3004,G$4)&lt;G$5,"Pendiente",IF(G$8=0,"OK",IF(EDATE(_xlfn.MAXIFS(Acuses!$D$5:$D$3004,Acuses!$A$5:$A$3004,$A57,Acuses!$B$5:$B$3004,G$4,Acuses!$C$5:$C$3004,G$5),G$8)&lt;Resumen!$C$4,"Caducado",IF(EDATE(_xlfn.MAXIFS(Acuses!$D$5:$D$3004,Acuses!$A$5:$A$3004,$A57,Acuses!$B$5:$B$3004,G$4,Acuses!$C$5:$C$3004,G$5),G$8)&lt;Resumen!$C$4+30,"Caduca pronto","OK"))))))</f>
        <v/>
      </c>
      <c r="H57" s="26" t="str">
        <f aca="false">IF(OR($A57="",H$4=""),"",IF(NOT(OR(H$6="Toda la plantilla",ISNUMBER(SEARCH(";"&amp;SUBSTITUTE($C57," ","")&amp;";",";"&amp;SUBSTITUTE(H$7," ","")&amp;";")))),"—",IF(_xlfn.MAXIFS(Acuses!$C$5:$C$3004,Acuses!$A$5:$A$3004,$A57,Acuses!$B$5:$B$3004,H$4)&lt;H$5,"Pendiente",IF(H$8=0,"OK",IF(EDATE(_xlfn.MAXIFS(Acuses!$D$5:$D$3004,Acuses!$A$5:$A$3004,$A57,Acuses!$B$5:$B$3004,H$4,Acuses!$C$5:$C$3004,H$5),H$8)&lt;Resumen!$C$4,"Caducado",IF(EDATE(_xlfn.MAXIFS(Acuses!$D$5:$D$3004,Acuses!$A$5:$A$3004,$A57,Acuses!$B$5:$B$3004,H$4,Acuses!$C$5:$C$3004,H$5),H$8)&lt;Resumen!$C$4+30,"Caduca pronto","OK"))))))</f>
        <v/>
      </c>
      <c r="I57" s="26" t="str">
        <f aca="false">IF(OR($A57="",I$4=""),"",IF(NOT(OR(I$6="Toda la plantilla",ISNUMBER(SEARCH(";"&amp;SUBSTITUTE($C57," ","")&amp;";",";"&amp;SUBSTITUTE(I$7," ","")&amp;";")))),"—",IF(_xlfn.MAXIFS(Acuses!$C$5:$C$3004,Acuses!$A$5:$A$3004,$A57,Acuses!$B$5:$B$3004,I$4)&lt;I$5,"Pendiente",IF(I$8=0,"OK",IF(EDATE(_xlfn.MAXIFS(Acuses!$D$5:$D$3004,Acuses!$A$5:$A$3004,$A57,Acuses!$B$5:$B$3004,I$4,Acuses!$C$5:$C$3004,I$5),I$8)&lt;Resumen!$C$4,"Caducado",IF(EDATE(_xlfn.MAXIFS(Acuses!$D$5:$D$3004,Acuses!$A$5:$A$3004,$A57,Acuses!$B$5:$B$3004,I$4,Acuses!$C$5:$C$3004,I$5),I$8)&lt;Resumen!$C$4+30,"Caduca pronto","OK"))))))</f>
        <v/>
      </c>
      <c r="J57" s="26" t="str">
        <f aca="false">IF(OR($A57="",J$4=""),"",IF(NOT(OR(J$6="Toda la plantilla",ISNUMBER(SEARCH(";"&amp;SUBSTITUTE($C57," ","")&amp;";",";"&amp;SUBSTITUTE(J$7," ","")&amp;";")))),"—",IF(_xlfn.MAXIFS(Acuses!$C$5:$C$3004,Acuses!$A$5:$A$3004,$A57,Acuses!$B$5:$B$3004,J$4)&lt;J$5,"Pendiente",IF(J$8=0,"OK",IF(EDATE(_xlfn.MAXIFS(Acuses!$D$5:$D$3004,Acuses!$A$5:$A$3004,$A57,Acuses!$B$5:$B$3004,J$4,Acuses!$C$5:$C$3004,J$5),J$8)&lt;Resumen!$C$4,"Caducado",IF(EDATE(_xlfn.MAXIFS(Acuses!$D$5:$D$3004,Acuses!$A$5:$A$3004,$A57,Acuses!$B$5:$B$3004,J$4,Acuses!$C$5:$C$3004,J$5),J$8)&lt;Resumen!$C$4+30,"Caduca pronto","OK"))))))</f>
        <v/>
      </c>
      <c r="K57" s="26" t="str">
        <f aca="false">IF(OR($A57="",K$4=""),"",IF(NOT(OR(K$6="Toda la plantilla",ISNUMBER(SEARCH(";"&amp;SUBSTITUTE($C57," ","")&amp;";",";"&amp;SUBSTITUTE(K$7," ","")&amp;";")))),"—",IF(_xlfn.MAXIFS(Acuses!$C$5:$C$3004,Acuses!$A$5:$A$3004,$A57,Acuses!$B$5:$B$3004,K$4)&lt;K$5,"Pendiente",IF(K$8=0,"OK",IF(EDATE(_xlfn.MAXIFS(Acuses!$D$5:$D$3004,Acuses!$A$5:$A$3004,$A57,Acuses!$B$5:$B$3004,K$4,Acuses!$C$5:$C$3004,K$5),K$8)&lt;Resumen!$C$4,"Caducado",IF(EDATE(_xlfn.MAXIFS(Acuses!$D$5:$D$3004,Acuses!$A$5:$A$3004,$A57,Acuses!$B$5:$B$3004,K$4,Acuses!$C$5:$C$3004,K$5),K$8)&lt;Resumen!$C$4+30,"Caduca pronto","OK"))))))</f>
        <v/>
      </c>
      <c r="L57" s="26" t="str">
        <f aca="false">IF(OR($A57="",L$4=""),"",IF(NOT(OR(L$6="Toda la plantilla",ISNUMBER(SEARCH(";"&amp;SUBSTITUTE($C57," ","")&amp;";",";"&amp;SUBSTITUTE(L$7," ","")&amp;";")))),"—",IF(_xlfn.MAXIFS(Acuses!$C$5:$C$3004,Acuses!$A$5:$A$3004,$A57,Acuses!$B$5:$B$3004,L$4)&lt;L$5,"Pendiente",IF(L$8=0,"OK",IF(EDATE(_xlfn.MAXIFS(Acuses!$D$5:$D$3004,Acuses!$A$5:$A$3004,$A57,Acuses!$B$5:$B$3004,L$4,Acuses!$C$5:$C$3004,L$5),L$8)&lt;Resumen!$C$4,"Caducado",IF(EDATE(_xlfn.MAXIFS(Acuses!$D$5:$D$3004,Acuses!$A$5:$A$3004,$A57,Acuses!$B$5:$B$3004,L$4,Acuses!$C$5:$C$3004,L$5),L$8)&lt;Resumen!$C$4+30,"Caduca pronto","OK"))))))</f>
        <v/>
      </c>
      <c r="M57" s="26" t="str">
        <f aca="false">IF(OR($A57="",M$4=""),"",IF(NOT(OR(M$6="Toda la plantilla",ISNUMBER(SEARCH(";"&amp;SUBSTITUTE($C57," ","")&amp;";",";"&amp;SUBSTITUTE(M$7," ","")&amp;";")))),"—",IF(_xlfn.MAXIFS(Acuses!$C$5:$C$3004,Acuses!$A$5:$A$3004,$A57,Acuses!$B$5:$B$3004,M$4)&lt;M$5,"Pendiente",IF(M$8=0,"OK",IF(EDATE(_xlfn.MAXIFS(Acuses!$D$5:$D$3004,Acuses!$A$5:$A$3004,$A57,Acuses!$B$5:$B$3004,M$4,Acuses!$C$5:$C$3004,M$5),M$8)&lt;Resumen!$C$4,"Caducado",IF(EDATE(_xlfn.MAXIFS(Acuses!$D$5:$D$3004,Acuses!$A$5:$A$3004,$A57,Acuses!$B$5:$B$3004,M$4,Acuses!$C$5:$C$3004,M$5),M$8)&lt;Resumen!$C$4+30,"Caduca pronto","OK"))))))</f>
        <v/>
      </c>
      <c r="N57" s="26" t="str">
        <f aca="false">IF(OR($A57="",N$4=""),"",IF(NOT(OR(N$6="Toda la plantilla",ISNUMBER(SEARCH(";"&amp;SUBSTITUTE($C57," ","")&amp;";",";"&amp;SUBSTITUTE(N$7," ","")&amp;";")))),"—",IF(_xlfn.MAXIFS(Acuses!$C$5:$C$3004,Acuses!$A$5:$A$3004,$A57,Acuses!$B$5:$B$3004,N$4)&lt;N$5,"Pendiente",IF(N$8=0,"OK",IF(EDATE(_xlfn.MAXIFS(Acuses!$D$5:$D$3004,Acuses!$A$5:$A$3004,$A57,Acuses!$B$5:$B$3004,N$4,Acuses!$C$5:$C$3004,N$5),N$8)&lt;Resumen!$C$4,"Caducado",IF(EDATE(_xlfn.MAXIFS(Acuses!$D$5:$D$3004,Acuses!$A$5:$A$3004,$A57,Acuses!$B$5:$B$3004,N$4,Acuses!$C$5:$C$3004,N$5),N$8)&lt;Resumen!$C$4+30,"Caduca pronto","OK"))))))</f>
        <v/>
      </c>
      <c r="O57" s="26" t="str">
        <f aca="false">IF(OR($A57="",O$4=""),"",IF(NOT(OR(O$6="Toda la plantilla",ISNUMBER(SEARCH(";"&amp;SUBSTITUTE($C57," ","")&amp;";",";"&amp;SUBSTITUTE(O$7," ","")&amp;";")))),"—",IF(_xlfn.MAXIFS(Acuses!$C$5:$C$3004,Acuses!$A$5:$A$3004,$A57,Acuses!$B$5:$B$3004,O$4)&lt;O$5,"Pendiente",IF(O$8=0,"OK",IF(EDATE(_xlfn.MAXIFS(Acuses!$D$5:$D$3004,Acuses!$A$5:$A$3004,$A57,Acuses!$B$5:$B$3004,O$4,Acuses!$C$5:$C$3004,O$5),O$8)&lt;Resumen!$C$4,"Caducado",IF(EDATE(_xlfn.MAXIFS(Acuses!$D$5:$D$3004,Acuses!$A$5:$A$3004,$A57,Acuses!$B$5:$B$3004,O$4,Acuses!$C$5:$C$3004,O$5),O$8)&lt;Resumen!$C$4+30,"Caduca pronto","OK"))))))</f>
        <v/>
      </c>
      <c r="P57" s="26" t="str">
        <f aca="false">IF(OR($A57="",P$4=""),"",IF(NOT(OR(P$6="Toda la plantilla",ISNUMBER(SEARCH(";"&amp;SUBSTITUTE($C57," ","")&amp;";",";"&amp;SUBSTITUTE(P$7," ","")&amp;";")))),"—",IF(_xlfn.MAXIFS(Acuses!$C$5:$C$3004,Acuses!$A$5:$A$3004,$A57,Acuses!$B$5:$B$3004,P$4)&lt;P$5,"Pendiente",IF(P$8=0,"OK",IF(EDATE(_xlfn.MAXIFS(Acuses!$D$5:$D$3004,Acuses!$A$5:$A$3004,$A57,Acuses!$B$5:$B$3004,P$4,Acuses!$C$5:$C$3004,P$5),P$8)&lt;Resumen!$C$4,"Caducado",IF(EDATE(_xlfn.MAXIFS(Acuses!$D$5:$D$3004,Acuses!$A$5:$A$3004,$A57,Acuses!$B$5:$B$3004,P$4,Acuses!$C$5:$C$3004,P$5),P$8)&lt;Resumen!$C$4+30,"Caduca pronto","OK"))))))</f>
        <v/>
      </c>
      <c r="Q57" s="26" t="str">
        <f aca="false">IF(OR($A57="",Q$4=""),"",IF(NOT(OR(Q$6="Toda la plantilla",ISNUMBER(SEARCH(";"&amp;SUBSTITUTE($C57," ","")&amp;";",";"&amp;SUBSTITUTE(Q$7," ","")&amp;";")))),"—",IF(_xlfn.MAXIFS(Acuses!$C$5:$C$3004,Acuses!$A$5:$A$3004,$A57,Acuses!$B$5:$B$3004,Q$4)&lt;Q$5,"Pendiente",IF(Q$8=0,"OK",IF(EDATE(_xlfn.MAXIFS(Acuses!$D$5:$D$3004,Acuses!$A$5:$A$3004,$A57,Acuses!$B$5:$B$3004,Q$4,Acuses!$C$5:$C$3004,Q$5),Q$8)&lt;Resumen!$C$4,"Caducado",IF(EDATE(_xlfn.MAXIFS(Acuses!$D$5:$D$3004,Acuses!$A$5:$A$3004,$A57,Acuses!$B$5:$B$3004,Q$4,Acuses!$C$5:$C$3004,Q$5),Q$8)&lt;Resumen!$C$4+30,"Caduca pronto","OK"))))))</f>
        <v/>
      </c>
      <c r="R57" s="26" t="str">
        <f aca="false">IF(OR($A57="",R$4=""),"",IF(NOT(OR(R$6="Toda la plantilla",ISNUMBER(SEARCH(";"&amp;SUBSTITUTE($C57," ","")&amp;";",";"&amp;SUBSTITUTE(R$7," ","")&amp;";")))),"—",IF(_xlfn.MAXIFS(Acuses!$C$5:$C$3004,Acuses!$A$5:$A$3004,$A57,Acuses!$B$5:$B$3004,R$4)&lt;R$5,"Pendiente",IF(R$8=0,"OK",IF(EDATE(_xlfn.MAXIFS(Acuses!$D$5:$D$3004,Acuses!$A$5:$A$3004,$A57,Acuses!$B$5:$B$3004,R$4,Acuses!$C$5:$C$3004,R$5),R$8)&lt;Resumen!$C$4,"Caducado",IF(EDATE(_xlfn.MAXIFS(Acuses!$D$5:$D$3004,Acuses!$A$5:$A$3004,$A57,Acuses!$B$5:$B$3004,R$4,Acuses!$C$5:$C$3004,R$5),R$8)&lt;Resumen!$C$4+30,"Caduca pronto","OK"))))))</f>
        <v/>
      </c>
      <c r="S57" s="26" t="str">
        <f aca="false">IF(OR($A57="",S$4=""),"",IF(NOT(OR(S$6="Toda la plantilla",ISNUMBER(SEARCH(";"&amp;SUBSTITUTE($C57," ","")&amp;";",";"&amp;SUBSTITUTE(S$7," ","")&amp;";")))),"—",IF(_xlfn.MAXIFS(Acuses!$C$5:$C$3004,Acuses!$A$5:$A$3004,$A57,Acuses!$B$5:$B$3004,S$4)&lt;S$5,"Pendiente",IF(S$8=0,"OK",IF(EDATE(_xlfn.MAXIFS(Acuses!$D$5:$D$3004,Acuses!$A$5:$A$3004,$A57,Acuses!$B$5:$B$3004,S$4,Acuses!$C$5:$C$3004,S$5),S$8)&lt;Resumen!$C$4,"Caducado",IF(EDATE(_xlfn.MAXIFS(Acuses!$D$5:$D$3004,Acuses!$A$5:$A$3004,$A57,Acuses!$B$5:$B$3004,S$4,Acuses!$C$5:$C$3004,S$5),S$8)&lt;Resumen!$C$4+30,"Caduca pronto","OK"))))))</f>
        <v/>
      </c>
      <c r="T57" s="26" t="str">
        <f aca="false">IF(OR($A57="",T$4=""),"",IF(NOT(OR(T$6="Toda la plantilla",ISNUMBER(SEARCH(";"&amp;SUBSTITUTE($C57," ","")&amp;";",";"&amp;SUBSTITUTE(T$7," ","")&amp;";")))),"—",IF(_xlfn.MAXIFS(Acuses!$C$5:$C$3004,Acuses!$A$5:$A$3004,$A57,Acuses!$B$5:$B$3004,T$4)&lt;T$5,"Pendiente",IF(T$8=0,"OK",IF(EDATE(_xlfn.MAXIFS(Acuses!$D$5:$D$3004,Acuses!$A$5:$A$3004,$A57,Acuses!$B$5:$B$3004,T$4,Acuses!$C$5:$C$3004,T$5),T$8)&lt;Resumen!$C$4,"Caducado",IF(EDATE(_xlfn.MAXIFS(Acuses!$D$5:$D$3004,Acuses!$A$5:$A$3004,$A57,Acuses!$B$5:$B$3004,T$4,Acuses!$C$5:$C$3004,T$5),T$8)&lt;Resumen!$C$4+30,"Caduca pronto","OK"))))))</f>
        <v/>
      </c>
      <c r="U57" s="26" t="str">
        <f aca="false">IF(OR($A57="",U$4=""),"",IF(NOT(OR(U$6="Toda la plantilla",ISNUMBER(SEARCH(";"&amp;SUBSTITUTE($C57," ","")&amp;";",";"&amp;SUBSTITUTE(U$7," ","")&amp;";")))),"—",IF(_xlfn.MAXIFS(Acuses!$C$5:$C$3004,Acuses!$A$5:$A$3004,$A57,Acuses!$B$5:$B$3004,U$4)&lt;U$5,"Pendiente",IF(U$8=0,"OK",IF(EDATE(_xlfn.MAXIFS(Acuses!$D$5:$D$3004,Acuses!$A$5:$A$3004,$A57,Acuses!$B$5:$B$3004,U$4,Acuses!$C$5:$C$3004,U$5),U$8)&lt;Resumen!$C$4,"Caducado",IF(EDATE(_xlfn.MAXIFS(Acuses!$D$5:$D$3004,Acuses!$A$5:$A$3004,$A57,Acuses!$B$5:$B$3004,U$4,Acuses!$C$5:$C$3004,U$5),U$8)&lt;Resumen!$C$4+30,"Caduca pronto","OK"))))))</f>
        <v/>
      </c>
      <c r="V57" s="26" t="str">
        <f aca="false">IF(OR($A57="",V$4=""),"",IF(NOT(OR(V$6="Toda la plantilla",ISNUMBER(SEARCH(";"&amp;SUBSTITUTE($C57," ","")&amp;";",";"&amp;SUBSTITUTE(V$7," ","")&amp;";")))),"—",IF(_xlfn.MAXIFS(Acuses!$C$5:$C$3004,Acuses!$A$5:$A$3004,$A57,Acuses!$B$5:$B$3004,V$4)&lt;V$5,"Pendiente",IF(V$8=0,"OK",IF(EDATE(_xlfn.MAXIFS(Acuses!$D$5:$D$3004,Acuses!$A$5:$A$3004,$A57,Acuses!$B$5:$B$3004,V$4,Acuses!$C$5:$C$3004,V$5),V$8)&lt;Resumen!$C$4,"Caducado",IF(EDATE(_xlfn.MAXIFS(Acuses!$D$5:$D$3004,Acuses!$A$5:$A$3004,$A57,Acuses!$B$5:$B$3004,V$4,Acuses!$C$5:$C$3004,V$5),V$8)&lt;Resumen!$C$4+30,"Caduca pronto","OK"))))))</f>
        <v/>
      </c>
      <c r="W57" s="26" t="str">
        <f aca="false">IF(OR($A57="",W$4=""),"",IF(NOT(OR(W$6="Toda la plantilla",ISNUMBER(SEARCH(";"&amp;SUBSTITUTE($C57," ","")&amp;";",";"&amp;SUBSTITUTE(W$7," ","")&amp;";")))),"—",IF(_xlfn.MAXIFS(Acuses!$C$5:$C$3004,Acuses!$A$5:$A$3004,$A57,Acuses!$B$5:$B$3004,W$4)&lt;W$5,"Pendiente",IF(W$8=0,"OK",IF(EDATE(_xlfn.MAXIFS(Acuses!$D$5:$D$3004,Acuses!$A$5:$A$3004,$A57,Acuses!$B$5:$B$3004,W$4,Acuses!$C$5:$C$3004,W$5),W$8)&lt;Resumen!$C$4,"Caducado",IF(EDATE(_xlfn.MAXIFS(Acuses!$D$5:$D$3004,Acuses!$A$5:$A$3004,$A57,Acuses!$B$5:$B$3004,W$4,Acuses!$C$5:$C$3004,W$5),W$8)&lt;Resumen!$C$4+30,"Caduca pronto","OK"))))))</f>
        <v/>
      </c>
      <c r="X57" s="26" t="str">
        <f aca="false">IF(OR($A57="",X$4=""),"",IF(NOT(OR(X$6="Toda la plantilla",ISNUMBER(SEARCH(";"&amp;SUBSTITUTE($C57," ","")&amp;";",";"&amp;SUBSTITUTE(X$7," ","")&amp;";")))),"—",IF(_xlfn.MAXIFS(Acuses!$C$5:$C$3004,Acuses!$A$5:$A$3004,$A57,Acuses!$B$5:$B$3004,X$4)&lt;X$5,"Pendiente",IF(X$8=0,"OK",IF(EDATE(_xlfn.MAXIFS(Acuses!$D$5:$D$3004,Acuses!$A$5:$A$3004,$A57,Acuses!$B$5:$B$3004,X$4,Acuses!$C$5:$C$3004,X$5),X$8)&lt;Resumen!$C$4,"Caducado",IF(EDATE(_xlfn.MAXIFS(Acuses!$D$5:$D$3004,Acuses!$A$5:$A$3004,$A57,Acuses!$B$5:$B$3004,X$4,Acuses!$C$5:$C$3004,X$5),X$8)&lt;Resumen!$C$4+30,"Caduca pronto","OK"))))))</f>
        <v/>
      </c>
      <c r="Y57" s="26" t="str">
        <f aca="false">IF(OR($A57="",Y$4=""),"",IF(NOT(OR(Y$6="Toda la plantilla",ISNUMBER(SEARCH(";"&amp;SUBSTITUTE($C57," ","")&amp;";",";"&amp;SUBSTITUTE(Y$7," ","")&amp;";")))),"—",IF(_xlfn.MAXIFS(Acuses!$C$5:$C$3004,Acuses!$A$5:$A$3004,$A57,Acuses!$B$5:$B$3004,Y$4)&lt;Y$5,"Pendiente",IF(Y$8=0,"OK",IF(EDATE(_xlfn.MAXIFS(Acuses!$D$5:$D$3004,Acuses!$A$5:$A$3004,$A57,Acuses!$B$5:$B$3004,Y$4,Acuses!$C$5:$C$3004,Y$5),Y$8)&lt;Resumen!$C$4,"Caducado",IF(EDATE(_xlfn.MAXIFS(Acuses!$D$5:$D$3004,Acuses!$A$5:$A$3004,$A57,Acuses!$B$5:$B$3004,Y$4,Acuses!$C$5:$C$3004,Y$5),Y$8)&lt;Resumen!$C$4+30,"Caduca pronto","OK"))))))</f>
        <v/>
      </c>
      <c r="Z57" s="26" t="str">
        <f aca="false">IF(OR($A57="",Z$4=""),"",IF(NOT(OR(Z$6="Toda la plantilla",ISNUMBER(SEARCH(";"&amp;SUBSTITUTE($C57," ","")&amp;";",";"&amp;SUBSTITUTE(Z$7," ","")&amp;";")))),"—",IF(_xlfn.MAXIFS(Acuses!$C$5:$C$3004,Acuses!$A$5:$A$3004,$A57,Acuses!$B$5:$B$3004,Z$4)&lt;Z$5,"Pendiente",IF(Z$8=0,"OK",IF(EDATE(_xlfn.MAXIFS(Acuses!$D$5:$D$3004,Acuses!$A$5:$A$3004,$A57,Acuses!$B$5:$B$3004,Z$4,Acuses!$C$5:$C$3004,Z$5),Z$8)&lt;Resumen!$C$4,"Caducado",IF(EDATE(_xlfn.MAXIFS(Acuses!$D$5:$D$3004,Acuses!$A$5:$A$3004,$A57,Acuses!$B$5:$B$3004,Z$4,Acuses!$C$5:$C$3004,Z$5),Z$8)&lt;Resumen!$C$4+30,"Caduca pronto","OK"))))))</f>
        <v/>
      </c>
      <c r="AA57" s="26" t="str">
        <f aca="false">IF(OR($A57="",AA$4=""),"",IF(NOT(OR(AA$6="Toda la plantilla",ISNUMBER(SEARCH(";"&amp;SUBSTITUTE($C57," ","")&amp;";",";"&amp;SUBSTITUTE(AA$7," ","")&amp;";")))),"—",IF(_xlfn.MAXIFS(Acuses!$C$5:$C$3004,Acuses!$A$5:$A$3004,$A57,Acuses!$B$5:$B$3004,AA$4)&lt;AA$5,"Pendiente",IF(AA$8=0,"OK",IF(EDATE(_xlfn.MAXIFS(Acuses!$D$5:$D$3004,Acuses!$A$5:$A$3004,$A57,Acuses!$B$5:$B$3004,AA$4,Acuses!$C$5:$C$3004,AA$5),AA$8)&lt;Resumen!$C$4,"Caducado",IF(EDATE(_xlfn.MAXIFS(Acuses!$D$5:$D$3004,Acuses!$A$5:$A$3004,$A57,Acuses!$B$5:$B$3004,AA$4,Acuses!$C$5:$C$3004,AA$5),AA$8)&lt;Resumen!$C$4+30,"Caduca pronto","OK"))))))</f>
        <v/>
      </c>
      <c r="AB57" s="26" t="str">
        <f aca="false">IF(OR($A57="",AB$4=""),"",IF(NOT(OR(AB$6="Toda la plantilla",ISNUMBER(SEARCH(";"&amp;SUBSTITUTE($C57," ","")&amp;";",";"&amp;SUBSTITUTE(AB$7," ","")&amp;";")))),"—",IF(_xlfn.MAXIFS(Acuses!$C$5:$C$3004,Acuses!$A$5:$A$3004,$A57,Acuses!$B$5:$B$3004,AB$4)&lt;AB$5,"Pendiente",IF(AB$8=0,"OK",IF(EDATE(_xlfn.MAXIFS(Acuses!$D$5:$D$3004,Acuses!$A$5:$A$3004,$A57,Acuses!$B$5:$B$3004,AB$4,Acuses!$C$5:$C$3004,AB$5),AB$8)&lt;Resumen!$C$4,"Caducado",IF(EDATE(_xlfn.MAXIFS(Acuses!$D$5:$D$3004,Acuses!$A$5:$A$3004,$A57,Acuses!$B$5:$B$3004,AB$4,Acuses!$C$5:$C$3004,AB$5),AB$8)&lt;Resumen!$C$4+30,"Caduca pronto","OK"))))))</f>
        <v/>
      </c>
      <c r="AC57" s="26" t="str">
        <f aca="false">IF(OR($A57="",AC$4=""),"",IF(NOT(OR(AC$6="Toda la plantilla",ISNUMBER(SEARCH(";"&amp;SUBSTITUTE($C57," ","")&amp;";",";"&amp;SUBSTITUTE(AC$7," ","")&amp;";")))),"—",IF(_xlfn.MAXIFS(Acuses!$C$5:$C$3004,Acuses!$A$5:$A$3004,$A57,Acuses!$B$5:$B$3004,AC$4)&lt;AC$5,"Pendiente",IF(AC$8=0,"OK",IF(EDATE(_xlfn.MAXIFS(Acuses!$D$5:$D$3004,Acuses!$A$5:$A$3004,$A57,Acuses!$B$5:$B$3004,AC$4,Acuses!$C$5:$C$3004,AC$5),AC$8)&lt;Resumen!$C$4,"Caducado",IF(EDATE(_xlfn.MAXIFS(Acuses!$D$5:$D$3004,Acuses!$A$5:$A$3004,$A57,Acuses!$B$5:$B$3004,AC$4,Acuses!$C$5:$C$3004,AC$5),AC$8)&lt;Resumen!$C$4+30,"Caduca pronto","OK"))))))</f>
        <v/>
      </c>
      <c r="AD57" s="26" t="str">
        <f aca="false">IF(OR($A57="",AD$4=""),"",IF(NOT(OR(AD$6="Toda la plantilla",ISNUMBER(SEARCH(";"&amp;SUBSTITUTE($C57," ","")&amp;";",";"&amp;SUBSTITUTE(AD$7," ","")&amp;";")))),"—",IF(_xlfn.MAXIFS(Acuses!$C$5:$C$3004,Acuses!$A$5:$A$3004,$A57,Acuses!$B$5:$B$3004,AD$4)&lt;AD$5,"Pendiente",IF(AD$8=0,"OK",IF(EDATE(_xlfn.MAXIFS(Acuses!$D$5:$D$3004,Acuses!$A$5:$A$3004,$A57,Acuses!$B$5:$B$3004,AD$4,Acuses!$C$5:$C$3004,AD$5),AD$8)&lt;Resumen!$C$4,"Caducado",IF(EDATE(_xlfn.MAXIFS(Acuses!$D$5:$D$3004,Acuses!$A$5:$A$3004,$A57,Acuses!$B$5:$B$3004,AD$4,Acuses!$C$5:$C$3004,AD$5),AD$8)&lt;Resumen!$C$4+30,"Caduca pronto","OK"))))))</f>
        <v/>
      </c>
      <c r="AE57" s="26" t="str">
        <f aca="false">IF(OR($A57="",AE$4=""),"",IF(NOT(OR(AE$6="Toda la plantilla",ISNUMBER(SEARCH(";"&amp;SUBSTITUTE($C57," ","")&amp;";",";"&amp;SUBSTITUTE(AE$7," ","")&amp;";")))),"—",IF(_xlfn.MAXIFS(Acuses!$C$5:$C$3004,Acuses!$A$5:$A$3004,$A57,Acuses!$B$5:$B$3004,AE$4)&lt;AE$5,"Pendiente",IF(AE$8=0,"OK",IF(EDATE(_xlfn.MAXIFS(Acuses!$D$5:$D$3004,Acuses!$A$5:$A$3004,$A57,Acuses!$B$5:$B$3004,AE$4,Acuses!$C$5:$C$3004,AE$5),AE$8)&lt;Resumen!$C$4,"Caducado",IF(EDATE(_xlfn.MAXIFS(Acuses!$D$5:$D$3004,Acuses!$A$5:$A$3004,$A57,Acuses!$B$5:$B$3004,AE$4,Acuses!$C$5:$C$3004,AE$5),AE$8)&lt;Resumen!$C$4+30,"Caduca pronto","OK"))))))</f>
        <v/>
      </c>
      <c r="AF57" s="26" t="str">
        <f aca="false">IF(OR($A57="",AF$4=""),"",IF(NOT(OR(AF$6="Toda la plantilla",ISNUMBER(SEARCH(";"&amp;SUBSTITUTE($C57," ","")&amp;";",";"&amp;SUBSTITUTE(AF$7," ","")&amp;";")))),"—",IF(_xlfn.MAXIFS(Acuses!$C$5:$C$3004,Acuses!$A$5:$A$3004,$A57,Acuses!$B$5:$B$3004,AF$4)&lt;AF$5,"Pendiente",IF(AF$8=0,"OK",IF(EDATE(_xlfn.MAXIFS(Acuses!$D$5:$D$3004,Acuses!$A$5:$A$3004,$A57,Acuses!$B$5:$B$3004,AF$4,Acuses!$C$5:$C$3004,AF$5),AF$8)&lt;Resumen!$C$4,"Caducado",IF(EDATE(_xlfn.MAXIFS(Acuses!$D$5:$D$3004,Acuses!$A$5:$A$3004,$A57,Acuses!$B$5:$B$3004,AF$4,Acuses!$C$5:$C$3004,AF$5),AF$8)&lt;Resumen!$C$4+30,"Caduca pronto","OK"))))))</f>
        <v/>
      </c>
      <c r="AG57" s="26" t="str">
        <f aca="false">IF(OR($A57="",AG$4=""),"",IF(NOT(OR(AG$6="Toda la plantilla",ISNUMBER(SEARCH(";"&amp;SUBSTITUTE($C57," ","")&amp;";",";"&amp;SUBSTITUTE(AG$7," ","")&amp;";")))),"—",IF(_xlfn.MAXIFS(Acuses!$C$5:$C$3004,Acuses!$A$5:$A$3004,$A57,Acuses!$B$5:$B$3004,AG$4)&lt;AG$5,"Pendiente",IF(AG$8=0,"OK",IF(EDATE(_xlfn.MAXIFS(Acuses!$D$5:$D$3004,Acuses!$A$5:$A$3004,$A57,Acuses!$B$5:$B$3004,AG$4,Acuses!$C$5:$C$3004,AG$5),AG$8)&lt;Resumen!$C$4,"Caducado",IF(EDATE(_xlfn.MAXIFS(Acuses!$D$5:$D$3004,Acuses!$A$5:$A$3004,$A57,Acuses!$B$5:$B$3004,AG$4,Acuses!$C$5:$C$3004,AG$5),AG$8)&lt;Resumen!$C$4+30,"Caduca pronto","OK"))))))</f>
        <v/>
      </c>
      <c r="AH57" s="26" t="str">
        <f aca="false">IF(OR($A57="",AH$4=""),"",IF(NOT(OR(AH$6="Toda la plantilla",ISNUMBER(SEARCH(";"&amp;SUBSTITUTE($C57," ","")&amp;";",";"&amp;SUBSTITUTE(AH$7," ","")&amp;";")))),"—",IF(_xlfn.MAXIFS(Acuses!$C$5:$C$3004,Acuses!$A$5:$A$3004,$A57,Acuses!$B$5:$B$3004,AH$4)&lt;AH$5,"Pendiente",IF(AH$8=0,"OK",IF(EDATE(_xlfn.MAXIFS(Acuses!$D$5:$D$3004,Acuses!$A$5:$A$3004,$A57,Acuses!$B$5:$B$3004,AH$4,Acuses!$C$5:$C$3004,AH$5),AH$8)&lt;Resumen!$C$4,"Caducado",IF(EDATE(_xlfn.MAXIFS(Acuses!$D$5:$D$3004,Acuses!$A$5:$A$3004,$A57,Acuses!$B$5:$B$3004,AH$4,Acuses!$C$5:$C$3004,AH$5),AH$8)&lt;Resumen!$C$4+30,"Caduca pronto","OK"))))))</f>
        <v/>
      </c>
      <c r="AI57" s="26" t="str">
        <f aca="false">IF(OR($A57="",AI$4=""),"",IF(NOT(OR(AI$6="Toda la plantilla",ISNUMBER(SEARCH(";"&amp;SUBSTITUTE($C57," ","")&amp;";",";"&amp;SUBSTITUTE(AI$7," ","")&amp;";")))),"—",IF(_xlfn.MAXIFS(Acuses!$C$5:$C$3004,Acuses!$A$5:$A$3004,$A57,Acuses!$B$5:$B$3004,AI$4)&lt;AI$5,"Pendiente",IF(AI$8=0,"OK",IF(EDATE(_xlfn.MAXIFS(Acuses!$D$5:$D$3004,Acuses!$A$5:$A$3004,$A57,Acuses!$B$5:$B$3004,AI$4,Acuses!$C$5:$C$3004,AI$5),AI$8)&lt;Resumen!$C$4,"Caducado",IF(EDATE(_xlfn.MAXIFS(Acuses!$D$5:$D$3004,Acuses!$A$5:$A$3004,$A57,Acuses!$B$5:$B$3004,AI$4,Acuses!$C$5:$C$3004,AI$5),AI$8)&lt;Resumen!$C$4+30,"Caduca pronto","OK"))))))</f>
        <v/>
      </c>
      <c r="AJ57" s="26" t="str">
        <f aca="false">IF(OR($A57="",AJ$4=""),"",IF(NOT(OR(AJ$6="Toda la plantilla",ISNUMBER(SEARCH(";"&amp;SUBSTITUTE($C57," ","")&amp;";",";"&amp;SUBSTITUTE(AJ$7," ","")&amp;";")))),"—",IF(_xlfn.MAXIFS(Acuses!$C$5:$C$3004,Acuses!$A$5:$A$3004,$A57,Acuses!$B$5:$B$3004,AJ$4)&lt;AJ$5,"Pendiente",IF(AJ$8=0,"OK",IF(EDATE(_xlfn.MAXIFS(Acuses!$D$5:$D$3004,Acuses!$A$5:$A$3004,$A57,Acuses!$B$5:$B$3004,AJ$4,Acuses!$C$5:$C$3004,AJ$5),AJ$8)&lt;Resumen!$C$4,"Caducado",IF(EDATE(_xlfn.MAXIFS(Acuses!$D$5:$D$3004,Acuses!$A$5:$A$3004,$A57,Acuses!$B$5:$B$3004,AJ$4,Acuses!$C$5:$C$3004,AJ$5),AJ$8)&lt;Resumen!$C$4+30,"Caduca pronto","OK"))))))</f>
        <v/>
      </c>
      <c r="AK57" s="26" t="str">
        <f aca="false">IF(OR($A57="",AK$4=""),"",IF(NOT(OR(AK$6="Toda la plantilla",ISNUMBER(SEARCH(";"&amp;SUBSTITUTE($C57," ","")&amp;";",";"&amp;SUBSTITUTE(AK$7," ","")&amp;";")))),"—",IF(_xlfn.MAXIFS(Acuses!$C$5:$C$3004,Acuses!$A$5:$A$3004,$A57,Acuses!$B$5:$B$3004,AK$4)&lt;AK$5,"Pendiente",IF(AK$8=0,"OK",IF(EDATE(_xlfn.MAXIFS(Acuses!$D$5:$D$3004,Acuses!$A$5:$A$3004,$A57,Acuses!$B$5:$B$3004,AK$4,Acuses!$C$5:$C$3004,AK$5),AK$8)&lt;Resumen!$C$4,"Caducado",IF(EDATE(_xlfn.MAXIFS(Acuses!$D$5:$D$3004,Acuses!$A$5:$A$3004,$A57,Acuses!$B$5:$B$3004,AK$4,Acuses!$C$5:$C$3004,AK$5),AK$8)&lt;Resumen!$C$4+30,"Caduca pronto","OK"))))))</f>
        <v/>
      </c>
      <c r="AL57" s="26" t="str">
        <f aca="false">IF(OR($A57="",AL$4=""),"",IF(NOT(OR(AL$6="Toda la plantilla",ISNUMBER(SEARCH(";"&amp;SUBSTITUTE($C57," ","")&amp;";",";"&amp;SUBSTITUTE(AL$7," ","")&amp;";")))),"—",IF(_xlfn.MAXIFS(Acuses!$C$5:$C$3004,Acuses!$A$5:$A$3004,$A57,Acuses!$B$5:$B$3004,AL$4)&lt;AL$5,"Pendiente",IF(AL$8=0,"OK",IF(EDATE(_xlfn.MAXIFS(Acuses!$D$5:$D$3004,Acuses!$A$5:$A$3004,$A57,Acuses!$B$5:$B$3004,AL$4,Acuses!$C$5:$C$3004,AL$5),AL$8)&lt;Resumen!$C$4,"Caducado",IF(EDATE(_xlfn.MAXIFS(Acuses!$D$5:$D$3004,Acuses!$A$5:$A$3004,$A57,Acuses!$B$5:$B$3004,AL$4,Acuses!$C$5:$C$3004,AL$5),AL$8)&lt;Resumen!$C$4+30,"Caduca pronto","OK"))))))</f>
        <v/>
      </c>
      <c r="AM57" s="26" t="str">
        <f aca="false">IF(OR($A57="",AM$4=""),"",IF(NOT(OR(AM$6="Toda la plantilla",ISNUMBER(SEARCH(";"&amp;SUBSTITUTE($C57," ","")&amp;";",";"&amp;SUBSTITUTE(AM$7," ","")&amp;";")))),"—",IF(_xlfn.MAXIFS(Acuses!$C$5:$C$3004,Acuses!$A$5:$A$3004,$A57,Acuses!$B$5:$B$3004,AM$4)&lt;AM$5,"Pendiente",IF(AM$8=0,"OK",IF(EDATE(_xlfn.MAXIFS(Acuses!$D$5:$D$3004,Acuses!$A$5:$A$3004,$A57,Acuses!$B$5:$B$3004,AM$4,Acuses!$C$5:$C$3004,AM$5),AM$8)&lt;Resumen!$C$4,"Caducado",IF(EDATE(_xlfn.MAXIFS(Acuses!$D$5:$D$3004,Acuses!$A$5:$A$3004,$A57,Acuses!$B$5:$B$3004,AM$4,Acuses!$C$5:$C$3004,AM$5),AM$8)&lt;Resumen!$C$4+30,"Caduca pronto","OK"))))))</f>
        <v/>
      </c>
      <c r="AN57" s="26" t="str">
        <f aca="false">IF(OR($A57="",AN$4=""),"",IF(NOT(OR(AN$6="Toda la plantilla",ISNUMBER(SEARCH(";"&amp;SUBSTITUTE($C57," ","")&amp;";",";"&amp;SUBSTITUTE(AN$7," ","")&amp;";")))),"—",IF(_xlfn.MAXIFS(Acuses!$C$5:$C$3004,Acuses!$A$5:$A$3004,$A57,Acuses!$B$5:$B$3004,AN$4)&lt;AN$5,"Pendiente",IF(AN$8=0,"OK",IF(EDATE(_xlfn.MAXIFS(Acuses!$D$5:$D$3004,Acuses!$A$5:$A$3004,$A57,Acuses!$B$5:$B$3004,AN$4,Acuses!$C$5:$C$3004,AN$5),AN$8)&lt;Resumen!$C$4,"Caducado",IF(EDATE(_xlfn.MAXIFS(Acuses!$D$5:$D$3004,Acuses!$A$5:$A$3004,$A57,Acuses!$B$5:$B$3004,AN$4,Acuses!$C$5:$C$3004,AN$5),AN$8)&lt;Resumen!$C$4+30,"Caduca pronto","OK"))))))</f>
        <v/>
      </c>
      <c r="AO57" s="26" t="str">
        <f aca="false">IF(OR($A57="",AO$4=""),"",IF(NOT(OR(AO$6="Toda la plantilla",ISNUMBER(SEARCH(";"&amp;SUBSTITUTE($C57," ","")&amp;";",";"&amp;SUBSTITUTE(AO$7," ","")&amp;";")))),"—",IF(_xlfn.MAXIFS(Acuses!$C$5:$C$3004,Acuses!$A$5:$A$3004,$A57,Acuses!$B$5:$B$3004,AO$4)&lt;AO$5,"Pendiente",IF(AO$8=0,"OK",IF(EDATE(_xlfn.MAXIFS(Acuses!$D$5:$D$3004,Acuses!$A$5:$A$3004,$A57,Acuses!$B$5:$B$3004,AO$4,Acuses!$C$5:$C$3004,AO$5),AO$8)&lt;Resumen!$C$4,"Caducado",IF(EDATE(_xlfn.MAXIFS(Acuses!$D$5:$D$3004,Acuses!$A$5:$A$3004,$A57,Acuses!$B$5:$B$3004,AO$4,Acuses!$C$5:$C$3004,AO$5),AO$8)&lt;Resumen!$C$4+30,"Caduca pronto","OK"))))))</f>
        <v/>
      </c>
      <c r="AP57" s="26" t="str">
        <f aca="false">IF(OR($A57="",AP$4=""),"",IF(NOT(OR(AP$6="Toda la plantilla",ISNUMBER(SEARCH(";"&amp;SUBSTITUTE($C57," ","")&amp;";",";"&amp;SUBSTITUTE(AP$7," ","")&amp;";")))),"—",IF(_xlfn.MAXIFS(Acuses!$C$5:$C$3004,Acuses!$A$5:$A$3004,$A57,Acuses!$B$5:$B$3004,AP$4)&lt;AP$5,"Pendiente",IF(AP$8=0,"OK",IF(EDATE(_xlfn.MAXIFS(Acuses!$D$5:$D$3004,Acuses!$A$5:$A$3004,$A57,Acuses!$B$5:$B$3004,AP$4,Acuses!$C$5:$C$3004,AP$5),AP$8)&lt;Resumen!$C$4,"Caducado",IF(EDATE(_xlfn.MAXIFS(Acuses!$D$5:$D$3004,Acuses!$A$5:$A$3004,$A57,Acuses!$B$5:$B$3004,AP$4,Acuses!$C$5:$C$3004,AP$5),AP$8)&lt;Resumen!$C$4+30,"Caduca pronto","OK"))))))</f>
        <v/>
      </c>
      <c r="AQ57" s="26" t="str">
        <f aca="false">IF(OR($A57="",AQ$4=""),"",IF(NOT(OR(AQ$6="Toda la plantilla",ISNUMBER(SEARCH(";"&amp;SUBSTITUTE($C57," ","")&amp;";",";"&amp;SUBSTITUTE(AQ$7," ","")&amp;";")))),"—",IF(_xlfn.MAXIFS(Acuses!$C$5:$C$3004,Acuses!$A$5:$A$3004,$A57,Acuses!$B$5:$B$3004,AQ$4)&lt;AQ$5,"Pendiente",IF(AQ$8=0,"OK",IF(EDATE(_xlfn.MAXIFS(Acuses!$D$5:$D$3004,Acuses!$A$5:$A$3004,$A57,Acuses!$B$5:$B$3004,AQ$4,Acuses!$C$5:$C$3004,AQ$5),AQ$8)&lt;Resumen!$C$4,"Caducado",IF(EDATE(_xlfn.MAXIFS(Acuses!$D$5:$D$3004,Acuses!$A$5:$A$3004,$A57,Acuses!$B$5:$B$3004,AQ$4,Acuses!$C$5:$C$3004,AQ$5),AQ$8)&lt;Resumen!$C$4+30,"Caduca pronto","OK"))))))</f>
        <v/>
      </c>
    </row>
    <row r="58" customFormat="false" ht="15" hidden="false" customHeight="false" outlineLevel="0" collapsed="false">
      <c r="A58" s="25" t="str">
        <f aca="false">IF(AND(Trabajadores!$A$53&lt;&gt;"",Trabajadores!$G$53&lt;&gt;"No"),Trabajadores!$A$53,"")</f>
        <v/>
      </c>
      <c r="B58" s="25" t="str">
        <f aca="false">IF($A58="","",Trabajadores!$B$53)</f>
        <v/>
      </c>
      <c r="C58" s="25" t="str">
        <f aca="false">IF($A58="","",Trabajadores!$C$53)</f>
        <v/>
      </c>
      <c r="D58" s="26" t="str">
        <f aca="false">IF(OR($A58="",D$4=""),"",IF(NOT(OR(D$6="Toda la plantilla",ISNUMBER(SEARCH(";"&amp;SUBSTITUTE($C58," ","")&amp;";",";"&amp;SUBSTITUTE(D$7," ","")&amp;";")))),"—",IF(_xlfn.MAXIFS(Acuses!$C$5:$C$3004,Acuses!$A$5:$A$3004,$A58,Acuses!$B$5:$B$3004,D$4)&lt;D$5,"Pendiente",IF(D$8=0,"OK",IF(EDATE(_xlfn.MAXIFS(Acuses!$D$5:$D$3004,Acuses!$A$5:$A$3004,$A58,Acuses!$B$5:$B$3004,D$4,Acuses!$C$5:$C$3004,D$5),D$8)&lt;Resumen!$C$4,"Caducado",IF(EDATE(_xlfn.MAXIFS(Acuses!$D$5:$D$3004,Acuses!$A$5:$A$3004,$A58,Acuses!$B$5:$B$3004,D$4,Acuses!$C$5:$C$3004,D$5),D$8)&lt;Resumen!$C$4+30,"Caduca pronto","OK"))))))</f>
        <v/>
      </c>
      <c r="E58" s="26" t="str">
        <f aca="false">IF(OR($A58="",E$4=""),"",IF(NOT(OR(E$6="Toda la plantilla",ISNUMBER(SEARCH(";"&amp;SUBSTITUTE($C58," ","")&amp;";",";"&amp;SUBSTITUTE(E$7," ","")&amp;";")))),"—",IF(_xlfn.MAXIFS(Acuses!$C$5:$C$3004,Acuses!$A$5:$A$3004,$A58,Acuses!$B$5:$B$3004,E$4)&lt;E$5,"Pendiente",IF(E$8=0,"OK",IF(EDATE(_xlfn.MAXIFS(Acuses!$D$5:$D$3004,Acuses!$A$5:$A$3004,$A58,Acuses!$B$5:$B$3004,E$4,Acuses!$C$5:$C$3004,E$5),E$8)&lt;Resumen!$C$4,"Caducado",IF(EDATE(_xlfn.MAXIFS(Acuses!$D$5:$D$3004,Acuses!$A$5:$A$3004,$A58,Acuses!$B$5:$B$3004,E$4,Acuses!$C$5:$C$3004,E$5),E$8)&lt;Resumen!$C$4+30,"Caduca pronto","OK"))))))</f>
        <v/>
      </c>
      <c r="F58" s="26" t="str">
        <f aca="false">IF(OR($A58="",F$4=""),"",IF(NOT(OR(F$6="Toda la plantilla",ISNUMBER(SEARCH(";"&amp;SUBSTITUTE($C58," ","")&amp;";",";"&amp;SUBSTITUTE(F$7," ","")&amp;";")))),"—",IF(_xlfn.MAXIFS(Acuses!$C$5:$C$3004,Acuses!$A$5:$A$3004,$A58,Acuses!$B$5:$B$3004,F$4)&lt;F$5,"Pendiente",IF(F$8=0,"OK",IF(EDATE(_xlfn.MAXIFS(Acuses!$D$5:$D$3004,Acuses!$A$5:$A$3004,$A58,Acuses!$B$5:$B$3004,F$4,Acuses!$C$5:$C$3004,F$5),F$8)&lt;Resumen!$C$4,"Caducado",IF(EDATE(_xlfn.MAXIFS(Acuses!$D$5:$D$3004,Acuses!$A$5:$A$3004,$A58,Acuses!$B$5:$B$3004,F$4,Acuses!$C$5:$C$3004,F$5),F$8)&lt;Resumen!$C$4+30,"Caduca pronto","OK"))))))</f>
        <v/>
      </c>
      <c r="G58" s="26" t="str">
        <f aca="false">IF(OR($A58="",G$4=""),"",IF(NOT(OR(G$6="Toda la plantilla",ISNUMBER(SEARCH(";"&amp;SUBSTITUTE($C58," ","")&amp;";",";"&amp;SUBSTITUTE(G$7," ","")&amp;";")))),"—",IF(_xlfn.MAXIFS(Acuses!$C$5:$C$3004,Acuses!$A$5:$A$3004,$A58,Acuses!$B$5:$B$3004,G$4)&lt;G$5,"Pendiente",IF(G$8=0,"OK",IF(EDATE(_xlfn.MAXIFS(Acuses!$D$5:$D$3004,Acuses!$A$5:$A$3004,$A58,Acuses!$B$5:$B$3004,G$4,Acuses!$C$5:$C$3004,G$5),G$8)&lt;Resumen!$C$4,"Caducado",IF(EDATE(_xlfn.MAXIFS(Acuses!$D$5:$D$3004,Acuses!$A$5:$A$3004,$A58,Acuses!$B$5:$B$3004,G$4,Acuses!$C$5:$C$3004,G$5),G$8)&lt;Resumen!$C$4+30,"Caduca pronto","OK"))))))</f>
        <v/>
      </c>
      <c r="H58" s="26" t="str">
        <f aca="false">IF(OR($A58="",H$4=""),"",IF(NOT(OR(H$6="Toda la plantilla",ISNUMBER(SEARCH(";"&amp;SUBSTITUTE($C58," ","")&amp;";",";"&amp;SUBSTITUTE(H$7," ","")&amp;";")))),"—",IF(_xlfn.MAXIFS(Acuses!$C$5:$C$3004,Acuses!$A$5:$A$3004,$A58,Acuses!$B$5:$B$3004,H$4)&lt;H$5,"Pendiente",IF(H$8=0,"OK",IF(EDATE(_xlfn.MAXIFS(Acuses!$D$5:$D$3004,Acuses!$A$5:$A$3004,$A58,Acuses!$B$5:$B$3004,H$4,Acuses!$C$5:$C$3004,H$5),H$8)&lt;Resumen!$C$4,"Caducado",IF(EDATE(_xlfn.MAXIFS(Acuses!$D$5:$D$3004,Acuses!$A$5:$A$3004,$A58,Acuses!$B$5:$B$3004,H$4,Acuses!$C$5:$C$3004,H$5),H$8)&lt;Resumen!$C$4+30,"Caduca pronto","OK"))))))</f>
        <v/>
      </c>
      <c r="I58" s="26" t="str">
        <f aca="false">IF(OR($A58="",I$4=""),"",IF(NOT(OR(I$6="Toda la plantilla",ISNUMBER(SEARCH(";"&amp;SUBSTITUTE($C58," ","")&amp;";",";"&amp;SUBSTITUTE(I$7," ","")&amp;";")))),"—",IF(_xlfn.MAXIFS(Acuses!$C$5:$C$3004,Acuses!$A$5:$A$3004,$A58,Acuses!$B$5:$B$3004,I$4)&lt;I$5,"Pendiente",IF(I$8=0,"OK",IF(EDATE(_xlfn.MAXIFS(Acuses!$D$5:$D$3004,Acuses!$A$5:$A$3004,$A58,Acuses!$B$5:$B$3004,I$4,Acuses!$C$5:$C$3004,I$5),I$8)&lt;Resumen!$C$4,"Caducado",IF(EDATE(_xlfn.MAXIFS(Acuses!$D$5:$D$3004,Acuses!$A$5:$A$3004,$A58,Acuses!$B$5:$B$3004,I$4,Acuses!$C$5:$C$3004,I$5),I$8)&lt;Resumen!$C$4+30,"Caduca pronto","OK"))))))</f>
        <v/>
      </c>
      <c r="J58" s="26" t="str">
        <f aca="false">IF(OR($A58="",J$4=""),"",IF(NOT(OR(J$6="Toda la plantilla",ISNUMBER(SEARCH(";"&amp;SUBSTITUTE($C58," ","")&amp;";",";"&amp;SUBSTITUTE(J$7," ","")&amp;";")))),"—",IF(_xlfn.MAXIFS(Acuses!$C$5:$C$3004,Acuses!$A$5:$A$3004,$A58,Acuses!$B$5:$B$3004,J$4)&lt;J$5,"Pendiente",IF(J$8=0,"OK",IF(EDATE(_xlfn.MAXIFS(Acuses!$D$5:$D$3004,Acuses!$A$5:$A$3004,$A58,Acuses!$B$5:$B$3004,J$4,Acuses!$C$5:$C$3004,J$5),J$8)&lt;Resumen!$C$4,"Caducado",IF(EDATE(_xlfn.MAXIFS(Acuses!$D$5:$D$3004,Acuses!$A$5:$A$3004,$A58,Acuses!$B$5:$B$3004,J$4,Acuses!$C$5:$C$3004,J$5),J$8)&lt;Resumen!$C$4+30,"Caduca pronto","OK"))))))</f>
        <v/>
      </c>
      <c r="K58" s="26" t="str">
        <f aca="false">IF(OR($A58="",K$4=""),"",IF(NOT(OR(K$6="Toda la plantilla",ISNUMBER(SEARCH(";"&amp;SUBSTITUTE($C58," ","")&amp;";",";"&amp;SUBSTITUTE(K$7," ","")&amp;";")))),"—",IF(_xlfn.MAXIFS(Acuses!$C$5:$C$3004,Acuses!$A$5:$A$3004,$A58,Acuses!$B$5:$B$3004,K$4)&lt;K$5,"Pendiente",IF(K$8=0,"OK",IF(EDATE(_xlfn.MAXIFS(Acuses!$D$5:$D$3004,Acuses!$A$5:$A$3004,$A58,Acuses!$B$5:$B$3004,K$4,Acuses!$C$5:$C$3004,K$5),K$8)&lt;Resumen!$C$4,"Caducado",IF(EDATE(_xlfn.MAXIFS(Acuses!$D$5:$D$3004,Acuses!$A$5:$A$3004,$A58,Acuses!$B$5:$B$3004,K$4,Acuses!$C$5:$C$3004,K$5),K$8)&lt;Resumen!$C$4+30,"Caduca pronto","OK"))))))</f>
        <v/>
      </c>
      <c r="L58" s="26" t="str">
        <f aca="false">IF(OR($A58="",L$4=""),"",IF(NOT(OR(L$6="Toda la plantilla",ISNUMBER(SEARCH(";"&amp;SUBSTITUTE($C58," ","")&amp;";",";"&amp;SUBSTITUTE(L$7," ","")&amp;";")))),"—",IF(_xlfn.MAXIFS(Acuses!$C$5:$C$3004,Acuses!$A$5:$A$3004,$A58,Acuses!$B$5:$B$3004,L$4)&lt;L$5,"Pendiente",IF(L$8=0,"OK",IF(EDATE(_xlfn.MAXIFS(Acuses!$D$5:$D$3004,Acuses!$A$5:$A$3004,$A58,Acuses!$B$5:$B$3004,L$4,Acuses!$C$5:$C$3004,L$5),L$8)&lt;Resumen!$C$4,"Caducado",IF(EDATE(_xlfn.MAXIFS(Acuses!$D$5:$D$3004,Acuses!$A$5:$A$3004,$A58,Acuses!$B$5:$B$3004,L$4,Acuses!$C$5:$C$3004,L$5),L$8)&lt;Resumen!$C$4+30,"Caduca pronto","OK"))))))</f>
        <v/>
      </c>
      <c r="M58" s="26" t="str">
        <f aca="false">IF(OR($A58="",M$4=""),"",IF(NOT(OR(M$6="Toda la plantilla",ISNUMBER(SEARCH(";"&amp;SUBSTITUTE($C58," ","")&amp;";",";"&amp;SUBSTITUTE(M$7," ","")&amp;";")))),"—",IF(_xlfn.MAXIFS(Acuses!$C$5:$C$3004,Acuses!$A$5:$A$3004,$A58,Acuses!$B$5:$B$3004,M$4)&lt;M$5,"Pendiente",IF(M$8=0,"OK",IF(EDATE(_xlfn.MAXIFS(Acuses!$D$5:$D$3004,Acuses!$A$5:$A$3004,$A58,Acuses!$B$5:$B$3004,M$4,Acuses!$C$5:$C$3004,M$5),M$8)&lt;Resumen!$C$4,"Caducado",IF(EDATE(_xlfn.MAXIFS(Acuses!$D$5:$D$3004,Acuses!$A$5:$A$3004,$A58,Acuses!$B$5:$B$3004,M$4,Acuses!$C$5:$C$3004,M$5),M$8)&lt;Resumen!$C$4+30,"Caduca pronto","OK"))))))</f>
        <v/>
      </c>
      <c r="N58" s="26" t="str">
        <f aca="false">IF(OR($A58="",N$4=""),"",IF(NOT(OR(N$6="Toda la plantilla",ISNUMBER(SEARCH(";"&amp;SUBSTITUTE($C58," ","")&amp;";",";"&amp;SUBSTITUTE(N$7," ","")&amp;";")))),"—",IF(_xlfn.MAXIFS(Acuses!$C$5:$C$3004,Acuses!$A$5:$A$3004,$A58,Acuses!$B$5:$B$3004,N$4)&lt;N$5,"Pendiente",IF(N$8=0,"OK",IF(EDATE(_xlfn.MAXIFS(Acuses!$D$5:$D$3004,Acuses!$A$5:$A$3004,$A58,Acuses!$B$5:$B$3004,N$4,Acuses!$C$5:$C$3004,N$5),N$8)&lt;Resumen!$C$4,"Caducado",IF(EDATE(_xlfn.MAXIFS(Acuses!$D$5:$D$3004,Acuses!$A$5:$A$3004,$A58,Acuses!$B$5:$B$3004,N$4,Acuses!$C$5:$C$3004,N$5),N$8)&lt;Resumen!$C$4+30,"Caduca pronto","OK"))))))</f>
        <v/>
      </c>
      <c r="O58" s="26" t="str">
        <f aca="false">IF(OR($A58="",O$4=""),"",IF(NOT(OR(O$6="Toda la plantilla",ISNUMBER(SEARCH(";"&amp;SUBSTITUTE($C58," ","")&amp;";",";"&amp;SUBSTITUTE(O$7," ","")&amp;";")))),"—",IF(_xlfn.MAXIFS(Acuses!$C$5:$C$3004,Acuses!$A$5:$A$3004,$A58,Acuses!$B$5:$B$3004,O$4)&lt;O$5,"Pendiente",IF(O$8=0,"OK",IF(EDATE(_xlfn.MAXIFS(Acuses!$D$5:$D$3004,Acuses!$A$5:$A$3004,$A58,Acuses!$B$5:$B$3004,O$4,Acuses!$C$5:$C$3004,O$5),O$8)&lt;Resumen!$C$4,"Caducado",IF(EDATE(_xlfn.MAXIFS(Acuses!$D$5:$D$3004,Acuses!$A$5:$A$3004,$A58,Acuses!$B$5:$B$3004,O$4,Acuses!$C$5:$C$3004,O$5),O$8)&lt;Resumen!$C$4+30,"Caduca pronto","OK"))))))</f>
        <v/>
      </c>
      <c r="P58" s="26" t="str">
        <f aca="false">IF(OR($A58="",P$4=""),"",IF(NOT(OR(P$6="Toda la plantilla",ISNUMBER(SEARCH(";"&amp;SUBSTITUTE($C58," ","")&amp;";",";"&amp;SUBSTITUTE(P$7," ","")&amp;";")))),"—",IF(_xlfn.MAXIFS(Acuses!$C$5:$C$3004,Acuses!$A$5:$A$3004,$A58,Acuses!$B$5:$B$3004,P$4)&lt;P$5,"Pendiente",IF(P$8=0,"OK",IF(EDATE(_xlfn.MAXIFS(Acuses!$D$5:$D$3004,Acuses!$A$5:$A$3004,$A58,Acuses!$B$5:$B$3004,P$4,Acuses!$C$5:$C$3004,P$5),P$8)&lt;Resumen!$C$4,"Caducado",IF(EDATE(_xlfn.MAXIFS(Acuses!$D$5:$D$3004,Acuses!$A$5:$A$3004,$A58,Acuses!$B$5:$B$3004,P$4,Acuses!$C$5:$C$3004,P$5),P$8)&lt;Resumen!$C$4+30,"Caduca pronto","OK"))))))</f>
        <v/>
      </c>
      <c r="Q58" s="26" t="str">
        <f aca="false">IF(OR($A58="",Q$4=""),"",IF(NOT(OR(Q$6="Toda la plantilla",ISNUMBER(SEARCH(";"&amp;SUBSTITUTE($C58," ","")&amp;";",";"&amp;SUBSTITUTE(Q$7," ","")&amp;";")))),"—",IF(_xlfn.MAXIFS(Acuses!$C$5:$C$3004,Acuses!$A$5:$A$3004,$A58,Acuses!$B$5:$B$3004,Q$4)&lt;Q$5,"Pendiente",IF(Q$8=0,"OK",IF(EDATE(_xlfn.MAXIFS(Acuses!$D$5:$D$3004,Acuses!$A$5:$A$3004,$A58,Acuses!$B$5:$B$3004,Q$4,Acuses!$C$5:$C$3004,Q$5),Q$8)&lt;Resumen!$C$4,"Caducado",IF(EDATE(_xlfn.MAXIFS(Acuses!$D$5:$D$3004,Acuses!$A$5:$A$3004,$A58,Acuses!$B$5:$B$3004,Q$4,Acuses!$C$5:$C$3004,Q$5),Q$8)&lt;Resumen!$C$4+30,"Caduca pronto","OK"))))))</f>
        <v/>
      </c>
      <c r="R58" s="26" t="str">
        <f aca="false">IF(OR($A58="",R$4=""),"",IF(NOT(OR(R$6="Toda la plantilla",ISNUMBER(SEARCH(";"&amp;SUBSTITUTE($C58," ","")&amp;";",";"&amp;SUBSTITUTE(R$7," ","")&amp;";")))),"—",IF(_xlfn.MAXIFS(Acuses!$C$5:$C$3004,Acuses!$A$5:$A$3004,$A58,Acuses!$B$5:$B$3004,R$4)&lt;R$5,"Pendiente",IF(R$8=0,"OK",IF(EDATE(_xlfn.MAXIFS(Acuses!$D$5:$D$3004,Acuses!$A$5:$A$3004,$A58,Acuses!$B$5:$B$3004,R$4,Acuses!$C$5:$C$3004,R$5),R$8)&lt;Resumen!$C$4,"Caducado",IF(EDATE(_xlfn.MAXIFS(Acuses!$D$5:$D$3004,Acuses!$A$5:$A$3004,$A58,Acuses!$B$5:$B$3004,R$4,Acuses!$C$5:$C$3004,R$5),R$8)&lt;Resumen!$C$4+30,"Caduca pronto","OK"))))))</f>
        <v/>
      </c>
      <c r="S58" s="26" t="str">
        <f aca="false">IF(OR($A58="",S$4=""),"",IF(NOT(OR(S$6="Toda la plantilla",ISNUMBER(SEARCH(";"&amp;SUBSTITUTE($C58," ","")&amp;";",";"&amp;SUBSTITUTE(S$7," ","")&amp;";")))),"—",IF(_xlfn.MAXIFS(Acuses!$C$5:$C$3004,Acuses!$A$5:$A$3004,$A58,Acuses!$B$5:$B$3004,S$4)&lt;S$5,"Pendiente",IF(S$8=0,"OK",IF(EDATE(_xlfn.MAXIFS(Acuses!$D$5:$D$3004,Acuses!$A$5:$A$3004,$A58,Acuses!$B$5:$B$3004,S$4,Acuses!$C$5:$C$3004,S$5),S$8)&lt;Resumen!$C$4,"Caducado",IF(EDATE(_xlfn.MAXIFS(Acuses!$D$5:$D$3004,Acuses!$A$5:$A$3004,$A58,Acuses!$B$5:$B$3004,S$4,Acuses!$C$5:$C$3004,S$5),S$8)&lt;Resumen!$C$4+30,"Caduca pronto","OK"))))))</f>
        <v/>
      </c>
      <c r="T58" s="26" t="str">
        <f aca="false">IF(OR($A58="",T$4=""),"",IF(NOT(OR(T$6="Toda la plantilla",ISNUMBER(SEARCH(";"&amp;SUBSTITUTE($C58," ","")&amp;";",";"&amp;SUBSTITUTE(T$7," ","")&amp;";")))),"—",IF(_xlfn.MAXIFS(Acuses!$C$5:$C$3004,Acuses!$A$5:$A$3004,$A58,Acuses!$B$5:$B$3004,T$4)&lt;T$5,"Pendiente",IF(T$8=0,"OK",IF(EDATE(_xlfn.MAXIFS(Acuses!$D$5:$D$3004,Acuses!$A$5:$A$3004,$A58,Acuses!$B$5:$B$3004,T$4,Acuses!$C$5:$C$3004,T$5),T$8)&lt;Resumen!$C$4,"Caducado",IF(EDATE(_xlfn.MAXIFS(Acuses!$D$5:$D$3004,Acuses!$A$5:$A$3004,$A58,Acuses!$B$5:$B$3004,T$4,Acuses!$C$5:$C$3004,T$5),T$8)&lt;Resumen!$C$4+30,"Caduca pronto","OK"))))))</f>
        <v/>
      </c>
      <c r="U58" s="26" t="str">
        <f aca="false">IF(OR($A58="",U$4=""),"",IF(NOT(OR(U$6="Toda la plantilla",ISNUMBER(SEARCH(";"&amp;SUBSTITUTE($C58," ","")&amp;";",";"&amp;SUBSTITUTE(U$7," ","")&amp;";")))),"—",IF(_xlfn.MAXIFS(Acuses!$C$5:$C$3004,Acuses!$A$5:$A$3004,$A58,Acuses!$B$5:$B$3004,U$4)&lt;U$5,"Pendiente",IF(U$8=0,"OK",IF(EDATE(_xlfn.MAXIFS(Acuses!$D$5:$D$3004,Acuses!$A$5:$A$3004,$A58,Acuses!$B$5:$B$3004,U$4,Acuses!$C$5:$C$3004,U$5),U$8)&lt;Resumen!$C$4,"Caducado",IF(EDATE(_xlfn.MAXIFS(Acuses!$D$5:$D$3004,Acuses!$A$5:$A$3004,$A58,Acuses!$B$5:$B$3004,U$4,Acuses!$C$5:$C$3004,U$5),U$8)&lt;Resumen!$C$4+30,"Caduca pronto","OK"))))))</f>
        <v/>
      </c>
      <c r="V58" s="26" t="str">
        <f aca="false">IF(OR($A58="",V$4=""),"",IF(NOT(OR(V$6="Toda la plantilla",ISNUMBER(SEARCH(";"&amp;SUBSTITUTE($C58," ","")&amp;";",";"&amp;SUBSTITUTE(V$7," ","")&amp;";")))),"—",IF(_xlfn.MAXIFS(Acuses!$C$5:$C$3004,Acuses!$A$5:$A$3004,$A58,Acuses!$B$5:$B$3004,V$4)&lt;V$5,"Pendiente",IF(V$8=0,"OK",IF(EDATE(_xlfn.MAXIFS(Acuses!$D$5:$D$3004,Acuses!$A$5:$A$3004,$A58,Acuses!$B$5:$B$3004,V$4,Acuses!$C$5:$C$3004,V$5),V$8)&lt;Resumen!$C$4,"Caducado",IF(EDATE(_xlfn.MAXIFS(Acuses!$D$5:$D$3004,Acuses!$A$5:$A$3004,$A58,Acuses!$B$5:$B$3004,V$4,Acuses!$C$5:$C$3004,V$5),V$8)&lt;Resumen!$C$4+30,"Caduca pronto","OK"))))))</f>
        <v/>
      </c>
      <c r="W58" s="26" t="str">
        <f aca="false">IF(OR($A58="",W$4=""),"",IF(NOT(OR(W$6="Toda la plantilla",ISNUMBER(SEARCH(";"&amp;SUBSTITUTE($C58," ","")&amp;";",";"&amp;SUBSTITUTE(W$7," ","")&amp;";")))),"—",IF(_xlfn.MAXIFS(Acuses!$C$5:$C$3004,Acuses!$A$5:$A$3004,$A58,Acuses!$B$5:$B$3004,W$4)&lt;W$5,"Pendiente",IF(W$8=0,"OK",IF(EDATE(_xlfn.MAXIFS(Acuses!$D$5:$D$3004,Acuses!$A$5:$A$3004,$A58,Acuses!$B$5:$B$3004,W$4,Acuses!$C$5:$C$3004,W$5),W$8)&lt;Resumen!$C$4,"Caducado",IF(EDATE(_xlfn.MAXIFS(Acuses!$D$5:$D$3004,Acuses!$A$5:$A$3004,$A58,Acuses!$B$5:$B$3004,W$4,Acuses!$C$5:$C$3004,W$5),W$8)&lt;Resumen!$C$4+30,"Caduca pronto","OK"))))))</f>
        <v/>
      </c>
      <c r="X58" s="26" t="str">
        <f aca="false">IF(OR($A58="",X$4=""),"",IF(NOT(OR(X$6="Toda la plantilla",ISNUMBER(SEARCH(";"&amp;SUBSTITUTE($C58," ","")&amp;";",";"&amp;SUBSTITUTE(X$7," ","")&amp;";")))),"—",IF(_xlfn.MAXIFS(Acuses!$C$5:$C$3004,Acuses!$A$5:$A$3004,$A58,Acuses!$B$5:$B$3004,X$4)&lt;X$5,"Pendiente",IF(X$8=0,"OK",IF(EDATE(_xlfn.MAXIFS(Acuses!$D$5:$D$3004,Acuses!$A$5:$A$3004,$A58,Acuses!$B$5:$B$3004,X$4,Acuses!$C$5:$C$3004,X$5),X$8)&lt;Resumen!$C$4,"Caducado",IF(EDATE(_xlfn.MAXIFS(Acuses!$D$5:$D$3004,Acuses!$A$5:$A$3004,$A58,Acuses!$B$5:$B$3004,X$4,Acuses!$C$5:$C$3004,X$5),X$8)&lt;Resumen!$C$4+30,"Caduca pronto","OK"))))))</f>
        <v/>
      </c>
      <c r="Y58" s="26" t="str">
        <f aca="false">IF(OR($A58="",Y$4=""),"",IF(NOT(OR(Y$6="Toda la plantilla",ISNUMBER(SEARCH(";"&amp;SUBSTITUTE($C58," ","")&amp;";",";"&amp;SUBSTITUTE(Y$7," ","")&amp;";")))),"—",IF(_xlfn.MAXIFS(Acuses!$C$5:$C$3004,Acuses!$A$5:$A$3004,$A58,Acuses!$B$5:$B$3004,Y$4)&lt;Y$5,"Pendiente",IF(Y$8=0,"OK",IF(EDATE(_xlfn.MAXIFS(Acuses!$D$5:$D$3004,Acuses!$A$5:$A$3004,$A58,Acuses!$B$5:$B$3004,Y$4,Acuses!$C$5:$C$3004,Y$5),Y$8)&lt;Resumen!$C$4,"Caducado",IF(EDATE(_xlfn.MAXIFS(Acuses!$D$5:$D$3004,Acuses!$A$5:$A$3004,$A58,Acuses!$B$5:$B$3004,Y$4,Acuses!$C$5:$C$3004,Y$5),Y$8)&lt;Resumen!$C$4+30,"Caduca pronto","OK"))))))</f>
        <v/>
      </c>
      <c r="Z58" s="26" t="str">
        <f aca="false">IF(OR($A58="",Z$4=""),"",IF(NOT(OR(Z$6="Toda la plantilla",ISNUMBER(SEARCH(";"&amp;SUBSTITUTE($C58," ","")&amp;";",";"&amp;SUBSTITUTE(Z$7," ","")&amp;";")))),"—",IF(_xlfn.MAXIFS(Acuses!$C$5:$C$3004,Acuses!$A$5:$A$3004,$A58,Acuses!$B$5:$B$3004,Z$4)&lt;Z$5,"Pendiente",IF(Z$8=0,"OK",IF(EDATE(_xlfn.MAXIFS(Acuses!$D$5:$D$3004,Acuses!$A$5:$A$3004,$A58,Acuses!$B$5:$B$3004,Z$4,Acuses!$C$5:$C$3004,Z$5),Z$8)&lt;Resumen!$C$4,"Caducado",IF(EDATE(_xlfn.MAXIFS(Acuses!$D$5:$D$3004,Acuses!$A$5:$A$3004,$A58,Acuses!$B$5:$B$3004,Z$4,Acuses!$C$5:$C$3004,Z$5),Z$8)&lt;Resumen!$C$4+30,"Caduca pronto","OK"))))))</f>
        <v/>
      </c>
      <c r="AA58" s="26" t="str">
        <f aca="false">IF(OR($A58="",AA$4=""),"",IF(NOT(OR(AA$6="Toda la plantilla",ISNUMBER(SEARCH(";"&amp;SUBSTITUTE($C58," ","")&amp;";",";"&amp;SUBSTITUTE(AA$7," ","")&amp;";")))),"—",IF(_xlfn.MAXIFS(Acuses!$C$5:$C$3004,Acuses!$A$5:$A$3004,$A58,Acuses!$B$5:$B$3004,AA$4)&lt;AA$5,"Pendiente",IF(AA$8=0,"OK",IF(EDATE(_xlfn.MAXIFS(Acuses!$D$5:$D$3004,Acuses!$A$5:$A$3004,$A58,Acuses!$B$5:$B$3004,AA$4,Acuses!$C$5:$C$3004,AA$5),AA$8)&lt;Resumen!$C$4,"Caducado",IF(EDATE(_xlfn.MAXIFS(Acuses!$D$5:$D$3004,Acuses!$A$5:$A$3004,$A58,Acuses!$B$5:$B$3004,AA$4,Acuses!$C$5:$C$3004,AA$5),AA$8)&lt;Resumen!$C$4+30,"Caduca pronto","OK"))))))</f>
        <v/>
      </c>
      <c r="AB58" s="26" t="str">
        <f aca="false">IF(OR($A58="",AB$4=""),"",IF(NOT(OR(AB$6="Toda la plantilla",ISNUMBER(SEARCH(";"&amp;SUBSTITUTE($C58," ","")&amp;";",";"&amp;SUBSTITUTE(AB$7," ","")&amp;";")))),"—",IF(_xlfn.MAXIFS(Acuses!$C$5:$C$3004,Acuses!$A$5:$A$3004,$A58,Acuses!$B$5:$B$3004,AB$4)&lt;AB$5,"Pendiente",IF(AB$8=0,"OK",IF(EDATE(_xlfn.MAXIFS(Acuses!$D$5:$D$3004,Acuses!$A$5:$A$3004,$A58,Acuses!$B$5:$B$3004,AB$4,Acuses!$C$5:$C$3004,AB$5),AB$8)&lt;Resumen!$C$4,"Caducado",IF(EDATE(_xlfn.MAXIFS(Acuses!$D$5:$D$3004,Acuses!$A$5:$A$3004,$A58,Acuses!$B$5:$B$3004,AB$4,Acuses!$C$5:$C$3004,AB$5),AB$8)&lt;Resumen!$C$4+30,"Caduca pronto","OK"))))))</f>
        <v/>
      </c>
      <c r="AC58" s="26" t="str">
        <f aca="false">IF(OR($A58="",AC$4=""),"",IF(NOT(OR(AC$6="Toda la plantilla",ISNUMBER(SEARCH(";"&amp;SUBSTITUTE($C58," ","")&amp;";",";"&amp;SUBSTITUTE(AC$7," ","")&amp;";")))),"—",IF(_xlfn.MAXIFS(Acuses!$C$5:$C$3004,Acuses!$A$5:$A$3004,$A58,Acuses!$B$5:$B$3004,AC$4)&lt;AC$5,"Pendiente",IF(AC$8=0,"OK",IF(EDATE(_xlfn.MAXIFS(Acuses!$D$5:$D$3004,Acuses!$A$5:$A$3004,$A58,Acuses!$B$5:$B$3004,AC$4,Acuses!$C$5:$C$3004,AC$5),AC$8)&lt;Resumen!$C$4,"Caducado",IF(EDATE(_xlfn.MAXIFS(Acuses!$D$5:$D$3004,Acuses!$A$5:$A$3004,$A58,Acuses!$B$5:$B$3004,AC$4,Acuses!$C$5:$C$3004,AC$5),AC$8)&lt;Resumen!$C$4+30,"Caduca pronto","OK"))))))</f>
        <v/>
      </c>
      <c r="AD58" s="26" t="str">
        <f aca="false">IF(OR($A58="",AD$4=""),"",IF(NOT(OR(AD$6="Toda la plantilla",ISNUMBER(SEARCH(";"&amp;SUBSTITUTE($C58," ","")&amp;";",";"&amp;SUBSTITUTE(AD$7," ","")&amp;";")))),"—",IF(_xlfn.MAXIFS(Acuses!$C$5:$C$3004,Acuses!$A$5:$A$3004,$A58,Acuses!$B$5:$B$3004,AD$4)&lt;AD$5,"Pendiente",IF(AD$8=0,"OK",IF(EDATE(_xlfn.MAXIFS(Acuses!$D$5:$D$3004,Acuses!$A$5:$A$3004,$A58,Acuses!$B$5:$B$3004,AD$4,Acuses!$C$5:$C$3004,AD$5),AD$8)&lt;Resumen!$C$4,"Caducado",IF(EDATE(_xlfn.MAXIFS(Acuses!$D$5:$D$3004,Acuses!$A$5:$A$3004,$A58,Acuses!$B$5:$B$3004,AD$4,Acuses!$C$5:$C$3004,AD$5),AD$8)&lt;Resumen!$C$4+30,"Caduca pronto","OK"))))))</f>
        <v/>
      </c>
      <c r="AE58" s="26" t="str">
        <f aca="false">IF(OR($A58="",AE$4=""),"",IF(NOT(OR(AE$6="Toda la plantilla",ISNUMBER(SEARCH(";"&amp;SUBSTITUTE($C58," ","")&amp;";",";"&amp;SUBSTITUTE(AE$7," ","")&amp;";")))),"—",IF(_xlfn.MAXIFS(Acuses!$C$5:$C$3004,Acuses!$A$5:$A$3004,$A58,Acuses!$B$5:$B$3004,AE$4)&lt;AE$5,"Pendiente",IF(AE$8=0,"OK",IF(EDATE(_xlfn.MAXIFS(Acuses!$D$5:$D$3004,Acuses!$A$5:$A$3004,$A58,Acuses!$B$5:$B$3004,AE$4,Acuses!$C$5:$C$3004,AE$5),AE$8)&lt;Resumen!$C$4,"Caducado",IF(EDATE(_xlfn.MAXIFS(Acuses!$D$5:$D$3004,Acuses!$A$5:$A$3004,$A58,Acuses!$B$5:$B$3004,AE$4,Acuses!$C$5:$C$3004,AE$5),AE$8)&lt;Resumen!$C$4+30,"Caduca pronto","OK"))))))</f>
        <v/>
      </c>
      <c r="AF58" s="26" t="str">
        <f aca="false">IF(OR($A58="",AF$4=""),"",IF(NOT(OR(AF$6="Toda la plantilla",ISNUMBER(SEARCH(";"&amp;SUBSTITUTE($C58," ","")&amp;";",";"&amp;SUBSTITUTE(AF$7," ","")&amp;";")))),"—",IF(_xlfn.MAXIFS(Acuses!$C$5:$C$3004,Acuses!$A$5:$A$3004,$A58,Acuses!$B$5:$B$3004,AF$4)&lt;AF$5,"Pendiente",IF(AF$8=0,"OK",IF(EDATE(_xlfn.MAXIFS(Acuses!$D$5:$D$3004,Acuses!$A$5:$A$3004,$A58,Acuses!$B$5:$B$3004,AF$4,Acuses!$C$5:$C$3004,AF$5),AF$8)&lt;Resumen!$C$4,"Caducado",IF(EDATE(_xlfn.MAXIFS(Acuses!$D$5:$D$3004,Acuses!$A$5:$A$3004,$A58,Acuses!$B$5:$B$3004,AF$4,Acuses!$C$5:$C$3004,AF$5),AF$8)&lt;Resumen!$C$4+30,"Caduca pronto","OK"))))))</f>
        <v/>
      </c>
      <c r="AG58" s="26" t="str">
        <f aca="false">IF(OR($A58="",AG$4=""),"",IF(NOT(OR(AG$6="Toda la plantilla",ISNUMBER(SEARCH(";"&amp;SUBSTITUTE($C58," ","")&amp;";",";"&amp;SUBSTITUTE(AG$7," ","")&amp;";")))),"—",IF(_xlfn.MAXIFS(Acuses!$C$5:$C$3004,Acuses!$A$5:$A$3004,$A58,Acuses!$B$5:$B$3004,AG$4)&lt;AG$5,"Pendiente",IF(AG$8=0,"OK",IF(EDATE(_xlfn.MAXIFS(Acuses!$D$5:$D$3004,Acuses!$A$5:$A$3004,$A58,Acuses!$B$5:$B$3004,AG$4,Acuses!$C$5:$C$3004,AG$5),AG$8)&lt;Resumen!$C$4,"Caducado",IF(EDATE(_xlfn.MAXIFS(Acuses!$D$5:$D$3004,Acuses!$A$5:$A$3004,$A58,Acuses!$B$5:$B$3004,AG$4,Acuses!$C$5:$C$3004,AG$5),AG$8)&lt;Resumen!$C$4+30,"Caduca pronto","OK"))))))</f>
        <v/>
      </c>
      <c r="AH58" s="26" t="str">
        <f aca="false">IF(OR($A58="",AH$4=""),"",IF(NOT(OR(AH$6="Toda la plantilla",ISNUMBER(SEARCH(";"&amp;SUBSTITUTE($C58," ","")&amp;";",";"&amp;SUBSTITUTE(AH$7," ","")&amp;";")))),"—",IF(_xlfn.MAXIFS(Acuses!$C$5:$C$3004,Acuses!$A$5:$A$3004,$A58,Acuses!$B$5:$B$3004,AH$4)&lt;AH$5,"Pendiente",IF(AH$8=0,"OK",IF(EDATE(_xlfn.MAXIFS(Acuses!$D$5:$D$3004,Acuses!$A$5:$A$3004,$A58,Acuses!$B$5:$B$3004,AH$4,Acuses!$C$5:$C$3004,AH$5),AH$8)&lt;Resumen!$C$4,"Caducado",IF(EDATE(_xlfn.MAXIFS(Acuses!$D$5:$D$3004,Acuses!$A$5:$A$3004,$A58,Acuses!$B$5:$B$3004,AH$4,Acuses!$C$5:$C$3004,AH$5),AH$8)&lt;Resumen!$C$4+30,"Caduca pronto","OK"))))))</f>
        <v/>
      </c>
      <c r="AI58" s="26" t="str">
        <f aca="false">IF(OR($A58="",AI$4=""),"",IF(NOT(OR(AI$6="Toda la plantilla",ISNUMBER(SEARCH(";"&amp;SUBSTITUTE($C58," ","")&amp;";",";"&amp;SUBSTITUTE(AI$7," ","")&amp;";")))),"—",IF(_xlfn.MAXIFS(Acuses!$C$5:$C$3004,Acuses!$A$5:$A$3004,$A58,Acuses!$B$5:$B$3004,AI$4)&lt;AI$5,"Pendiente",IF(AI$8=0,"OK",IF(EDATE(_xlfn.MAXIFS(Acuses!$D$5:$D$3004,Acuses!$A$5:$A$3004,$A58,Acuses!$B$5:$B$3004,AI$4,Acuses!$C$5:$C$3004,AI$5),AI$8)&lt;Resumen!$C$4,"Caducado",IF(EDATE(_xlfn.MAXIFS(Acuses!$D$5:$D$3004,Acuses!$A$5:$A$3004,$A58,Acuses!$B$5:$B$3004,AI$4,Acuses!$C$5:$C$3004,AI$5),AI$8)&lt;Resumen!$C$4+30,"Caduca pronto","OK"))))))</f>
        <v/>
      </c>
      <c r="AJ58" s="26" t="str">
        <f aca="false">IF(OR($A58="",AJ$4=""),"",IF(NOT(OR(AJ$6="Toda la plantilla",ISNUMBER(SEARCH(";"&amp;SUBSTITUTE($C58," ","")&amp;";",";"&amp;SUBSTITUTE(AJ$7," ","")&amp;";")))),"—",IF(_xlfn.MAXIFS(Acuses!$C$5:$C$3004,Acuses!$A$5:$A$3004,$A58,Acuses!$B$5:$B$3004,AJ$4)&lt;AJ$5,"Pendiente",IF(AJ$8=0,"OK",IF(EDATE(_xlfn.MAXIFS(Acuses!$D$5:$D$3004,Acuses!$A$5:$A$3004,$A58,Acuses!$B$5:$B$3004,AJ$4,Acuses!$C$5:$C$3004,AJ$5),AJ$8)&lt;Resumen!$C$4,"Caducado",IF(EDATE(_xlfn.MAXIFS(Acuses!$D$5:$D$3004,Acuses!$A$5:$A$3004,$A58,Acuses!$B$5:$B$3004,AJ$4,Acuses!$C$5:$C$3004,AJ$5),AJ$8)&lt;Resumen!$C$4+30,"Caduca pronto","OK"))))))</f>
        <v/>
      </c>
      <c r="AK58" s="26" t="str">
        <f aca="false">IF(OR($A58="",AK$4=""),"",IF(NOT(OR(AK$6="Toda la plantilla",ISNUMBER(SEARCH(";"&amp;SUBSTITUTE($C58," ","")&amp;";",";"&amp;SUBSTITUTE(AK$7," ","")&amp;";")))),"—",IF(_xlfn.MAXIFS(Acuses!$C$5:$C$3004,Acuses!$A$5:$A$3004,$A58,Acuses!$B$5:$B$3004,AK$4)&lt;AK$5,"Pendiente",IF(AK$8=0,"OK",IF(EDATE(_xlfn.MAXIFS(Acuses!$D$5:$D$3004,Acuses!$A$5:$A$3004,$A58,Acuses!$B$5:$B$3004,AK$4,Acuses!$C$5:$C$3004,AK$5),AK$8)&lt;Resumen!$C$4,"Caducado",IF(EDATE(_xlfn.MAXIFS(Acuses!$D$5:$D$3004,Acuses!$A$5:$A$3004,$A58,Acuses!$B$5:$B$3004,AK$4,Acuses!$C$5:$C$3004,AK$5),AK$8)&lt;Resumen!$C$4+30,"Caduca pronto","OK"))))))</f>
        <v/>
      </c>
      <c r="AL58" s="26" t="str">
        <f aca="false">IF(OR($A58="",AL$4=""),"",IF(NOT(OR(AL$6="Toda la plantilla",ISNUMBER(SEARCH(";"&amp;SUBSTITUTE($C58," ","")&amp;";",";"&amp;SUBSTITUTE(AL$7," ","")&amp;";")))),"—",IF(_xlfn.MAXIFS(Acuses!$C$5:$C$3004,Acuses!$A$5:$A$3004,$A58,Acuses!$B$5:$B$3004,AL$4)&lt;AL$5,"Pendiente",IF(AL$8=0,"OK",IF(EDATE(_xlfn.MAXIFS(Acuses!$D$5:$D$3004,Acuses!$A$5:$A$3004,$A58,Acuses!$B$5:$B$3004,AL$4,Acuses!$C$5:$C$3004,AL$5),AL$8)&lt;Resumen!$C$4,"Caducado",IF(EDATE(_xlfn.MAXIFS(Acuses!$D$5:$D$3004,Acuses!$A$5:$A$3004,$A58,Acuses!$B$5:$B$3004,AL$4,Acuses!$C$5:$C$3004,AL$5),AL$8)&lt;Resumen!$C$4+30,"Caduca pronto","OK"))))))</f>
        <v/>
      </c>
      <c r="AM58" s="26" t="str">
        <f aca="false">IF(OR($A58="",AM$4=""),"",IF(NOT(OR(AM$6="Toda la plantilla",ISNUMBER(SEARCH(";"&amp;SUBSTITUTE($C58," ","")&amp;";",";"&amp;SUBSTITUTE(AM$7," ","")&amp;";")))),"—",IF(_xlfn.MAXIFS(Acuses!$C$5:$C$3004,Acuses!$A$5:$A$3004,$A58,Acuses!$B$5:$B$3004,AM$4)&lt;AM$5,"Pendiente",IF(AM$8=0,"OK",IF(EDATE(_xlfn.MAXIFS(Acuses!$D$5:$D$3004,Acuses!$A$5:$A$3004,$A58,Acuses!$B$5:$B$3004,AM$4,Acuses!$C$5:$C$3004,AM$5),AM$8)&lt;Resumen!$C$4,"Caducado",IF(EDATE(_xlfn.MAXIFS(Acuses!$D$5:$D$3004,Acuses!$A$5:$A$3004,$A58,Acuses!$B$5:$B$3004,AM$4,Acuses!$C$5:$C$3004,AM$5),AM$8)&lt;Resumen!$C$4+30,"Caduca pronto","OK"))))))</f>
        <v/>
      </c>
      <c r="AN58" s="26" t="str">
        <f aca="false">IF(OR($A58="",AN$4=""),"",IF(NOT(OR(AN$6="Toda la plantilla",ISNUMBER(SEARCH(";"&amp;SUBSTITUTE($C58," ","")&amp;";",";"&amp;SUBSTITUTE(AN$7," ","")&amp;";")))),"—",IF(_xlfn.MAXIFS(Acuses!$C$5:$C$3004,Acuses!$A$5:$A$3004,$A58,Acuses!$B$5:$B$3004,AN$4)&lt;AN$5,"Pendiente",IF(AN$8=0,"OK",IF(EDATE(_xlfn.MAXIFS(Acuses!$D$5:$D$3004,Acuses!$A$5:$A$3004,$A58,Acuses!$B$5:$B$3004,AN$4,Acuses!$C$5:$C$3004,AN$5),AN$8)&lt;Resumen!$C$4,"Caducado",IF(EDATE(_xlfn.MAXIFS(Acuses!$D$5:$D$3004,Acuses!$A$5:$A$3004,$A58,Acuses!$B$5:$B$3004,AN$4,Acuses!$C$5:$C$3004,AN$5),AN$8)&lt;Resumen!$C$4+30,"Caduca pronto","OK"))))))</f>
        <v/>
      </c>
      <c r="AO58" s="26" t="str">
        <f aca="false">IF(OR($A58="",AO$4=""),"",IF(NOT(OR(AO$6="Toda la plantilla",ISNUMBER(SEARCH(";"&amp;SUBSTITUTE($C58," ","")&amp;";",";"&amp;SUBSTITUTE(AO$7," ","")&amp;";")))),"—",IF(_xlfn.MAXIFS(Acuses!$C$5:$C$3004,Acuses!$A$5:$A$3004,$A58,Acuses!$B$5:$B$3004,AO$4)&lt;AO$5,"Pendiente",IF(AO$8=0,"OK",IF(EDATE(_xlfn.MAXIFS(Acuses!$D$5:$D$3004,Acuses!$A$5:$A$3004,$A58,Acuses!$B$5:$B$3004,AO$4,Acuses!$C$5:$C$3004,AO$5),AO$8)&lt;Resumen!$C$4,"Caducado",IF(EDATE(_xlfn.MAXIFS(Acuses!$D$5:$D$3004,Acuses!$A$5:$A$3004,$A58,Acuses!$B$5:$B$3004,AO$4,Acuses!$C$5:$C$3004,AO$5),AO$8)&lt;Resumen!$C$4+30,"Caduca pronto","OK"))))))</f>
        <v/>
      </c>
      <c r="AP58" s="26" t="str">
        <f aca="false">IF(OR($A58="",AP$4=""),"",IF(NOT(OR(AP$6="Toda la plantilla",ISNUMBER(SEARCH(";"&amp;SUBSTITUTE($C58," ","")&amp;";",";"&amp;SUBSTITUTE(AP$7," ","")&amp;";")))),"—",IF(_xlfn.MAXIFS(Acuses!$C$5:$C$3004,Acuses!$A$5:$A$3004,$A58,Acuses!$B$5:$B$3004,AP$4)&lt;AP$5,"Pendiente",IF(AP$8=0,"OK",IF(EDATE(_xlfn.MAXIFS(Acuses!$D$5:$D$3004,Acuses!$A$5:$A$3004,$A58,Acuses!$B$5:$B$3004,AP$4,Acuses!$C$5:$C$3004,AP$5),AP$8)&lt;Resumen!$C$4,"Caducado",IF(EDATE(_xlfn.MAXIFS(Acuses!$D$5:$D$3004,Acuses!$A$5:$A$3004,$A58,Acuses!$B$5:$B$3004,AP$4,Acuses!$C$5:$C$3004,AP$5),AP$8)&lt;Resumen!$C$4+30,"Caduca pronto","OK"))))))</f>
        <v/>
      </c>
      <c r="AQ58" s="26" t="str">
        <f aca="false">IF(OR($A58="",AQ$4=""),"",IF(NOT(OR(AQ$6="Toda la plantilla",ISNUMBER(SEARCH(";"&amp;SUBSTITUTE($C58," ","")&amp;";",";"&amp;SUBSTITUTE(AQ$7," ","")&amp;";")))),"—",IF(_xlfn.MAXIFS(Acuses!$C$5:$C$3004,Acuses!$A$5:$A$3004,$A58,Acuses!$B$5:$B$3004,AQ$4)&lt;AQ$5,"Pendiente",IF(AQ$8=0,"OK",IF(EDATE(_xlfn.MAXIFS(Acuses!$D$5:$D$3004,Acuses!$A$5:$A$3004,$A58,Acuses!$B$5:$B$3004,AQ$4,Acuses!$C$5:$C$3004,AQ$5),AQ$8)&lt;Resumen!$C$4,"Caducado",IF(EDATE(_xlfn.MAXIFS(Acuses!$D$5:$D$3004,Acuses!$A$5:$A$3004,$A58,Acuses!$B$5:$B$3004,AQ$4,Acuses!$C$5:$C$3004,AQ$5),AQ$8)&lt;Resumen!$C$4+30,"Caduca pronto","OK"))))))</f>
        <v/>
      </c>
    </row>
    <row r="59" customFormat="false" ht="15" hidden="false" customHeight="false" outlineLevel="0" collapsed="false">
      <c r="A59" s="25" t="str">
        <f aca="false">IF(AND(Trabajadores!$A$54&lt;&gt;"",Trabajadores!$G$54&lt;&gt;"No"),Trabajadores!$A$54,"")</f>
        <v/>
      </c>
      <c r="B59" s="25" t="str">
        <f aca="false">IF($A59="","",Trabajadores!$B$54)</f>
        <v/>
      </c>
      <c r="C59" s="25" t="str">
        <f aca="false">IF($A59="","",Trabajadores!$C$54)</f>
        <v/>
      </c>
      <c r="D59" s="26" t="str">
        <f aca="false">IF(OR($A59="",D$4=""),"",IF(NOT(OR(D$6="Toda la plantilla",ISNUMBER(SEARCH(";"&amp;SUBSTITUTE($C59," ","")&amp;";",";"&amp;SUBSTITUTE(D$7," ","")&amp;";")))),"—",IF(_xlfn.MAXIFS(Acuses!$C$5:$C$3004,Acuses!$A$5:$A$3004,$A59,Acuses!$B$5:$B$3004,D$4)&lt;D$5,"Pendiente",IF(D$8=0,"OK",IF(EDATE(_xlfn.MAXIFS(Acuses!$D$5:$D$3004,Acuses!$A$5:$A$3004,$A59,Acuses!$B$5:$B$3004,D$4,Acuses!$C$5:$C$3004,D$5),D$8)&lt;Resumen!$C$4,"Caducado",IF(EDATE(_xlfn.MAXIFS(Acuses!$D$5:$D$3004,Acuses!$A$5:$A$3004,$A59,Acuses!$B$5:$B$3004,D$4,Acuses!$C$5:$C$3004,D$5),D$8)&lt;Resumen!$C$4+30,"Caduca pronto","OK"))))))</f>
        <v/>
      </c>
      <c r="E59" s="26" t="str">
        <f aca="false">IF(OR($A59="",E$4=""),"",IF(NOT(OR(E$6="Toda la plantilla",ISNUMBER(SEARCH(";"&amp;SUBSTITUTE($C59," ","")&amp;";",";"&amp;SUBSTITUTE(E$7," ","")&amp;";")))),"—",IF(_xlfn.MAXIFS(Acuses!$C$5:$C$3004,Acuses!$A$5:$A$3004,$A59,Acuses!$B$5:$B$3004,E$4)&lt;E$5,"Pendiente",IF(E$8=0,"OK",IF(EDATE(_xlfn.MAXIFS(Acuses!$D$5:$D$3004,Acuses!$A$5:$A$3004,$A59,Acuses!$B$5:$B$3004,E$4,Acuses!$C$5:$C$3004,E$5),E$8)&lt;Resumen!$C$4,"Caducado",IF(EDATE(_xlfn.MAXIFS(Acuses!$D$5:$D$3004,Acuses!$A$5:$A$3004,$A59,Acuses!$B$5:$B$3004,E$4,Acuses!$C$5:$C$3004,E$5),E$8)&lt;Resumen!$C$4+30,"Caduca pronto","OK"))))))</f>
        <v/>
      </c>
      <c r="F59" s="26" t="str">
        <f aca="false">IF(OR($A59="",F$4=""),"",IF(NOT(OR(F$6="Toda la plantilla",ISNUMBER(SEARCH(";"&amp;SUBSTITUTE($C59," ","")&amp;";",";"&amp;SUBSTITUTE(F$7," ","")&amp;";")))),"—",IF(_xlfn.MAXIFS(Acuses!$C$5:$C$3004,Acuses!$A$5:$A$3004,$A59,Acuses!$B$5:$B$3004,F$4)&lt;F$5,"Pendiente",IF(F$8=0,"OK",IF(EDATE(_xlfn.MAXIFS(Acuses!$D$5:$D$3004,Acuses!$A$5:$A$3004,$A59,Acuses!$B$5:$B$3004,F$4,Acuses!$C$5:$C$3004,F$5),F$8)&lt;Resumen!$C$4,"Caducado",IF(EDATE(_xlfn.MAXIFS(Acuses!$D$5:$D$3004,Acuses!$A$5:$A$3004,$A59,Acuses!$B$5:$B$3004,F$4,Acuses!$C$5:$C$3004,F$5),F$8)&lt;Resumen!$C$4+30,"Caduca pronto","OK"))))))</f>
        <v/>
      </c>
      <c r="G59" s="26" t="str">
        <f aca="false">IF(OR($A59="",G$4=""),"",IF(NOT(OR(G$6="Toda la plantilla",ISNUMBER(SEARCH(";"&amp;SUBSTITUTE($C59," ","")&amp;";",";"&amp;SUBSTITUTE(G$7," ","")&amp;";")))),"—",IF(_xlfn.MAXIFS(Acuses!$C$5:$C$3004,Acuses!$A$5:$A$3004,$A59,Acuses!$B$5:$B$3004,G$4)&lt;G$5,"Pendiente",IF(G$8=0,"OK",IF(EDATE(_xlfn.MAXIFS(Acuses!$D$5:$D$3004,Acuses!$A$5:$A$3004,$A59,Acuses!$B$5:$B$3004,G$4,Acuses!$C$5:$C$3004,G$5),G$8)&lt;Resumen!$C$4,"Caducado",IF(EDATE(_xlfn.MAXIFS(Acuses!$D$5:$D$3004,Acuses!$A$5:$A$3004,$A59,Acuses!$B$5:$B$3004,G$4,Acuses!$C$5:$C$3004,G$5),G$8)&lt;Resumen!$C$4+30,"Caduca pronto","OK"))))))</f>
        <v/>
      </c>
      <c r="H59" s="26" t="str">
        <f aca="false">IF(OR($A59="",H$4=""),"",IF(NOT(OR(H$6="Toda la plantilla",ISNUMBER(SEARCH(";"&amp;SUBSTITUTE($C59," ","")&amp;";",";"&amp;SUBSTITUTE(H$7," ","")&amp;";")))),"—",IF(_xlfn.MAXIFS(Acuses!$C$5:$C$3004,Acuses!$A$5:$A$3004,$A59,Acuses!$B$5:$B$3004,H$4)&lt;H$5,"Pendiente",IF(H$8=0,"OK",IF(EDATE(_xlfn.MAXIFS(Acuses!$D$5:$D$3004,Acuses!$A$5:$A$3004,$A59,Acuses!$B$5:$B$3004,H$4,Acuses!$C$5:$C$3004,H$5),H$8)&lt;Resumen!$C$4,"Caducado",IF(EDATE(_xlfn.MAXIFS(Acuses!$D$5:$D$3004,Acuses!$A$5:$A$3004,$A59,Acuses!$B$5:$B$3004,H$4,Acuses!$C$5:$C$3004,H$5),H$8)&lt;Resumen!$C$4+30,"Caduca pronto","OK"))))))</f>
        <v/>
      </c>
      <c r="I59" s="26" t="str">
        <f aca="false">IF(OR($A59="",I$4=""),"",IF(NOT(OR(I$6="Toda la plantilla",ISNUMBER(SEARCH(";"&amp;SUBSTITUTE($C59," ","")&amp;";",";"&amp;SUBSTITUTE(I$7," ","")&amp;";")))),"—",IF(_xlfn.MAXIFS(Acuses!$C$5:$C$3004,Acuses!$A$5:$A$3004,$A59,Acuses!$B$5:$B$3004,I$4)&lt;I$5,"Pendiente",IF(I$8=0,"OK",IF(EDATE(_xlfn.MAXIFS(Acuses!$D$5:$D$3004,Acuses!$A$5:$A$3004,$A59,Acuses!$B$5:$B$3004,I$4,Acuses!$C$5:$C$3004,I$5),I$8)&lt;Resumen!$C$4,"Caducado",IF(EDATE(_xlfn.MAXIFS(Acuses!$D$5:$D$3004,Acuses!$A$5:$A$3004,$A59,Acuses!$B$5:$B$3004,I$4,Acuses!$C$5:$C$3004,I$5),I$8)&lt;Resumen!$C$4+30,"Caduca pronto","OK"))))))</f>
        <v/>
      </c>
      <c r="J59" s="26" t="str">
        <f aca="false">IF(OR($A59="",J$4=""),"",IF(NOT(OR(J$6="Toda la plantilla",ISNUMBER(SEARCH(";"&amp;SUBSTITUTE($C59," ","")&amp;";",";"&amp;SUBSTITUTE(J$7," ","")&amp;";")))),"—",IF(_xlfn.MAXIFS(Acuses!$C$5:$C$3004,Acuses!$A$5:$A$3004,$A59,Acuses!$B$5:$B$3004,J$4)&lt;J$5,"Pendiente",IF(J$8=0,"OK",IF(EDATE(_xlfn.MAXIFS(Acuses!$D$5:$D$3004,Acuses!$A$5:$A$3004,$A59,Acuses!$B$5:$B$3004,J$4,Acuses!$C$5:$C$3004,J$5),J$8)&lt;Resumen!$C$4,"Caducado",IF(EDATE(_xlfn.MAXIFS(Acuses!$D$5:$D$3004,Acuses!$A$5:$A$3004,$A59,Acuses!$B$5:$B$3004,J$4,Acuses!$C$5:$C$3004,J$5),J$8)&lt;Resumen!$C$4+30,"Caduca pronto","OK"))))))</f>
        <v/>
      </c>
      <c r="K59" s="26" t="str">
        <f aca="false">IF(OR($A59="",K$4=""),"",IF(NOT(OR(K$6="Toda la plantilla",ISNUMBER(SEARCH(";"&amp;SUBSTITUTE($C59," ","")&amp;";",";"&amp;SUBSTITUTE(K$7," ","")&amp;";")))),"—",IF(_xlfn.MAXIFS(Acuses!$C$5:$C$3004,Acuses!$A$5:$A$3004,$A59,Acuses!$B$5:$B$3004,K$4)&lt;K$5,"Pendiente",IF(K$8=0,"OK",IF(EDATE(_xlfn.MAXIFS(Acuses!$D$5:$D$3004,Acuses!$A$5:$A$3004,$A59,Acuses!$B$5:$B$3004,K$4,Acuses!$C$5:$C$3004,K$5),K$8)&lt;Resumen!$C$4,"Caducado",IF(EDATE(_xlfn.MAXIFS(Acuses!$D$5:$D$3004,Acuses!$A$5:$A$3004,$A59,Acuses!$B$5:$B$3004,K$4,Acuses!$C$5:$C$3004,K$5),K$8)&lt;Resumen!$C$4+30,"Caduca pronto","OK"))))))</f>
        <v/>
      </c>
      <c r="L59" s="26" t="str">
        <f aca="false">IF(OR($A59="",L$4=""),"",IF(NOT(OR(L$6="Toda la plantilla",ISNUMBER(SEARCH(";"&amp;SUBSTITUTE($C59," ","")&amp;";",";"&amp;SUBSTITUTE(L$7," ","")&amp;";")))),"—",IF(_xlfn.MAXIFS(Acuses!$C$5:$C$3004,Acuses!$A$5:$A$3004,$A59,Acuses!$B$5:$B$3004,L$4)&lt;L$5,"Pendiente",IF(L$8=0,"OK",IF(EDATE(_xlfn.MAXIFS(Acuses!$D$5:$D$3004,Acuses!$A$5:$A$3004,$A59,Acuses!$B$5:$B$3004,L$4,Acuses!$C$5:$C$3004,L$5),L$8)&lt;Resumen!$C$4,"Caducado",IF(EDATE(_xlfn.MAXIFS(Acuses!$D$5:$D$3004,Acuses!$A$5:$A$3004,$A59,Acuses!$B$5:$B$3004,L$4,Acuses!$C$5:$C$3004,L$5),L$8)&lt;Resumen!$C$4+30,"Caduca pronto","OK"))))))</f>
        <v/>
      </c>
      <c r="M59" s="26" t="str">
        <f aca="false">IF(OR($A59="",M$4=""),"",IF(NOT(OR(M$6="Toda la plantilla",ISNUMBER(SEARCH(";"&amp;SUBSTITUTE($C59," ","")&amp;";",";"&amp;SUBSTITUTE(M$7," ","")&amp;";")))),"—",IF(_xlfn.MAXIFS(Acuses!$C$5:$C$3004,Acuses!$A$5:$A$3004,$A59,Acuses!$B$5:$B$3004,M$4)&lt;M$5,"Pendiente",IF(M$8=0,"OK",IF(EDATE(_xlfn.MAXIFS(Acuses!$D$5:$D$3004,Acuses!$A$5:$A$3004,$A59,Acuses!$B$5:$B$3004,M$4,Acuses!$C$5:$C$3004,M$5),M$8)&lt;Resumen!$C$4,"Caducado",IF(EDATE(_xlfn.MAXIFS(Acuses!$D$5:$D$3004,Acuses!$A$5:$A$3004,$A59,Acuses!$B$5:$B$3004,M$4,Acuses!$C$5:$C$3004,M$5),M$8)&lt;Resumen!$C$4+30,"Caduca pronto","OK"))))))</f>
        <v/>
      </c>
      <c r="N59" s="26" t="str">
        <f aca="false">IF(OR($A59="",N$4=""),"",IF(NOT(OR(N$6="Toda la plantilla",ISNUMBER(SEARCH(";"&amp;SUBSTITUTE($C59," ","")&amp;";",";"&amp;SUBSTITUTE(N$7," ","")&amp;";")))),"—",IF(_xlfn.MAXIFS(Acuses!$C$5:$C$3004,Acuses!$A$5:$A$3004,$A59,Acuses!$B$5:$B$3004,N$4)&lt;N$5,"Pendiente",IF(N$8=0,"OK",IF(EDATE(_xlfn.MAXIFS(Acuses!$D$5:$D$3004,Acuses!$A$5:$A$3004,$A59,Acuses!$B$5:$B$3004,N$4,Acuses!$C$5:$C$3004,N$5),N$8)&lt;Resumen!$C$4,"Caducado",IF(EDATE(_xlfn.MAXIFS(Acuses!$D$5:$D$3004,Acuses!$A$5:$A$3004,$A59,Acuses!$B$5:$B$3004,N$4,Acuses!$C$5:$C$3004,N$5),N$8)&lt;Resumen!$C$4+30,"Caduca pronto","OK"))))))</f>
        <v/>
      </c>
      <c r="O59" s="26" t="str">
        <f aca="false">IF(OR($A59="",O$4=""),"",IF(NOT(OR(O$6="Toda la plantilla",ISNUMBER(SEARCH(";"&amp;SUBSTITUTE($C59," ","")&amp;";",";"&amp;SUBSTITUTE(O$7," ","")&amp;";")))),"—",IF(_xlfn.MAXIFS(Acuses!$C$5:$C$3004,Acuses!$A$5:$A$3004,$A59,Acuses!$B$5:$B$3004,O$4)&lt;O$5,"Pendiente",IF(O$8=0,"OK",IF(EDATE(_xlfn.MAXIFS(Acuses!$D$5:$D$3004,Acuses!$A$5:$A$3004,$A59,Acuses!$B$5:$B$3004,O$4,Acuses!$C$5:$C$3004,O$5),O$8)&lt;Resumen!$C$4,"Caducado",IF(EDATE(_xlfn.MAXIFS(Acuses!$D$5:$D$3004,Acuses!$A$5:$A$3004,$A59,Acuses!$B$5:$B$3004,O$4,Acuses!$C$5:$C$3004,O$5),O$8)&lt;Resumen!$C$4+30,"Caduca pronto","OK"))))))</f>
        <v/>
      </c>
      <c r="P59" s="26" t="str">
        <f aca="false">IF(OR($A59="",P$4=""),"",IF(NOT(OR(P$6="Toda la plantilla",ISNUMBER(SEARCH(";"&amp;SUBSTITUTE($C59," ","")&amp;";",";"&amp;SUBSTITUTE(P$7," ","")&amp;";")))),"—",IF(_xlfn.MAXIFS(Acuses!$C$5:$C$3004,Acuses!$A$5:$A$3004,$A59,Acuses!$B$5:$B$3004,P$4)&lt;P$5,"Pendiente",IF(P$8=0,"OK",IF(EDATE(_xlfn.MAXIFS(Acuses!$D$5:$D$3004,Acuses!$A$5:$A$3004,$A59,Acuses!$B$5:$B$3004,P$4,Acuses!$C$5:$C$3004,P$5),P$8)&lt;Resumen!$C$4,"Caducado",IF(EDATE(_xlfn.MAXIFS(Acuses!$D$5:$D$3004,Acuses!$A$5:$A$3004,$A59,Acuses!$B$5:$B$3004,P$4,Acuses!$C$5:$C$3004,P$5),P$8)&lt;Resumen!$C$4+30,"Caduca pronto","OK"))))))</f>
        <v/>
      </c>
      <c r="Q59" s="26" t="str">
        <f aca="false">IF(OR($A59="",Q$4=""),"",IF(NOT(OR(Q$6="Toda la plantilla",ISNUMBER(SEARCH(";"&amp;SUBSTITUTE($C59," ","")&amp;";",";"&amp;SUBSTITUTE(Q$7," ","")&amp;";")))),"—",IF(_xlfn.MAXIFS(Acuses!$C$5:$C$3004,Acuses!$A$5:$A$3004,$A59,Acuses!$B$5:$B$3004,Q$4)&lt;Q$5,"Pendiente",IF(Q$8=0,"OK",IF(EDATE(_xlfn.MAXIFS(Acuses!$D$5:$D$3004,Acuses!$A$5:$A$3004,$A59,Acuses!$B$5:$B$3004,Q$4,Acuses!$C$5:$C$3004,Q$5),Q$8)&lt;Resumen!$C$4,"Caducado",IF(EDATE(_xlfn.MAXIFS(Acuses!$D$5:$D$3004,Acuses!$A$5:$A$3004,$A59,Acuses!$B$5:$B$3004,Q$4,Acuses!$C$5:$C$3004,Q$5),Q$8)&lt;Resumen!$C$4+30,"Caduca pronto","OK"))))))</f>
        <v/>
      </c>
      <c r="R59" s="26" t="str">
        <f aca="false">IF(OR($A59="",R$4=""),"",IF(NOT(OR(R$6="Toda la plantilla",ISNUMBER(SEARCH(";"&amp;SUBSTITUTE($C59," ","")&amp;";",";"&amp;SUBSTITUTE(R$7," ","")&amp;";")))),"—",IF(_xlfn.MAXIFS(Acuses!$C$5:$C$3004,Acuses!$A$5:$A$3004,$A59,Acuses!$B$5:$B$3004,R$4)&lt;R$5,"Pendiente",IF(R$8=0,"OK",IF(EDATE(_xlfn.MAXIFS(Acuses!$D$5:$D$3004,Acuses!$A$5:$A$3004,$A59,Acuses!$B$5:$B$3004,R$4,Acuses!$C$5:$C$3004,R$5),R$8)&lt;Resumen!$C$4,"Caducado",IF(EDATE(_xlfn.MAXIFS(Acuses!$D$5:$D$3004,Acuses!$A$5:$A$3004,$A59,Acuses!$B$5:$B$3004,R$4,Acuses!$C$5:$C$3004,R$5),R$8)&lt;Resumen!$C$4+30,"Caduca pronto","OK"))))))</f>
        <v/>
      </c>
      <c r="S59" s="26" t="str">
        <f aca="false">IF(OR($A59="",S$4=""),"",IF(NOT(OR(S$6="Toda la plantilla",ISNUMBER(SEARCH(";"&amp;SUBSTITUTE($C59," ","")&amp;";",";"&amp;SUBSTITUTE(S$7," ","")&amp;";")))),"—",IF(_xlfn.MAXIFS(Acuses!$C$5:$C$3004,Acuses!$A$5:$A$3004,$A59,Acuses!$B$5:$B$3004,S$4)&lt;S$5,"Pendiente",IF(S$8=0,"OK",IF(EDATE(_xlfn.MAXIFS(Acuses!$D$5:$D$3004,Acuses!$A$5:$A$3004,$A59,Acuses!$B$5:$B$3004,S$4,Acuses!$C$5:$C$3004,S$5),S$8)&lt;Resumen!$C$4,"Caducado",IF(EDATE(_xlfn.MAXIFS(Acuses!$D$5:$D$3004,Acuses!$A$5:$A$3004,$A59,Acuses!$B$5:$B$3004,S$4,Acuses!$C$5:$C$3004,S$5),S$8)&lt;Resumen!$C$4+30,"Caduca pronto","OK"))))))</f>
        <v/>
      </c>
      <c r="T59" s="26" t="str">
        <f aca="false">IF(OR($A59="",T$4=""),"",IF(NOT(OR(T$6="Toda la plantilla",ISNUMBER(SEARCH(";"&amp;SUBSTITUTE($C59," ","")&amp;";",";"&amp;SUBSTITUTE(T$7," ","")&amp;";")))),"—",IF(_xlfn.MAXIFS(Acuses!$C$5:$C$3004,Acuses!$A$5:$A$3004,$A59,Acuses!$B$5:$B$3004,T$4)&lt;T$5,"Pendiente",IF(T$8=0,"OK",IF(EDATE(_xlfn.MAXIFS(Acuses!$D$5:$D$3004,Acuses!$A$5:$A$3004,$A59,Acuses!$B$5:$B$3004,T$4,Acuses!$C$5:$C$3004,T$5),T$8)&lt;Resumen!$C$4,"Caducado",IF(EDATE(_xlfn.MAXIFS(Acuses!$D$5:$D$3004,Acuses!$A$5:$A$3004,$A59,Acuses!$B$5:$B$3004,T$4,Acuses!$C$5:$C$3004,T$5),T$8)&lt;Resumen!$C$4+30,"Caduca pronto","OK"))))))</f>
        <v/>
      </c>
      <c r="U59" s="26" t="str">
        <f aca="false">IF(OR($A59="",U$4=""),"",IF(NOT(OR(U$6="Toda la plantilla",ISNUMBER(SEARCH(";"&amp;SUBSTITUTE($C59," ","")&amp;";",";"&amp;SUBSTITUTE(U$7," ","")&amp;";")))),"—",IF(_xlfn.MAXIFS(Acuses!$C$5:$C$3004,Acuses!$A$5:$A$3004,$A59,Acuses!$B$5:$B$3004,U$4)&lt;U$5,"Pendiente",IF(U$8=0,"OK",IF(EDATE(_xlfn.MAXIFS(Acuses!$D$5:$D$3004,Acuses!$A$5:$A$3004,$A59,Acuses!$B$5:$B$3004,U$4,Acuses!$C$5:$C$3004,U$5),U$8)&lt;Resumen!$C$4,"Caducado",IF(EDATE(_xlfn.MAXIFS(Acuses!$D$5:$D$3004,Acuses!$A$5:$A$3004,$A59,Acuses!$B$5:$B$3004,U$4,Acuses!$C$5:$C$3004,U$5),U$8)&lt;Resumen!$C$4+30,"Caduca pronto","OK"))))))</f>
        <v/>
      </c>
      <c r="V59" s="26" t="str">
        <f aca="false">IF(OR($A59="",V$4=""),"",IF(NOT(OR(V$6="Toda la plantilla",ISNUMBER(SEARCH(";"&amp;SUBSTITUTE($C59," ","")&amp;";",";"&amp;SUBSTITUTE(V$7," ","")&amp;";")))),"—",IF(_xlfn.MAXIFS(Acuses!$C$5:$C$3004,Acuses!$A$5:$A$3004,$A59,Acuses!$B$5:$B$3004,V$4)&lt;V$5,"Pendiente",IF(V$8=0,"OK",IF(EDATE(_xlfn.MAXIFS(Acuses!$D$5:$D$3004,Acuses!$A$5:$A$3004,$A59,Acuses!$B$5:$B$3004,V$4,Acuses!$C$5:$C$3004,V$5),V$8)&lt;Resumen!$C$4,"Caducado",IF(EDATE(_xlfn.MAXIFS(Acuses!$D$5:$D$3004,Acuses!$A$5:$A$3004,$A59,Acuses!$B$5:$B$3004,V$4,Acuses!$C$5:$C$3004,V$5),V$8)&lt;Resumen!$C$4+30,"Caduca pronto","OK"))))))</f>
        <v/>
      </c>
      <c r="W59" s="26" t="str">
        <f aca="false">IF(OR($A59="",W$4=""),"",IF(NOT(OR(W$6="Toda la plantilla",ISNUMBER(SEARCH(";"&amp;SUBSTITUTE($C59," ","")&amp;";",";"&amp;SUBSTITUTE(W$7," ","")&amp;";")))),"—",IF(_xlfn.MAXIFS(Acuses!$C$5:$C$3004,Acuses!$A$5:$A$3004,$A59,Acuses!$B$5:$B$3004,W$4)&lt;W$5,"Pendiente",IF(W$8=0,"OK",IF(EDATE(_xlfn.MAXIFS(Acuses!$D$5:$D$3004,Acuses!$A$5:$A$3004,$A59,Acuses!$B$5:$B$3004,W$4,Acuses!$C$5:$C$3004,W$5),W$8)&lt;Resumen!$C$4,"Caducado",IF(EDATE(_xlfn.MAXIFS(Acuses!$D$5:$D$3004,Acuses!$A$5:$A$3004,$A59,Acuses!$B$5:$B$3004,W$4,Acuses!$C$5:$C$3004,W$5),W$8)&lt;Resumen!$C$4+30,"Caduca pronto","OK"))))))</f>
        <v/>
      </c>
      <c r="X59" s="26" t="str">
        <f aca="false">IF(OR($A59="",X$4=""),"",IF(NOT(OR(X$6="Toda la plantilla",ISNUMBER(SEARCH(";"&amp;SUBSTITUTE($C59," ","")&amp;";",";"&amp;SUBSTITUTE(X$7," ","")&amp;";")))),"—",IF(_xlfn.MAXIFS(Acuses!$C$5:$C$3004,Acuses!$A$5:$A$3004,$A59,Acuses!$B$5:$B$3004,X$4)&lt;X$5,"Pendiente",IF(X$8=0,"OK",IF(EDATE(_xlfn.MAXIFS(Acuses!$D$5:$D$3004,Acuses!$A$5:$A$3004,$A59,Acuses!$B$5:$B$3004,X$4,Acuses!$C$5:$C$3004,X$5),X$8)&lt;Resumen!$C$4,"Caducado",IF(EDATE(_xlfn.MAXIFS(Acuses!$D$5:$D$3004,Acuses!$A$5:$A$3004,$A59,Acuses!$B$5:$B$3004,X$4,Acuses!$C$5:$C$3004,X$5),X$8)&lt;Resumen!$C$4+30,"Caduca pronto","OK"))))))</f>
        <v/>
      </c>
      <c r="Y59" s="26" t="str">
        <f aca="false">IF(OR($A59="",Y$4=""),"",IF(NOT(OR(Y$6="Toda la plantilla",ISNUMBER(SEARCH(";"&amp;SUBSTITUTE($C59," ","")&amp;";",";"&amp;SUBSTITUTE(Y$7," ","")&amp;";")))),"—",IF(_xlfn.MAXIFS(Acuses!$C$5:$C$3004,Acuses!$A$5:$A$3004,$A59,Acuses!$B$5:$B$3004,Y$4)&lt;Y$5,"Pendiente",IF(Y$8=0,"OK",IF(EDATE(_xlfn.MAXIFS(Acuses!$D$5:$D$3004,Acuses!$A$5:$A$3004,$A59,Acuses!$B$5:$B$3004,Y$4,Acuses!$C$5:$C$3004,Y$5),Y$8)&lt;Resumen!$C$4,"Caducado",IF(EDATE(_xlfn.MAXIFS(Acuses!$D$5:$D$3004,Acuses!$A$5:$A$3004,$A59,Acuses!$B$5:$B$3004,Y$4,Acuses!$C$5:$C$3004,Y$5),Y$8)&lt;Resumen!$C$4+30,"Caduca pronto","OK"))))))</f>
        <v/>
      </c>
      <c r="Z59" s="26" t="str">
        <f aca="false">IF(OR($A59="",Z$4=""),"",IF(NOT(OR(Z$6="Toda la plantilla",ISNUMBER(SEARCH(";"&amp;SUBSTITUTE($C59," ","")&amp;";",";"&amp;SUBSTITUTE(Z$7," ","")&amp;";")))),"—",IF(_xlfn.MAXIFS(Acuses!$C$5:$C$3004,Acuses!$A$5:$A$3004,$A59,Acuses!$B$5:$B$3004,Z$4)&lt;Z$5,"Pendiente",IF(Z$8=0,"OK",IF(EDATE(_xlfn.MAXIFS(Acuses!$D$5:$D$3004,Acuses!$A$5:$A$3004,$A59,Acuses!$B$5:$B$3004,Z$4,Acuses!$C$5:$C$3004,Z$5),Z$8)&lt;Resumen!$C$4,"Caducado",IF(EDATE(_xlfn.MAXIFS(Acuses!$D$5:$D$3004,Acuses!$A$5:$A$3004,$A59,Acuses!$B$5:$B$3004,Z$4,Acuses!$C$5:$C$3004,Z$5),Z$8)&lt;Resumen!$C$4+30,"Caduca pronto","OK"))))))</f>
        <v/>
      </c>
      <c r="AA59" s="26" t="str">
        <f aca="false">IF(OR($A59="",AA$4=""),"",IF(NOT(OR(AA$6="Toda la plantilla",ISNUMBER(SEARCH(";"&amp;SUBSTITUTE($C59," ","")&amp;";",";"&amp;SUBSTITUTE(AA$7," ","")&amp;";")))),"—",IF(_xlfn.MAXIFS(Acuses!$C$5:$C$3004,Acuses!$A$5:$A$3004,$A59,Acuses!$B$5:$B$3004,AA$4)&lt;AA$5,"Pendiente",IF(AA$8=0,"OK",IF(EDATE(_xlfn.MAXIFS(Acuses!$D$5:$D$3004,Acuses!$A$5:$A$3004,$A59,Acuses!$B$5:$B$3004,AA$4,Acuses!$C$5:$C$3004,AA$5),AA$8)&lt;Resumen!$C$4,"Caducado",IF(EDATE(_xlfn.MAXIFS(Acuses!$D$5:$D$3004,Acuses!$A$5:$A$3004,$A59,Acuses!$B$5:$B$3004,AA$4,Acuses!$C$5:$C$3004,AA$5),AA$8)&lt;Resumen!$C$4+30,"Caduca pronto","OK"))))))</f>
        <v/>
      </c>
      <c r="AB59" s="26" t="str">
        <f aca="false">IF(OR($A59="",AB$4=""),"",IF(NOT(OR(AB$6="Toda la plantilla",ISNUMBER(SEARCH(";"&amp;SUBSTITUTE($C59," ","")&amp;";",";"&amp;SUBSTITUTE(AB$7," ","")&amp;";")))),"—",IF(_xlfn.MAXIFS(Acuses!$C$5:$C$3004,Acuses!$A$5:$A$3004,$A59,Acuses!$B$5:$B$3004,AB$4)&lt;AB$5,"Pendiente",IF(AB$8=0,"OK",IF(EDATE(_xlfn.MAXIFS(Acuses!$D$5:$D$3004,Acuses!$A$5:$A$3004,$A59,Acuses!$B$5:$B$3004,AB$4,Acuses!$C$5:$C$3004,AB$5),AB$8)&lt;Resumen!$C$4,"Caducado",IF(EDATE(_xlfn.MAXIFS(Acuses!$D$5:$D$3004,Acuses!$A$5:$A$3004,$A59,Acuses!$B$5:$B$3004,AB$4,Acuses!$C$5:$C$3004,AB$5),AB$8)&lt;Resumen!$C$4+30,"Caduca pronto","OK"))))))</f>
        <v/>
      </c>
      <c r="AC59" s="26" t="str">
        <f aca="false">IF(OR($A59="",AC$4=""),"",IF(NOT(OR(AC$6="Toda la plantilla",ISNUMBER(SEARCH(";"&amp;SUBSTITUTE($C59," ","")&amp;";",";"&amp;SUBSTITUTE(AC$7," ","")&amp;";")))),"—",IF(_xlfn.MAXIFS(Acuses!$C$5:$C$3004,Acuses!$A$5:$A$3004,$A59,Acuses!$B$5:$B$3004,AC$4)&lt;AC$5,"Pendiente",IF(AC$8=0,"OK",IF(EDATE(_xlfn.MAXIFS(Acuses!$D$5:$D$3004,Acuses!$A$5:$A$3004,$A59,Acuses!$B$5:$B$3004,AC$4,Acuses!$C$5:$C$3004,AC$5),AC$8)&lt;Resumen!$C$4,"Caducado",IF(EDATE(_xlfn.MAXIFS(Acuses!$D$5:$D$3004,Acuses!$A$5:$A$3004,$A59,Acuses!$B$5:$B$3004,AC$4,Acuses!$C$5:$C$3004,AC$5),AC$8)&lt;Resumen!$C$4+30,"Caduca pronto","OK"))))))</f>
        <v/>
      </c>
      <c r="AD59" s="26" t="str">
        <f aca="false">IF(OR($A59="",AD$4=""),"",IF(NOT(OR(AD$6="Toda la plantilla",ISNUMBER(SEARCH(";"&amp;SUBSTITUTE($C59," ","")&amp;";",";"&amp;SUBSTITUTE(AD$7," ","")&amp;";")))),"—",IF(_xlfn.MAXIFS(Acuses!$C$5:$C$3004,Acuses!$A$5:$A$3004,$A59,Acuses!$B$5:$B$3004,AD$4)&lt;AD$5,"Pendiente",IF(AD$8=0,"OK",IF(EDATE(_xlfn.MAXIFS(Acuses!$D$5:$D$3004,Acuses!$A$5:$A$3004,$A59,Acuses!$B$5:$B$3004,AD$4,Acuses!$C$5:$C$3004,AD$5),AD$8)&lt;Resumen!$C$4,"Caducado",IF(EDATE(_xlfn.MAXIFS(Acuses!$D$5:$D$3004,Acuses!$A$5:$A$3004,$A59,Acuses!$B$5:$B$3004,AD$4,Acuses!$C$5:$C$3004,AD$5),AD$8)&lt;Resumen!$C$4+30,"Caduca pronto","OK"))))))</f>
        <v/>
      </c>
      <c r="AE59" s="26" t="str">
        <f aca="false">IF(OR($A59="",AE$4=""),"",IF(NOT(OR(AE$6="Toda la plantilla",ISNUMBER(SEARCH(";"&amp;SUBSTITUTE($C59," ","")&amp;";",";"&amp;SUBSTITUTE(AE$7," ","")&amp;";")))),"—",IF(_xlfn.MAXIFS(Acuses!$C$5:$C$3004,Acuses!$A$5:$A$3004,$A59,Acuses!$B$5:$B$3004,AE$4)&lt;AE$5,"Pendiente",IF(AE$8=0,"OK",IF(EDATE(_xlfn.MAXIFS(Acuses!$D$5:$D$3004,Acuses!$A$5:$A$3004,$A59,Acuses!$B$5:$B$3004,AE$4,Acuses!$C$5:$C$3004,AE$5),AE$8)&lt;Resumen!$C$4,"Caducado",IF(EDATE(_xlfn.MAXIFS(Acuses!$D$5:$D$3004,Acuses!$A$5:$A$3004,$A59,Acuses!$B$5:$B$3004,AE$4,Acuses!$C$5:$C$3004,AE$5),AE$8)&lt;Resumen!$C$4+30,"Caduca pronto","OK"))))))</f>
        <v/>
      </c>
      <c r="AF59" s="26" t="str">
        <f aca="false">IF(OR($A59="",AF$4=""),"",IF(NOT(OR(AF$6="Toda la plantilla",ISNUMBER(SEARCH(";"&amp;SUBSTITUTE($C59," ","")&amp;";",";"&amp;SUBSTITUTE(AF$7," ","")&amp;";")))),"—",IF(_xlfn.MAXIFS(Acuses!$C$5:$C$3004,Acuses!$A$5:$A$3004,$A59,Acuses!$B$5:$B$3004,AF$4)&lt;AF$5,"Pendiente",IF(AF$8=0,"OK",IF(EDATE(_xlfn.MAXIFS(Acuses!$D$5:$D$3004,Acuses!$A$5:$A$3004,$A59,Acuses!$B$5:$B$3004,AF$4,Acuses!$C$5:$C$3004,AF$5),AF$8)&lt;Resumen!$C$4,"Caducado",IF(EDATE(_xlfn.MAXIFS(Acuses!$D$5:$D$3004,Acuses!$A$5:$A$3004,$A59,Acuses!$B$5:$B$3004,AF$4,Acuses!$C$5:$C$3004,AF$5),AF$8)&lt;Resumen!$C$4+30,"Caduca pronto","OK"))))))</f>
        <v/>
      </c>
      <c r="AG59" s="26" t="str">
        <f aca="false">IF(OR($A59="",AG$4=""),"",IF(NOT(OR(AG$6="Toda la plantilla",ISNUMBER(SEARCH(";"&amp;SUBSTITUTE($C59," ","")&amp;";",";"&amp;SUBSTITUTE(AG$7," ","")&amp;";")))),"—",IF(_xlfn.MAXIFS(Acuses!$C$5:$C$3004,Acuses!$A$5:$A$3004,$A59,Acuses!$B$5:$B$3004,AG$4)&lt;AG$5,"Pendiente",IF(AG$8=0,"OK",IF(EDATE(_xlfn.MAXIFS(Acuses!$D$5:$D$3004,Acuses!$A$5:$A$3004,$A59,Acuses!$B$5:$B$3004,AG$4,Acuses!$C$5:$C$3004,AG$5),AG$8)&lt;Resumen!$C$4,"Caducado",IF(EDATE(_xlfn.MAXIFS(Acuses!$D$5:$D$3004,Acuses!$A$5:$A$3004,$A59,Acuses!$B$5:$B$3004,AG$4,Acuses!$C$5:$C$3004,AG$5),AG$8)&lt;Resumen!$C$4+30,"Caduca pronto","OK"))))))</f>
        <v/>
      </c>
      <c r="AH59" s="26" t="str">
        <f aca="false">IF(OR($A59="",AH$4=""),"",IF(NOT(OR(AH$6="Toda la plantilla",ISNUMBER(SEARCH(";"&amp;SUBSTITUTE($C59," ","")&amp;";",";"&amp;SUBSTITUTE(AH$7," ","")&amp;";")))),"—",IF(_xlfn.MAXIFS(Acuses!$C$5:$C$3004,Acuses!$A$5:$A$3004,$A59,Acuses!$B$5:$B$3004,AH$4)&lt;AH$5,"Pendiente",IF(AH$8=0,"OK",IF(EDATE(_xlfn.MAXIFS(Acuses!$D$5:$D$3004,Acuses!$A$5:$A$3004,$A59,Acuses!$B$5:$B$3004,AH$4,Acuses!$C$5:$C$3004,AH$5),AH$8)&lt;Resumen!$C$4,"Caducado",IF(EDATE(_xlfn.MAXIFS(Acuses!$D$5:$D$3004,Acuses!$A$5:$A$3004,$A59,Acuses!$B$5:$B$3004,AH$4,Acuses!$C$5:$C$3004,AH$5),AH$8)&lt;Resumen!$C$4+30,"Caduca pronto","OK"))))))</f>
        <v/>
      </c>
      <c r="AI59" s="26" t="str">
        <f aca="false">IF(OR($A59="",AI$4=""),"",IF(NOT(OR(AI$6="Toda la plantilla",ISNUMBER(SEARCH(";"&amp;SUBSTITUTE($C59," ","")&amp;";",";"&amp;SUBSTITUTE(AI$7," ","")&amp;";")))),"—",IF(_xlfn.MAXIFS(Acuses!$C$5:$C$3004,Acuses!$A$5:$A$3004,$A59,Acuses!$B$5:$B$3004,AI$4)&lt;AI$5,"Pendiente",IF(AI$8=0,"OK",IF(EDATE(_xlfn.MAXIFS(Acuses!$D$5:$D$3004,Acuses!$A$5:$A$3004,$A59,Acuses!$B$5:$B$3004,AI$4,Acuses!$C$5:$C$3004,AI$5),AI$8)&lt;Resumen!$C$4,"Caducado",IF(EDATE(_xlfn.MAXIFS(Acuses!$D$5:$D$3004,Acuses!$A$5:$A$3004,$A59,Acuses!$B$5:$B$3004,AI$4,Acuses!$C$5:$C$3004,AI$5),AI$8)&lt;Resumen!$C$4+30,"Caduca pronto","OK"))))))</f>
        <v/>
      </c>
      <c r="AJ59" s="26" t="str">
        <f aca="false">IF(OR($A59="",AJ$4=""),"",IF(NOT(OR(AJ$6="Toda la plantilla",ISNUMBER(SEARCH(";"&amp;SUBSTITUTE($C59," ","")&amp;";",";"&amp;SUBSTITUTE(AJ$7," ","")&amp;";")))),"—",IF(_xlfn.MAXIFS(Acuses!$C$5:$C$3004,Acuses!$A$5:$A$3004,$A59,Acuses!$B$5:$B$3004,AJ$4)&lt;AJ$5,"Pendiente",IF(AJ$8=0,"OK",IF(EDATE(_xlfn.MAXIFS(Acuses!$D$5:$D$3004,Acuses!$A$5:$A$3004,$A59,Acuses!$B$5:$B$3004,AJ$4,Acuses!$C$5:$C$3004,AJ$5),AJ$8)&lt;Resumen!$C$4,"Caducado",IF(EDATE(_xlfn.MAXIFS(Acuses!$D$5:$D$3004,Acuses!$A$5:$A$3004,$A59,Acuses!$B$5:$B$3004,AJ$4,Acuses!$C$5:$C$3004,AJ$5),AJ$8)&lt;Resumen!$C$4+30,"Caduca pronto","OK"))))))</f>
        <v/>
      </c>
      <c r="AK59" s="26" t="str">
        <f aca="false">IF(OR($A59="",AK$4=""),"",IF(NOT(OR(AK$6="Toda la plantilla",ISNUMBER(SEARCH(";"&amp;SUBSTITUTE($C59," ","")&amp;";",";"&amp;SUBSTITUTE(AK$7," ","")&amp;";")))),"—",IF(_xlfn.MAXIFS(Acuses!$C$5:$C$3004,Acuses!$A$5:$A$3004,$A59,Acuses!$B$5:$B$3004,AK$4)&lt;AK$5,"Pendiente",IF(AK$8=0,"OK",IF(EDATE(_xlfn.MAXIFS(Acuses!$D$5:$D$3004,Acuses!$A$5:$A$3004,$A59,Acuses!$B$5:$B$3004,AK$4,Acuses!$C$5:$C$3004,AK$5),AK$8)&lt;Resumen!$C$4,"Caducado",IF(EDATE(_xlfn.MAXIFS(Acuses!$D$5:$D$3004,Acuses!$A$5:$A$3004,$A59,Acuses!$B$5:$B$3004,AK$4,Acuses!$C$5:$C$3004,AK$5),AK$8)&lt;Resumen!$C$4+30,"Caduca pronto","OK"))))))</f>
        <v/>
      </c>
      <c r="AL59" s="26" t="str">
        <f aca="false">IF(OR($A59="",AL$4=""),"",IF(NOT(OR(AL$6="Toda la plantilla",ISNUMBER(SEARCH(";"&amp;SUBSTITUTE($C59," ","")&amp;";",";"&amp;SUBSTITUTE(AL$7," ","")&amp;";")))),"—",IF(_xlfn.MAXIFS(Acuses!$C$5:$C$3004,Acuses!$A$5:$A$3004,$A59,Acuses!$B$5:$B$3004,AL$4)&lt;AL$5,"Pendiente",IF(AL$8=0,"OK",IF(EDATE(_xlfn.MAXIFS(Acuses!$D$5:$D$3004,Acuses!$A$5:$A$3004,$A59,Acuses!$B$5:$B$3004,AL$4,Acuses!$C$5:$C$3004,AL$5),AL$8)&lt;Resumen!$C$4,"Caducado",IF(EDATE(_xlfn.MAXIFS(Acuses!$D$5:$D$3004,Acuses!$A$5:$A$3004,$A59,Acuses!$B$5:$B$3004,AL$4,Acuses!$C$5:$C$3004,AL$5),AL$8)&lt;Resumen!$C$4+30,"Caduca pronto","OK"))))))</f>
        <v/>
      </c>
      <c r="AM59" s="26" t="str">
        <f aca="false">IF(OR($A59="",AM$4=""),"",IF(NOT(OR(AM$6="Toda la plantilla",ISNUMBER(SEARCH(";"&amp;SUBSTITUTE($C59," ","")&amp;";",";"&amp;SUBSTITUTE(AM$7," ","")&amp;";")))),"—",IF(_xlfn.MAXIFS(Acuses!$C$5:$C$3004,Acuses!$A$5:$A$3004,$A59,Acuses!$B$5:$B$3004,AM$4)&lt;AM$5,"Pendiente",IF(AM$8=0,"OK",IF(EDATE(_xlfn.MAXIFS(Acuses!$D$5:$D$3004,Acuses!$A$5:$A$3004,$A59,Acuses!$B$5:$B$3004,AM$4,Acuses!$C$5:$C$3004,AM$5),AM$8)&lt;Resumen!$C$4,"Caducado",IF(EDATE(_xlfn.MAXIFS(Acuses!$D$5:$D$3004,Acuses!$A$5:$A$3004,$A59,Acuses!$B$5:$B$3004,AM$4,Acuses!$C$5:$C$3004,AM$5),AM$8)&lt;Resumen!$C$4+30,"Caduca pronto","OK"))))))</f>
        <v/>
      </c>
      <c r="AN59" s="26" t="str">
        <f aca="false">IF(OR($A59="",AN$4=""),"",IF(NOT(OR(AN$6="Toda la plantilla",ISNUMBER(SEARCH(";"&amp;SUBSTITUTE($C59," ","")&amp;";",";"&amp;SUBSTITUTE(AN$7," ","")&amp;";")))),"—",IF(_xlfn.MAXIFS(Acuses!$C$5:$C$3004,Acuses!$A$5:$A$3004,$A59,Acuses!$B$5:$B$3004,AN$4)&lt;AN$5,"Pendiente",IF(AN$8=0,"OK",IF(EDATE(_xlfn.MAXIFS(Acuses!$D$5:$D$3004,Acuses!$A$5:$A$3004,$A59,Acuses!$B$5:$B$3004,AN$4,Acuses!$C$5:$C$3004,AN$5),AN$8)&lt;Resumen!$C$4,"Caducado",IF(EDATE(_xlfn.MAXIFS(Acuses!$D$5:$D$3004,Acuses!$A$5:$A$3004,$A59,Acuses!$B$5:$B$3004,AN$4,Acuses!$C$5:$C$3004,AN$5),AN$8)&lt;Resumen!$C$4+30,"Caduca pronto","OK"))))))</f>
        <v/>
      </c>
      <c r="AO59" s="26" t="str">
        <f aca="false">IF(OR($A59="",AO$4=""),"",IF(NOT(OR(AO$6="Toda la plantilla",ISNUMBER(SEARCH(";"&amp;SUBSTITUTE($C59," ","")&amp;";",";"&amp;SUBSTITUTE(AO$7," ","")&amp;";")))),"—",IF(_xlfn.MAXIFS(Acuses!$C$5:$C$3004,Acuses!$A$5:$A$3004,$A59,Acuses!$B$5:$B$3004,AO$4)&lt;AO$5,"Pendiente",IF(AO$8=0,"OK",IF(EDATE(_xlfn.MAXIFS(Acuses!$D$5:$D$3004,Acuses!$A$5:$A$3004,$A59,Acuses!$B$5:$B$3004,AO$4,Acuses!$C$5:$C$3004,AO$5),AO$8)&lt;Resumen!$C$4,"Caducado",IF(EDATE(_xlfn.MAXIFS(Acuses!$D$5:$D$3004,Acuses!$A$5:$A$3004,$A59,Acuses!$B$5:$B$3004,AO$4,Acuses!$C$5:$C$3004,AO$5),AO$8)&lt;Resumen!$C$4+30,"Caduca pronto","OK"))))))</f>
        <v/>
      </c>
      <c r="AP59" s="26" t="str">
        <f aca="false">IF(OR($A59="",AP$4=""),"",IF(NOT(OR(AP$6="Toda la plantilla",ISNUMBER(SEARCH(";"&amp;SUBSTITUTE($C59," ","")&amp;";",";"&amp;SUBSTITUTE(AP$7," ","")&amp;";")))),"—",IF(_xlfn.MAXIFS(Acuses!$C$5:$C$3004,Acuses!$A$5:$A$3004,$A59,Acuses!$B$5:$B$3004,AP$4)&lt;AP$5,"Pendiente",IF(AP$8=0,"OK",IF(EDATE(_xlfn.MAXIFS(Acuses!$D$5:$D$3004,Acuses!$A$5:$A$3004,$A59,Acuses!$B$5:$B$3004,AP$4,Acuses!$C$5:$C$3004,AP$5),AP$8)&lt;Resumen!$C$4,"Caducado",IF(EDATE(_xlfn.MAXIFS(Acuses!$D$5:$D$3004,Acuses!$A$5:$A$3004,$A59,Acuses!$B$5:$B$3004,AP$4,Acuses!$C$5:$C$3004,AP$5),AP$8)&lt;Resumen!$C$4+30,"Caduca pronto","OK"))))))</f>
        <v/>
      </c>
      <c r="AQ59" s="26" t="str">
        <f aca="false">IF(OR($A59="",AQ$4=""),"",IF(NOT(OR(AQ$6="Toda la plantilla",ISNUMBER(SEARCH(";"&amp;SUBSTITUTE($C59," ","")&amp;";",";"&amp;SUBSTITUTE(AQ$7," ","")&amp;";")))),"—",IF(_xlfn.MAXIFS(Acuses!$C$5:$C$3004,Acuses!$A$5:$A$3004,$A59,Acuses!$B$5:$B$3004,AQ$4)&lt;AQ$5,"Pendiente",IF(AQ$8=0,"OK",IF(EDATE(_xlfn.MAXIFS(Acuses!$D$5:$D$3004,Acuses!$A$5:$A$3004,$A59,Acuses!$B$5:$B$3004,AQ$4,Acuses!$C$5:$C$3004,AQ$5),AQ$8)&lt;Resumen!$C$4,"Caducado",IF(EDATE(_xlfn.MAXIFS(Acuses!$D$5:$D$3004,Acuses!$A$5:$A$3004,$A59,Acuses!$B$5:$B$3004,AQ$4,Acuses!$C$5:$C$3004,AQ$5),AQ$8)&lt;Resumen!$C$4+30,"Caduca pronto","OK"))))))</f>
        <v/>
      </c>
    </row>
    <row r="60" customFormat="false" ht="15" hidden="false" customHeight="false" outlineLevel="0" collapsed="false">
      <c r="A60" s="25" t="str">
        <f aca="false">IF(AND(Trabajadores!$A$55&lt;&gt;"",Trabajadores!$G$55&lt;&gt;"No"),Trabajadores!$A$55,"")</f>
        <v/>
      </c>
      <c r="B60" s="25" t="str">
        <f aca="false">IF($A60="","",Trabajadores!$B$55)</f>
        <v/>
      </c>
      <c r="C60" s="25" t="str">
        <f aca="false">IF($A60="","",Trabajadores!$C$55)</f>
        <v/>
      </c>
      <c r="D60" s="26" t="str">
        <f aca="false">IF(OR($A60="",D$4=""),"",IF(NOT(OR(D$6="Toda la plantilla",ISNUMBER(SEARCH(";"&amp;SUBSTITUTE($C60," ","")&amp;";",";"&amp;SUBSTITUTE(D$7," ","")&amp;";")))),"—",IF(_xlfn.MAXIFS(Acuses!$C$5:$C$3004,Acuses!$A$5:$A$3004,$A60,Acuses!$B$5:$B$3004,D$4)&lt;D$5,"Pendiente",IF(D$8=0,"OK",IF(EDATE(_xlfn.MAXIFS(Acuses!$D$5:$D$3004,Acuses!$A$5:$A$3004,$A60,Acuses!$B$5:$B$3004,D$4,Acuses!$C$5:$C$3004,D$5),D$8)&lt;Resumen!$C$4,"Caducado",IF(EDATE(_xlfn.MAXIFS(Acuses!$D$5:$D$3004,Acuses!$A$5:$A$3004,$A60,Acuses!$B$5:$B$3004,D$4,Acuses!$C$5:$C$3004,D$5),D$8)&lt;Resumen!$C$4+30,"Caduca pronto","OK"))))))</f>
        <v/>
      </c>
      <c r="E60" s="26" t="str">
        <f aca="false">IF(OR($A60="",E$4=""),"",IF(NOT(OR(E$6="Toda la plantilla",ISNUMBER(SEARCH(";"&amp;SUBSTITUTE($C60," ","")&amp;";",";"&amp;SUBSTITUTE(E$7," ","")&amp;";")))),"—",IF(_xlfn.MAXIFS(Acuses!$C$5:$C$3004,Acuses!$A$5:$A$3004,$A60,Acuses!$B$5:$B$3004,E$4)&lt;E$5,"Pendiente",IF(E$8=0,"OK",IF(EDATE(_xlfn.MAXIFS(Acuses!$D$5:$D$3004,Acuses!$A$5:$A$3004,$A60,Acuses!$B$5:$B$3004,E$4,Acuses!$C$5:$C$3004,E$5),E$8)&lt;Resumen!$C$4,"Caducado",IF(EDATE(_xlfn.MAXIFS(Acuses!$D$5:$D$3004,Acuses!$A$5:$A$3004,$A60,Acuses!$B$5:$B$3004,E$4,Acuses!$C$5:$C$3004,E$5),E$8)&lt;Resumen!$C$4+30,"Caduca pronto","OK"))))))</f>
        <v/>
      </c>
      <c r="F60" s="26" t="str">
        <f aca="false">IF(OR($A60="",F$4=""),"",IF(NOT(OR(F$6="Toda la plantilla",ISNUMBER(SEARCH(";"&amp;SUBSTITUTE($C60," ","")&amp;";",";"&amp;SUBSTITUTE(F$7," ","")&amp;";")))),"—",IF(_xlfn.MAXIFS(Acuses!$C$5:$C$3004,Acuses!$A$5:$A$3004,$A60,Acuses!$B$5:$B$3004,F$4)&lt;F$5,"Pendiente",IF(F$8=0,"OK",IF(EDATE(_xlfn.MAXIFS(Acuses!$D$5:$D$3004,Acuses!$A$5:$A$3004,$A60,Acuses!$B$5:$B$3004,F$4,Acuses!$C$5:$C$3004,F$5),F$8)&lt;Resumen!$C$4,"Caducado",IF(EDATE(_xlfn.MAXIFS(Acuses!$D$5:$D$3004,Acuses!$A$5:$A$3004,$A60,Acuses!$B$5:$B$3004,F$4,Acuses!$C$5:$C$3004,F$5),F$8)&lt;Resumen!$C$4+30,"Caduca pronto","OK"))))))</f>
        <v/>
      </c>
      <c r="G60" s="26" t="str">
        <f aca="false">IF(OR($A60="",G$4=""),"",IF(NOT(OR(G$6="Toda la plantilla",ISNUMBER(SEARCH(";"&amp;SUBSTITUTE($C60," ","")&amp;";",";"&amp;SUBSTITUTE(G$7," ","")&amp;";")))),"—",IF(_xlfn.MAXIFS(Acuses!$C$5:$C$3004,Acuses!$A$5:$A$3004,$A60,Acuses!$B$5:$B$3004,G$4)&lt;G$5,"Pendiente",IF(G$8=0,"OK",IF(EDATE(_xlfn.MAXIFS(Acuses!$D$5:$D$3004,Acuses!$A$5:$A$3004,$A60,Acuses!$B$5:$B$3004,G$4,Acuses!$C$5:$C$3004,G$5),G$8)&lt;Resumen!$C$4,"Caducado",IF(EDATE(_xlfn.MAXIFS(Acuses!$D$5:$D$3004,Acuses!$A$5:$A$3004,$A60,Acuses!$B$5:$B$3004,G$4,Acuses!$C$5:$C$3004,G$5),G$8)&lt;Resumen!$C$4+30,"Caduca pronto","OK"))))))</f>
        <v/>
      </c>
      <c r="H60" s="26" t="str">
        <f aca="false">IF(OR($A60="",H$4=""),"",IF(NOT(OR(H$6="Toda la plantilla",ISNUMBER(SEARCH(";"&amp;SUBSTITUTE($C60," ","")&amp;";",";"&amp;SUBSTITUTE(H$7," ","")&amp;";")))),"—",IF(_xlfn.MAXIFS(Acuses!$C$5:$C$3004,Acuses!$A$5:$A$3004,$A60,Acuses!$B$5:$B$3004,H$4)&lt;H$5,"Pendiente",IF(H$8=0,"OK",IF(EDATE(_xlfn.MAXIFS(Acuses!$D$5:$D$3004,Acuses!$A$5:$A$3004,$A60,Acuses!$B$5:$B$3004,H$4,Acuses!$C$5:$C$3004,H$5),H$8)&lt;Resumen!$C$4,"Caducado",IF(EDATE(_xlfn.MAXIFS(Acuses!$D$5:$D$3004,Acuses!$A$5:$A$3004,$A60,Acuses!$B$5:$B$3004,H$4,Acuses!$C$5:$C$3004,H$5),H$8)&lt;Resumen!$C$4+30,"Caduca pronto","OK"))))))</f>
        <v/>
      </c>
      <c r="I60" s="26" t="str">
        <f aca="false">IF(OR($A60="",I$4=""),"",IF(NOT(OR(I$6="Toda la plantilla",ISNUMBER(SEARCH(";"&amp;SUBSTITUTE($C60," ","")&amp;";",";"&amp;SUBSTITUTE(I$7," ","")&amp;";")))),"—",IF(_xlfn.MAXIFS(Acuses!$C$5:$C$3004,Acuses!$A$5:$A$3004,$A60,Acuses!$B$5:$B$3004,I$4)&lt;I$5,"Pendiente",IF(I$8=0,"OK",IF(EDATE(_xlfn.MAXIFS(Acuses!$D$5:$D$3004,Acuses!$A$5:$A$3004,$A60,Acuses!$B$5:$B$3004,I$4,Acuses!$C$5:$C$3004,I$5),I$8)&lt;Resumen!$C$4,"Caducado",IF(EDATE(_xlfn.MAXIFS(Acuses!$D$5:$D$3004,Acuses!$A$5:$A$3004,$A60,Acuses!$B$5:$B$3004,I$4,Acuses!$C$5:$C$3004,I$5),I$8)&lt;Resumen!$C$4+30,"Caduca pronto","OK"))))))</f>
        <v/>
      </c>
      <c r="J60" s="26" t="str">
        <f aca="false">IF(OR($A60="",J$4=""),"",IF(NOT(OR(J$6="Toda la plantilla",ISNUMBER(SEARCH(";"&amp;SUBSTITUTE($C60," ","")&amp;";",";"&amp;SUBSTITUTE(J$7," ","")&amp;";")))),"—",IF(_xlfn.MAXIFS(Acuses!$C$5:$C$3004,Acuses!$A$5:$A$3004,$A60,Acuses!$B$5:$B$3004,J$4)&lt;J$5,"Pendiente",IF(J$8=0,"OK",IF(EDATE(_xlfn.MAXIFS(Acuses!$D$5:$D$3004,Acuses!$A$5:$A$3004,$A60,Acuses!$B$5:$B$3004,J$4,Acuses!$C$5:$C$3004,J$5),J$8)&lt;Resumen!$C$4,"Caducado",IF(EDATE(_xlfn.MAXIFS(Acuses!$D$5:$D$3004,Acuses!$A$5:$A$3004,$A60,Acuses!$B$5:$B$3004,J$4,Acuses!$C$5:$C$3004,J$5),J$8)&lt;Resumen!$C$4+30,"Caduca pronto","OK"))))))</f>
        <v/>
      </c>
      <c r="K60" s="26" t="str">
        <f aca="false">IF(OR($A60="",K$4=""),"",IF(NOT(OR(K$6="Toda la plantilla",ISNUMBER(SEARCH(";"&amp;SUBSTITUTE($C60," ","")&amp;";",";"&amp;SUBSTITUTE(K$7," ","")&amp;";")))),"—",IF(_xlfn.MAXIFS(Acuses!$C$5:$C$3004,Acuses!$A$5:$A$3004,$A60,Acuses!$B$5:$B$3004,K$4)&lt;K$5,"Pendiente",IF(K$8=0,"OK",IF(EDATE(_xlfn.MAXIFS(Acuses!$D$5:$D$3004,Acuses!$A$5:$A$3004,$A60,Acuses!$B$5:$B$3004,K$4,Acuses!$C$5:$C$3004,K$5),K$8)&lt;Resumen!$C$4,"Caducado",IF(EDATE(_xlfn.MAXIFS(Acuses!$D$5:$D$3004,Acuses!$A$5:$A$3004,$A60,Acuses!$B$5:$B$3004,K$4,Acuses!$C$5:$C$3004,K$5),K$8)&lt;Resumen!$C$4+30,"Caduca pronto","OK"))))))</f>
        <v/>
      </c>
      <c r="L60" s="26" t="str">
        <f aca="false">IF(OR($A60="",L$4=""),"",IF(NOT(OR(L$6="Toda la plantilla",ISNUMBER(SEARCH(";"&amp;SUBSTITUTE($C60," ","")&amp;";",";"&amp;SUBSTITUTE(L$7," ","")&amp;";")))),"—",IF(_xlfn.MAXIFS(Acuses!$C$5:$C$3004,Acuses!$A$5:$A$3004,$A60,Acuses!$B$5:$B$3004,L$4)&lt;L$5,"Pendiente",IF(L$8=0,"OK",IF(EDATE(_xlfn.MAXIFS(Acuses!$D$5:$D$3004,Acuses!$A$5:$A$3004,$A60,Acuses!$B$5:$B$3004,L$4,Acuses!$C$5:$C$3004,L$5),L$8)&lt;Resumen!$C$4,"Caducado",IF(EDATE(_xlfn.MAXIFS(Acuses!$D$5:$D$3004,Acuses!$A$5:$A$3004,$A60,Acuses!$B$5:$B$3004,L$4,Acuses!$C$5:$C$3004,L$5),L$8)&lt;Resumen!$C$4+30,"Caduca pronto","OK"))))))</f>
        <v/>
      </c>
      <c r="M60" s="26" t="str">
        <f aca="false">IF(OR($A60="",M$4=""),"",IF(NOT(OR(M$6="Toda la plantilla",ISNUMBER(SEARCH(";"&amp;SUBSTITUTE($C60," ","")&amp;";",";"&amp;SUBSTITUTE(M$7," ","")&amp;";")))),"—",IF(_xlfn.MAXIFS(Acuses!$C$5:$C$3004,Acuses!$A$5:$A$3004,$A60,Acuses!$B$5:$B$3004,M$4)&lt;M$5,"Pendiente",IF(M$8=0,"OK",IF(EDATE(_xlfn.MAXIFS(Acuses!$D$5:$D$3004,Acuses!$A$5:$A$3004,$A60,Acuses!$B$5:$B$3004,M$4,Acuses!$C$5:$C$3004,M$5),M$8)&lt;Resumen!$C$4,"Caducado",IF(EDATE(_xlfn.MAXIFS(Acuses!$D$5:$D$3004,Acuses!$A$5:$A$3004,$A60,Acuses!$B$5:$B$3004,M$4,Acuses!$C$5:$C$3004,M$5),M$8)&lt;Resumen!$C$4+30,"Caduca pronto","OK"))))))</f>
        <v/>
      </c>
      <c r="N60" s="26" t="str">
        <f aca="false">IF(OR($A60="",N$4=""),"",IF(NOT(OR(N$6="Toda la plantilla",ISNUMBER(SEARCH(";"&amp;SUBSTITUTE($C60," ","")&amp;";",";"&amp;SUBSTITUTE(N$7," ","")&amp;";")))),"—",IF(_xlfn.MAXIFS(Acuses!$C$5:$C$3004,Acuses!$A$5:$A$3004,$A60,Acuses!$B$5:$B$3004,N$4)&lt;N$5,"Pendiente",IF(N$8=0,"OK",IF(EDATE(_xlfn.MAXIFS(Acuses!$D$5:$D$3004,Acuses!$A$5:$A$3004,$A60,Acuses!$B$5:$B$3004,N$4,Acuses!$C$5:$C$3004,N$5),N$8)&lt;Resumen!$C$4,"Caducado",IF(EDATE(_xlfn.MAXIFS(Acuses!$D$5:$D$3004,Acuses!$A$5:$A$3004,$A60,Acuses!$B$5:$B$3004,N$4,Acuses!$C$5:$C$3004,N$5),N$8)&lt;Resumen!$C$4+30,"Caduca pronto","OK"))))))</f>
        <v/>
      </c>
      <c r="O60" s="26" t="str">
        <f aca="false">IF(OR($A60="",O$4=""),"",IF(NOT(OR(O$6="Toda la plantilla",ISNUMBER(SEARCH(";"&amp;SUBSTITUTE($C60," ","")&amp;";",";"&amp;SUBSTITUTE(O$7," ","")&amp;";")))),"—",IF(_xlfn.MAXIFS(Acuses!$C$5:$C$3004,Acuses!$A$5:$A$3004,$A60,Acuses!$B$5:$B$3004,O$4)&lt;O$5,"Pendiente",IF(O$8=0,"OK",IF(EDATE(_xlfn.MAXIFS(Acuses!$D$5:$D$3004,Acuses!$A$5:$A$3004,$A60,Acuses!$B$5:$B$3004,O$4,Acuses!$C$5:$C$3004,O$5),O$8)&lt;Resumen!$C$4,"Caducado",IF(EDATE(_xlfn.MAXIFS(Acuses!$D$5:$D$3004,Acuses!$A$5:$A$3004,$A60,Acuses!$B$5:$B$3004,O$4,Acuses!$C$5:$C$3004,O$5),O$8)&lt;Resumen!$C$4+30,"Caduca pronto","OK"))))))</f>
        <v/>
      </c>
      <c r="P60" s="26" t="str">
        <f aca="false">IF(OR($A60="",P$4=""),"",IF(NOT(OR(P$6="Toda la plantilla",ISNUMBER(SEARCH(";"&amp;SUBSTITUTE($C60," ","")&amp;";",";"&amp;SUBSTITUTE(P$7," ","")&amp;";")))),"—",IF(_xlfn.MAXIFS(Acuses!$C$5:$C$3004,Acuses!$A$5:$A$3004,$A60,Acuses!$B$5:$B$3004,P$4)&lt;P$5,"Pendiente",IF(P$8=0,"OK",IF(EDATE(_xlfn.MAXIFS(Acuses!$D$5:$D$3004,Acuses!$A$5:$A$3004,$A60,Acuses!$B$5:$B$3004,P$4,Acuses!$C$5:$C$3004,P$5),P$8)&lt;Resumen!$C$4,"Caducado",IF(EDATE(_xlfn.MAXIFS(Acuses!$D$5:$D$3004,Acuses!$A$5:$A$3004,$A60,Acuses!$B$5:$B$3004,P$4,Acuses!$C$5:$C$3004,P$5),P$8)&lt;Resumen!$C$4+30,"Caduca pronto","OK"))))))</f>
        <v/>
      </c>
      <c r="Q60" s="26" t="str">
        <f aca="false">IF(OR($A60="",Q$4=""),"",IF(NOT(OR(Q$6="Toda la plantilla",ISNUMBER(SEARCH(";"&amp;SUBSTITUTE($C60," ","")&amp;";",";"&amp;SUBSTITUTE(Q$7," ","")&amp;";")))),"—",IF(_xlfn.MAXIFS(Acuses!$C$5:$C$3004,Acuses!$A$5:$A$3004,$A60,Acuses!$B$5:$B$3004,Q$4)&lt;Q$5,"Pendiente",IF(Q$8=0,"OK",IF(EDATE(_xlfn.MAXIFS(Acuses!$D$5:$D$3004,Acuses!$A$5:$A$3004,$A60,Acuses!$B$5:$B$3004,Q$4,Acuses!$C$5:$C$3004,Q$5),Q$8)&lt;Resumen!$C$4,"Caducado",IF(EDATE(_xlfn.MAXIFS(Acuses!$D$5:$D$3004,Acuses!$A$5:$A$3004,$A60,Acuses!$B$5:$B$3004,Q$4,Acuses!$C$5:$C$3004,Q$5),Q$8)&lt;Resumen!$C$4+30,"Caduca pronto","OK"))))))</f>
        <v/>
      </c>
      <c r="R60" s="26" t="str">
        <f aca="false">IF(OR($A60="",R$4=""),"",IF(NOT(OR(R$6="Toda la plantilla",ISNUMBER(SEARCH(";"&amp;SUBSTITUTE($C60," ","")&amp;";",";"&amp;SUBSTITUTE(R$7," ","")&amp;";")))),"—",IF(_xlfn.MAXIFS(Acuses!$C$5:$C$3004,Acuses!$A$5:$A$3004,$A60,Acuses!$B$5:$B$3004,R$4)&lt;R$5,"Pendiente",IF(R$8=0,"OK",IF(EDATE(_xlfn.MAXIFS(Acuses!$D$5:$D$3004,Acuses!$A$5:$A$3004,$A60,Acuses!$B$5:$B$3004,R$4,Acuses!$C$5:$C$3004,R$5),R$8)&lt;Resumen!$C$4,"Caducado",IF(EDATE(_xlfn.MAXIFS(Acuses!$D$5:$D$3004,Acuses!$A$5:$A$3004,$A60,Acuses!$B$5:$B$3004,R$4,Acuses!$C$5:$C$3004,R$5),R$8)&lt;Resumen!$C$4+30,"Caduca pronto","OK"))))))</f>
        <v/>
      </c>
      <c r="S60" s="26" t="str">
        <f aca="false">IF(OR($A60="",S$4=""),"",IF(NOT(OR(S$6="Toda la plantilla",ISNUMBER(SEARCH(";"&amp;SUBSTITUTE($C60," ","")&amp;";",";"&amp;SUBSTITUTE(S$7," ","")&amp;";")))),"—",IF(_xlfn.MAXIFS(Acuses!$C$5:$C$3004,Acuses!$A$5:$A$3004,$A60,Acuses!$B$5:$B$3004,S$4)&lt;S$5,"Pendiente",IF(S$8=0,"OK",IF(EDATE(_xlfn.MAXIFS(Acuses!$D$5:$D$3004,Acuses!$A$5:$A$3004,$A60,Acuses!$B$5:$B$3004,S$4,Acuses!$C$5:$C$3004,S$5),S$8)&lt;Resumen!$C$4,"Caducado",IF(EDATE(_xlfn.MAXIFS(Acuses!$D$5:$D$3004,Acuses!$A$5:$A$3004,$A60,Acuses!$B$5:$B$3004,S$4,Acuses!$C$5:$C$3004,S$5),S$8)&lt;Resumen!$C$4+30,"Caduca pronto","OK"))))))</f>
        <v/>
      </c>
      <c r="T60" s="26" t="str">
        <f aca="false">IF(OR($A60="",T$4=""),"",IF(NOT(OR(T$6="Toda la plantilla",ISNUMBER(SEARCH(";"&amp;SUBSTITUTE($C60," ","")&amp;";",";"&amp;SUBSTITUTE(T$7," ","")&amp;";")))),"—",IF(_xlfn.MAXIFS(Acuses!$C$5:$C$3004,Acuses!$A$5:$A$3004,$A60,Acuses!$B$5:$B$3004,T$4)&lt;T$5,"Pendiente",IF(T$8=0,"OK",IF(EDATE(_xlfn.MAXIFS(Acuses!$D$5:$D$3004,Acuses!$A$5:$A$3004,$A60,Acuses!$B$5:$B$3004,T$4,Acuses!$C$5:$C$3004,T$5),T$8)&lt;Resumen!$C$4,"Caducado",IF(EDATE(_xlfn.MAXIFS(Acuses!$D$5:$D$3004,Acuses!$A$5:$A$3004,$A60,Acuses!$B$5:$B$3004,T$4,Acuses!$C$5:$C$3004,T$5),T$8)&lt;Resumen!$C$4+30,"Caduca pronto","OK"))))))</f>
        <v/>
      </c>
      <c r="U60" s="26" t="str">
        <f aca="false">IF(OR($A60="",U$4=""),"",IF(NOT(OR(U$6="Toda la plantilla",ISNUMBER(SEARCH(";"&amp;SUBSTITUTE($C60," ","")&amp;";",";"&amp;SUBSTITUTE(U$7," ","")&amp;";")))),"—",IF(_xlfn.MAXIFS(Acuses!$C$5:$C$3004,Acuses!$A$5:$A$3004,$A60,Acuses!$B$5:$B$3004,U$4)&lt;U$5,"Pendiente",IF(U$8=0,"OK",IF(EDATE(_xlfn.MAXIFS(Acuses!$D$5:$D$3004,Acuses!$A$5:$A$3004,$A60,Acuses!$B$5:$B$3004,U$4,Acuses!$C$5:$C$3004,U$5),U$8)&lt;Resumen!$C$4,"Caducado",IF(EDATE(_xlfn.MAXIFS(Acuses!$D$5:$D$3004,Acuses!$A$5:$A$3004,$A60,Acuses!$B$5:$B$3004,U$4,Acuses!$C$5:$C$3004,U$5),U$8)&lt;Resumen!$C$4+30,"Caduca pronto","OK"))))))</f>
        <v/>
      </c>
      <c r="V60" s="26" t="str">
        <f aca="false">IF(OR($A60="",V$4=""),"",IF(NOT(OR(V$6="Toda la plantilla",ISNUMBER(SEARCH(";"&amp;SUBSTITUTE($C60," ","")&amp;";",";"&amp;SUBSTITUTE(V$7," ","")&amp;";")))),"—",IF(_xlfn.MAXIFS(Acuses!$C$5:$C$3004,Acuses!$A$5:$A$3004,$A60,Acuses!$B$5:$B$3004,V$4)&lt;V$5,"Pendiente",IF(V$8=0,"OK",IF(EDATE(_xlfn.MAXIFS(Acuses!$D$5:$D$3004,Acuses!$A$5:$A$3004,$A60,Acuses!$B$5:$B$3004,V$4,Acuses!$C$5:$C$3004,V$5),V$8)&lt;Resumen!$C$4,"Caducado",IF(EDATE(_xlfn.MAXIFS(Acuses!$D$5:$D$3004,Acuses!$A$5:$A$3004,$A60,Acuses!$B$5:$B$3004,V$4,Acuses!$C$5:$C$3004,V$5),V$8)&lt;Resumen!$C$4+30,"Caduca pronto","OK"))))))</f>
        <v/>
      </c>
      <c r="W60" s="26" t="str">
        <f aca="false">IF(OR($A60="",W$4=""),"",IF(NOT(OR(W$6="Toda la plantilla",ISNUMBER(SEARCH(";"&amp;SUBSTITUTE($C60," ","")&amp;";",";"&amp;SUBSTITUTE(W$7," ","")&amp;";")))),"—",IF(_xlfn.MAXIFS(Acuses!$C$5:$C$3004,Acuses!$A$5:$A$3004,$A60,Acuses!$B$5:$B$3004,W$4)&lt;W$5,"Pendiente",IF(W$8=0,"OK",IF(EDATE(_xlfn.MAXIFS(Acuses!$D$5:$D$3004,Acuses!$A$5:$A$3004,$A60,Acuses!$B$5:$B$3004,W$4,Acuses!$C$5:$C$3004,W$5),W$8)&lt;Resumen!$C$4,"Caducado",IF(EDATE(_xlfn.MAXIFS(Acuses!$D$5:$D$3004,Acuses!$A$5:$A$3004,$A60,Acuses!$B$5:$B$3004,W$4,Acuses!$C$5:$C$3004,W$5),W$8)&lt;Resumen!$C$4+30,"Caduca pronto","OK"))))))</f>
        <v/>
      </c>
      <c r="X60" s="26" t="str">
        <f aca="false">IF(OR($A60="",X$4=""),"",IF(NOT(OR(X$6="Toda la plantilla",ISNUMBER(SEARCH(";"&amp;SUBSTITUTE($C60," ","")&amp;";",";"&amp;SUBSTITUTE(X$7," ","")&amp;";")))),"—",IF(_xlfn.MAXIFS(Acuses!$C$5:$C$3004,Acuses!$A$5:$A$3004,$A60,Acuses!$B$5:$B$3004,X$4)&lt;X$5,"Pendiente",IF(X$8=0,"OK",IF(EDATE(_xlfn.MAXIFS(Acuses!$D$5:$D$3004,Acuses!$A$5:$A$3004,$A60,Acuses!$B$5:$B$3004,X$4,Acuses!$C$5:$C$3004,X$5),X$8)&lt;Resumen!$C$4,"Caducado",IF(EDATE(_xlfn.MAXIFS(Acuses!$D$5:$D$3004,Acuses!$A$5:$A$3004,$A60,Acuses!$B$5:$B$3004,X$4,Acuses!$C$5:$C$3004,X$5),X$8)&lt;Resumen!$C$4+30,"Caduca pronto","OK"))))))</f>
        <v/>
      </c>
      <c r="Y60" s="26" t="str">
        <f aca="false">IF(OR($A60="",Y$4=""),"",IF(NOT(OR(Y$6="Toda la plantilla",ISNUMBER(SEARCH(";"&amp;SUBSTITUTE($C60," ","")&amp;";",";"&amp;SUBSTITUTE(Y$7," ","")&amp;";")))),"—",IF(_xlfn.MAXIFS(Acuses!$C$5:$C$3004,Acuses!$A$5:$A$3004,$A60,Acuses!$B$5:$B$3004,Y$4)&lt;Y$5,"Pendiente",IF(Y$8=0,"OK",IF(EDATE(_xlfn.MAXIFS(Acuses!$D$5:$D$3004,Acuses!$A$5:$A$3004,$A60,Acuses!$B$5:$B$3004,Y$4,Acuses!$C$5:$C$3004,Y$5),Y$8)&lt;Resumen!$C$4,"Caducado",IF(EDATE(_xlfn.MAXIFS(Acuses!$D$5:$D$3004,Acuses!$A$5:$A$3004,$A60,Acuses!$B$5:$B$3004,Y$4,Acuses!$C$5:$C$3004,Y$5),Y$8)&lt;Resumen!$C$4+30,"Caduca pronto","OK"))))))</f>
        <v/>
      </c>
      <c r="Z60" s="26" t="str">
        <f aca="false">IF(OR($A60="",Z$4=""),"",IF(NOT(OR(Z$6="Toda la plantilla",ISNUMBER(SEARCH(";"&amp;SUBSTITUTE($C60," ","")&amp;";",";"&amp;SUBSTITUTE(Z$7," ","")&amp;";")))),"—",IF(_xlfn.MAXIFS(Acuses!$C$5:$C$3004,Acuses!$A$5:$A$3004,$A60,Acuses!$B$5:$B$3004,Z$4)&lt;Z$5,"Pendiente",IF(Z$8=0,"OK",IF(EDATE(_xlfn.MAXIFS(Acuses!$D$5:$D$3004,Acuses!$A$5:$A$3004,$A60,Acuses!$B$5:$B$3004,Z$4,Acuses!$C$5:$C$3004,Z$5),Z$8)&lt;Resumen!$C$4,"Caducado",IF(EDATE(_xlfn.MAXIFS(Acuses!$D$5:$D$3004,Acuses!$A$5:$A$3004,$A60,Acuses!$B$5:$B$3004,Z$4,Acuses!$C$5:$C$3004,Z$5),Z$8)&lt;Resumen!$C$4+30,"Caduca pronto","OK"))))))</f>
        <v/>
      </c>
      <c r="AA60" s="26" t="str">
        <f aca="false">IF(OR($A60="",AA$4=""),"",IF(NOT(OR(AA$6="Toda la plantilla",ISNUMBER(SEARCH(";"&amp;SUBSTITUTE($C60," ","")&amp;";",";"&amp;SUBSTITUTE(AA$7," ","")&amp;";")))),"—",IF(_xlfn.MAXIFS(Acuses!$C$5:$C$3004,Acuses!$A$5:$A$3004,$A60,Acuses!$B$5:$B$3004,AA$4)&lt;AA$5,"Pendiente",IF(AA$8=0,"OK",IF(EDATE(_xlfn.MAXIFS(Acuses!$D$5:$D$3004,Acuses!$A$5:$A$3004,$A60,Acuses!$B$5:$B$3004,AA$4,Acuses!$C$5:$C$3004,AA$5),AA$8)&lt;Resumen!$C$4,"Caducado",IF(EDATE(_xlfn.MAXIFS(Acuses!$D$5:$D$3004,Acuses!$A$5:$A$3004,$A60,Acuses!$B$5:$B$3004,AA$4,Acuses!$C$5:$C$3004,AA$5),AA$8)&lt;Resumen!$C$4+30,"Caduca pronto","OK"))))))</f>
        <v/>
      </c>
      <c r="AB60" s="26" t="str">
        <f aca="false">IF(OR($A60="",AB$4=""),"",IF(NOT(OR(AB$6="Toda la plantilla",ISNUMBER(SEARCH(";"&amp;SUBSTITUTE($C60," ","")&amp;";",";"&amp;SUBSTITUTE(AB$7," ","")&amp;";")))),"—",IF(_xlfn.MAXIFS(Acuses!$C$5:$C$3004,Acuses!$A$5:$A$3004,$A60,Acuses!$B$5:$B$3004,AB$4)&lt;AB$5,"Pendiente",IF(AB$8=0,"OK",IF(EDATE(_xlfn.MAXIFS(Acuses!$D$5:$D$3004,Acuses!$A$5:$A$3004,$A60,Acuses!$B$5:$B$3004,AB$4,Acuses!$C$5:$C$3004,AB$5),AB$8)&lt;Resumen!$C$4,"Caducado",IF(EDATE(_xlfn.MAXIFS(Acuses!$D$5:$D$3004,Acuses!$A$5:$A$3004,$A60,Acuses!$B$5:$B$3004,AB$4,Acuses!$C$5:$C$3004,AB$5),AB$8)&lt;Resumen!$C$4+30,"Caduca pronto","OK"))))))</f>
        <v/>
      </c>
      <c r="AC60" s="26" t="str">
        <f aca="false">IF(OR($A60="",AC$4=""),"",IF(NOT(OR(AC$6="Toda la plantilla",ISNUMBER(SEARCH(";"&amp;SUBSTITUTE($C60," ","")&amp;";",";"&amp;SUBSTITUTE(AC$7," ","")&amp;";")))),"—",IF(_xlfn.MAXIFS(Acuses!$C$5:$C$3004,Acuses!$A$5:$A$3004,$A60,Acuses!$B$5:$B$3004,AC$4)&lt;AC$5,"Pendiente",IF(AC$8=0,"OK",IF(EDATE(_xlfn.MAXIFS(Acuses!$D$5:$D$3004,Acuses!$A$5:$A$3004,$A60,Acuses!$B$5:$B$3004,AC$4,Acuses!$C$5:$C$3004,AC$5),AC$8)&lt;Resumen!$C$4,"Caducado",IF(EDATE(_xlfn.MAXIFS(Acuses!$D$5:$D$3004,Acuses!$A$5:$A$3004,$A60,Acuses!$B$5:$B$3004,AC$4,Acuses!$C$5:$C$3004,AC$5),AC$8)&lt;Resumen!$C$4+30,"Caduca pronto","OK"))))))</f>
        <v/>
      </c>
      <c r="AD60" s="26" t="str">
        <f aca="false">IF(OR($A60="",AD$4=""),"",IF(NOT(OR(AD$6="Toda la plantilla",ISNUMBER(SEARCH(";"&amp;SUBSTITUTE($C60," ","")&amp;";",";"&amp;SUBSTITUTE(AD$7," ","")&amp;";")))),"—",IF(_xlfn.MAXIFS(Acuses!$C$5:$C$3004,Acuses!$A$5:$A$3004,$A60,Acuses!$B$5:$B$3004,AD$4)&lt;AD$5,"Pendiente",IF(AD$8=0,"OK",IF(EDATE(_xlfn.MAXIFS(Acuses!$D$5:$D$3004,Acuses!$A$5:$A$3004,$A60,Acuses!$B$5:$B$3004,AD$4,Acuses!$C$5:$C$3004,AD$5),AD$8)&lt;Resumen!$C$4,"Caducado",IF(EDATE(_xlfn.MAXIFS(Acuses!$D$5:$D$3004,Acuses!$A$5:$A$3004,$A60,Acuses!$B$5:$B$3004,AD$4,Acuses!$C$5:$C$3004,AD$5),AD$8)&lt;Resumen!$C$4+30,"Caduca pronto","OK"))))))</f>
        <v/>
      </c>
      <c r="AE60" s="26" t="str">
        <f aca="false">IF(OR($A60="",AE$4=""),"",IF(NOT(OR(AE$6="Toda la plantilla",ISNUMBER(SEARCH(";"&amp;SUBSTITUTE($C60," ","")&amp;";",";"&amp;SUBSTITUTE(AE$7," ","")&amp;";")))),"—",IF(_xlfn.MAXIFS(Acuses!$C$5:$C$3004,Acuses!$A$5:$A$3004,$A60,Acuses!$B$5:$B$3004,AE$4)&lt;AE$5,"Pendiente",IF(AE$8=0,"OK",IF(EDATE(_xlfn.MAXIFS(Acuses!$D$5:$D$3004,Acuses!$A$5:$A$3004,$A60,Acuses!$B$5:$B$3004,AE$4,Acuses!$C$5:$C$3004,AE$5),AE$8)&lt;Resumen!$C$4,"Caducado",IF(EDATE(_xlfn.MAXIFS(Acuses!$D$5:$D$3004,Acuses!$A$5:$A$3004,$A60,Acuses!$B$5:$B$3004,AE$4,Acuses!$C$5:$C$3004,AE$5),AE$8)&lt;Resumen!$C$4+30,"Caduca pronto","OK"))))))</f>
        <v/>
      </c>
      <c r="AF60" s="26" t="str">
        <f aca="false">IF(OR($A60="",AF$4=""),"",IF(NOT(OR(AF$6="Toda la plantilla",ISNUMBER(SEARCH(";"&amp;SUBSTITUTE($C60," ","")&amp;";",";"&amp;SUBSTITUTE(AF$7," ","")&amp;";")))),"—",IF(_xlfn.MAXIFS(Acuses!$C$5:$C$3004,Acuses!$A$5:$A$3004,$A60,Acuses!$B$5:$B$3004,AF$4)&lt;AF$5,"Pendiente",IF(AF$8=0,"OK",IF(EDATE(_xlfn.MAXIFS(Acuses!$D$5:$D$3004,Acuses!$A$5:$A$3004,$A60,Acuses!$B$5:$B$3004,AF$4,Acuses!$C$5:$C$3004,AF$5),AF$8)&lt;Resumen!$C$4,"Caducado",IF(EDATE(_xlfn.MAXIFS(Acuses!$D$5:$D$3004,Acuses!$A$5:$A$3004,$A60,Acuses!$B$5:$B$3004,AF$4,Acuses!$C$5:$C$3004,AF$5),AF$8)&lt;Resumen!$C$4+30,"Caduca pronto","OK"))))))</f>
        <v/>
      </c>
      <c r="AG60" s="26" t="str">
        <f aca="false">IF(OR($A60="",AG$4=""),"",IF(NOT(OR(AG$6="Toda la plantilla",ISNUMBER(SEARCH(";"&amp;SUBSTITUTE($C60," ","")&amp;";",";"&amp;SUBSTITUTE(AG$7," ","")&amp;";")))),"—",IF(_xlfn.MAXIFS(Acuses!$C$5:$C$3004,Acuses!$A$5:$A$3004,$A60,Acuses!$B$5:$B$3004,AG$4)&lt;AG$5,"Pendiente",IF(AG$8=0,"OK",IF(EDATE(_xlfn.MAXIFS(Acuses!$D$5:$D$3004,Acuses!$A$5:$A$3004,$A60,Acuses!$B$5:$B$3004,AG$4,Acuses!$C$5:$C$3004,AG$5),AG$8)&lt;Resumen!$C$4,"Caducado",IF(EDATE(_xlfn.MAXIFS(Acuses!$D$5:$D$3004,Acuses!$A$5:$A$3004,$A60,Acuses!$B$5:$B$3004,AG$4,Acuses!$C$5:$C$3004,AG$5),AG$8)&lt;Resumen!$C$4+30,"Caduca pronto","OK"))))))</f>
        <v/>
      </c>
      <c r="AH60" s="26" t="str">
        <f aca="false">IF(OR($A60="",AH$4=""),"",IF(NOT(OR(AH$6="Toda la plantilla",ISNUMBER(SEARCH(";"&amp;SUBSTITUTE($C60," ","")&amp;";",";"&amp;SUBSTITUTE(AH$7," ","")&amp;";")))),"—",IF(_xlfn.MAXIFS(Acuses!$C$5:$C$3004,Acuses!$A$5:$A$3004,$A60,Acuses!$B$5:$B$3004,AH$4)&lt;AH$5,"Pendiente",IF(AH$8=0,"OK",IF(EDATE(_xlfn.MAXIFS(Acuses!$D$5:$D$3004,Acuses!$A$5:$A$3004,$A60,Acuses!$B$5:$B$3004,AH$4,Acuses!$C$5:$C$3004,AH$5),AH$8)&lt;Resumen!$C$4,"Caducado",IF(EDATE(_xlfn.MAXIFS(Acuses!$D$5:$D$3004,Acuses!$A$5:$A$3004,$A60,Acuses!$B$5:$B$3004,AH$4,Acuses!$C$5:$C$3004,AH$5),AH$8)&lt;Resumen!$C$4+30,"Caduca pronto","OK"))))))</f>
        <v/>
      </c>
      <c r="AI60" s="26" t="str">
        <f aca="false">IF(OR($A60="",AI$4=""),"",IF(NOT(OR(AI$6="Toda la plantilla",ISNUMBER(SEARCH(";"&amp;SUBSTITUTE($C60," ","")&amp;";",";"&amp;SUBSTITUTE(AI$7," ","")&amp;";")))),"—",IF(_xlfn.MAXIFS(Acuses!$C$5:$C$3004,Acuses!$A$5:$A$3004,$A60,Acuses!$B$5:$B$3004,AI$4)&lt;AI$5,"Pendiente",IF(AI$8=0,"OK",IF(EDATE(_xlfn.MAXIFS(Acuses!$D$5:$D$3004,Acuses!$A$5:$A$3004,$A60,Acuses!$B$5:$B$3004,AI$4,Acuses!$C$5:$C$3004,AI$5),AI$8)&lt;Resumen!$C$4,"Caducado",IF(EDATE(_xlfn.MAXIFS(Acuses!$D$5:$D$3004,Acuses!$A$5:$A$3004,$A60,Acuses!$B$5:$B$3004,AI$4,Acuses!$C$5:$C$3004,AI$5),AI$8)&lt;Resumen!$C$4+30,"Caduca pronto","OK"))))))</f>
        <v/>
      </c>
      <c r="AJ60" s="26" t="str">
        <f aca="false">IF(OR($A60="",AJ$4=""),"",IF(NOT(OR(AJ$6="Toda la plantilla",ISNUMBER(SEARCH(";"&amp;SUBSTITUTE($C60," ","")&amp;";",";"&amp;SUBSTITUTE(AJ$7," ","")&amp;";")))),"—",IF(_xlfn.MAXIFS(Acuses!$C$5:$C$3004,Acuses!$A$5:$A$3004,$A60,Acuses!$B$5:$B$3004,AJ$4)&lt;AJ$5,"Pendiente",IF(AJ$8=0,"OK",IF(EDATE(_xlfn.MAXIFS(Acuses!$D$5:$D$3004,Acuses!$A$5:$A$3004,$A60,Acuses!$B$5:$B$3004,AJ$4,Acuses!$C$5:$C$3004,AJ$5),AJ$8)&lt;Resumen!$C$4,"Caducado",IF(EDATE(_xlfn.MAXIFS(Acuses!$D$5:$D$3004,Acuses!$A$5:$A$3004,$A60,Acuses!$B$5:$B$3004,AJ$4,Acuses!$C$5:$C$3004,AJ$5),AJ$8)&lt;Resumen!$C$4+30,"Caduca pronto","OK"))))))</f>
        <v/>
      </c>
      <c r="AK60" s="26" t="str">
        <f aca="false">IF(OR($A60="",AK$4=""),"",IF(NOT(OR(AK$6="Toda la plantilla",ISNUMBER(SEARCH(";"&amp;SUBSTITUTE($C60," ","")&amp;";",";"&amp;SUBSTITUTE(AK$7," ","")&amp;";")))),"—",IF(_xlfn.MAXIFS(Acuses!$C$5:$C$3004,Acuses!$A$5:$A$3004,$A60,Acuses!$B$5:$B$3004,AK$4)&lt;AK$5,"Pendiente",IF(AK$8=0,"OK",IF(EDATE(_xlfn.MAXIFS(Acuses!$D$5:$D$3004,Acuses!$A$5:$A$3004,$A60,Acuses!$B$5:$B$3004,AK$4,Acuses!$C$5:$C$3004,AK$5),AK$8)&lt;Resumen!$C$4,"Caducado",IF(EDATE(_xlfn.MAXIFS(Acuses!$D$5:$D$3004,Acuses!$A$5:$A$3004,$A60,Acuses!$B$5:$B$3004,AK$4,Acuses!$C$5:$C$3004,AK$5),AK$8)&lt;Resumen!$C$4+30,"Caduca pronto","OK"))))))</f>
        <v/>
      </c>
      <c r="AL60" s="26" t="str">
        <f aca="false">IF(OR($A60="",AL$4=""),"",IF(NOT(OR(AL$6="Toda la plantilla",ISNUMBER(SEARCH(";"&amp;SUBSTITUTE($C60," ","")&amp;";",";"&amp;SUBSTITUTE(AL$7," ","")&amp;";")))),"—",IF(_xlfn.MAXIFS(Acuses!$C$5:$C$3004,Acuses!$A$5:$A$3004,$A60,Acuses!$B$5:$B$3004,AL$4)&lt;AL$5,"Pendiente",IF(AL$8=0,"OK",IF(EDATE(_xlfn.MAXIFS(Acuses!$D$5:$D$3004,Acuses!$A$5:$A$3004,$A60,Acuses!$B$5:$B$3004,AL$4,Acuses!$C$5:$C$3004,AL$5),AL$8)&lt;Resumen!$C$4,"Caducado",IF(EDATE(_xlfn.MAXIFS(Acuses!$D$5:$D$3004,Acuses!$A$5:$A$3004,$A60,Acuses!$B$5:$B$3004,AL$4,Acuses!$C$5:$C$3004,AL$5),AL$8)&lt;Resumen!$C$4+30,"Caduca pronto","OK"))))))</f>
        <v/>
      </c>
      <c r="AM60" s="26" t="str">
        <f aca="false">IF(OR($A60="",AM$4=""),"",IF(NOT(OR(AM$6="Toda la plantilla",ISNUMBER(SEARCH(";"&amp;SUBSTITUTE($C60," ","")&amp;";",";"&amp;SUBSTITUTE(AM$7," ","")&amp;";")))),"—",IF(_xlfn.MAXIFS(Acuses!$C$5:$C$3004,Acuses!$A$5:$A$3004,$A60,Acuses!$B$5:$B$3004,AM$4)&lt;AM$5,"Pendiente",IF(AM$8=0,"OK",IF(EDATE(_xlfn.MAXIFS(Acuses!$D$5:$D$3004,Acuses!$A$5:$A$3004,$A60,Acuses!$B$5:$B$3004,AM$4,Acuses!$C$5:$C$3004,AM$5),AM$8)&lt;Resumen!$C$4,"Caducado",IF(EDATE(_xlfn.MAXIFS(Acuses!$D$5:$D$3004,Acuses!$A$5:$A$3004,$A60,Acuses!$B$5:$B$3004,AM$4,Acuses!$C$5:$C$3004,AM$5),AM$8)&lt;Resumen!$C$4+30,"Caduca pronto","OK"))))))</f>
        <v/>
      </c>
      <c r="AN60" s="26" t="str">
        <f aca="false">IF(OR($A60="",AN$4=""),"",IF(NOT(OR(AN$6="Toda la plantilla",ISNUMBER(SEARCH(";"&amp;SUBSTITUTE($C60," ","")&amp;";",";"&amp;SUBSTITUTE(AN$7," ","")&amp;";")))),"—",IF(_xlfn.MAXIFS(Acuses!$C$5:$C$3004,Acuses!$A$5:$A$3004,$A60,Acuses!$B$5:$B$3004,AN$4)&lt;AN$5,"Pendiente",IF(AN$8=0,"OK",IF(EDATE(_xlfn.MAXIFS(Acuses!$D$5:$D$3004,Acuses!$A$5:$A$3004,$A60,Acuses!$B$5:$B$3004,AN$4,Acuses!$C$5:$C$3004,AN$5),AN$8)&lt;Resumen!$C$4,"Caducado",IF(EDATE(_xlfn.MAXIFS(Acuses!$D$5:$D$3004,Acuses!$A$5:$A$3004,$A60,Acuses!$B$5:$B$3004,AN$4,Acuses!$C$5:$C$3004,AN$5),AN$8)&lt;Resumen!$C$4+30,"Caduca pronto","OK"))))))</f>
        <v/>
      </c>
      <c r="AO60" s="26" t="str">
        <f aca="false">IF(OR($A60="",AO$4=""),"",IF(NOT(OR(AO$6="Toda la plantilla",ISNUMBER(SEARCH(";"&amp;SUBSTITUTE($C60," ","")&amp;";",";"&amp;SUBSTITUTE(AO$7," ","")&amp;";")))),"—",IF(_xlfn.MAXIFS(Acuses!$C$5:$C$3004,Acuses!$A$5:$A$3004,$A60,Acuses!$B$5:$B$3004,AO$4)&lt;AO$5,"Pendiente",IF(AO$8=0,"OK",IF(EDATE(_xlfn.MAXIFS(Acuses!$D$5:$D$3004,Acuses!$A$5:$A$3004,$A60,Acuses!$B$5:$B$3004,AO$4,Acuses!$C$5:$C$3004,AO$5),AO$8)&lt;Resumen!$C$4,"Caducado",IF(EDATE(_xlfn.MAXIFS(Acuses!$D$5:$D$3004,Acuses!$A$5:$A$3004,$A60,Acuses!$B$5:$B$3004,AO$4,Acuses!$C$5:$C$3004,AO$5),AO$8)&lt;Resumen!$C$4+30,"Caduca pronto","OK"))))))</f>
        <v/>
      </c>
      <c r="AP60" s="26" t="str">
        <f aca="false">IF(OR($A60="",AP$4=""),"",IF(NOT(OR(AP$6="Toda la plantilla",ISNUMBER(SEARCH(";"&amp;SUBSTITUTE($C60," ","")&amp;";",";"&amp;SUBSTITUTE(AP$7," ","")&amp;";")))),"—",IF(_xlfn.MAXIFS(Acuses!$C$5:$C$3004,Acuses!$A$5:$A$3004,$A60,Acuses!$B$5:$B$3004,AP$4)&lt;AP$5,"Pendiente",IF(AP$8=0,"OK",IF(EDATE(_xlfn.MAXIFS(Acuses!$D$5:$D$3004,Acuses!$A$5:$A$3004,$A60,Acuses!$B$5:$B$3004,AP$4,Acuses!$C$5:$C$3004,AP$5),AP$8)&lt;Resumen!$C$4,"Caducado",IF(EDATE(_xlfn.MAXIFS(Acuses!$D$5:$D$3004,Acuses!$A$5:$A$3004,$A60,Acuses!$B$5:$B$3004,AP$4,Acuses!$C$5:$C$3004,AP$5),AP$8)&lt;Resumen!$C$4+30,"Caduca pronto","OK"))))))</f>
        <v/>
      </c>
      <c r="AQ60" s="26" t="str">
        <f aca="false">IF(OR($A60="",AQ$4=""),"",IF(NOT(OR(AQ$6="Toda la plantilla",ISNUMBER(SEARCH(";"&amp;SUBSTITUTE($C60," ","")&amp;";",";"&amp;SUBSTITUTE(AQ$7," ","")&amp;";")))),"—",IF(_xlfn.MAXIFS(Acuses!$C$5:$C$3004,Acuses!$A$5:$A$3004,$A60,Acuses!$B$5:$B$3004,AQ$4)&lt;AQ$5,"Pendiente",IF(AQ$8=0,"OK",IF(EDATE(_xlfn.MAXIFS(Acuses!$D$5:$D$3004,Acuses!$A$5:$A$3004,$A60,Acuses!$B$5:$B$3004,AQ$4,Acuses!$C$5:$C$3004,AQ$5),AQ$8)&lt;Resumen!$C$4,"Caducado",IF(EDATE(_xlfn.MAXIFS(Acuses!$D$5:$D$3004,Acuses!$A$5:$A$3004,$A60,Acuses!$B$5:$B$3004,AQ$4,Acuses!$C$5:$C$3004,AQ$5),AQ$8)&lt;Resumen!$C$4+30,"Caduca pronto","OK"))))))</f>
        <v/>
      </c>
    </row>
    <row r="61" customFormat="false" ht="15" hidden="false" customHeight="false" outlineLevel="0" collapsed="false">
      <c r="A61" s="25" t="str">
        <f aca="false">IF(AND(Trabajadores!$A$56&lt;&gt;"",Trabajadores!$G$56&lt;&gt;"No"),Trabajadores!$A$56,"")</f>
        <v/>
      </c>
      <c r="B61" s="25" t="str">
        <f aca="false">IF($A61="","",Trabajadores!$B$56)</f>
        <v/>
      </c>
      <c r="C61" s="25" t="str">
        <f aca="false">IF($A61="","",Trabajadores!$C$56)</f>
        <v/>
      </c>
      <c r="D61" s="26" t="str">
        <f aca="false">IF(OR($A61="",D$4=""),"",IF(NOT(OR(D$6="Toda la plantilla",ISNUMBER(SEARCH(";"&amp;SUBSTITUTE($C61," ","")&amp;";",";"&amp;SUBSTITUTE(D$7," ","")&amp;";")))),"—",IF(_xlfn.MAXIFS(Acuses!$C$5:$C$3004,Acuses!$A$5:$A$3004,$A61,Acuses!$B$5:$B$3004,D$4)&lt;D$5,"Pendiente",IF(D$8=0,"OK",IF(EDATE(_xlfn.MAXIFS(Acuses!$D$5:$D$3004,Acuses!$A$5:$A$3004,$A61,Acuses!$B$5:$B$3004,D$4,Acuses!$C$5:$C$3004,D$5),D$8)&lt;Resumen!$C$4,"Caducado",IF(EDATE(_xlfn.MAXIFS(Acuses!$D$5:$D$3004,Acuses!$A$5:$A$3004,$A61,Acuses!$B$5:$B$3004,D$4,Acuses!$C$5:$C$3004,D$5),D$8)&lt;Resumen!$C$4+30,"Caduca pronto","OK"))))))</f>
        <v/>
      </c>
      <c r="E61" s="26" t="str">
        <f aca="false">IF(OR($A61="",E$4=""),"",IF(NOT(OR(E$6="Toda la plantilla",ISNUMBER(SEARCH(";"&amp;SUBSTITUTE($C61," ","")&amp;";",";"&amp;SUBSTITUTE(E$7," ","")&amp;";")))),"—",IF(_xlfn.MAXIFS(Acuses!$C$5:$C$3004,Acuses!$A$5:$A$3004,$A61,Acuses!$B$5:$B$3004,E$4)&lt;E$5,"Pendiente",IF(E$8=0,"OK",IF(EDATE(_xlfn.MAXIFS(Acuses!$D$5:$D$3004,Acuses!$A$5:$A$3004,$A61,Acuses!$B$5:$B$3004,E$4,Acuses!$C$5:$C$3004,E$5),E$8)&lt;Resumen!$C$4,"Caducado",IF(EDATE(_xlfn.MAXIFS(Acuses!$D$5:$D$3004,Acuses!$A$5:$A$3004,$A61,Acuses!$B$5:$B$3004,E$4,Acuses!$C$5:$C$3004,E$5),E$8)&lt;Resumen!$C$4+30,"Caduca pronto","OK"))))))</f>
        <v/>
      </c>
      <c r="F61" s="26" t="str">
        <f aca="false">IF(OR($A61="",F$4=""),"",IF(NOT(OR(F$6="Toda la plantilla",ISNUMBER(SEARCH(";"&amp;SUBSTITUTE($C61," ","")&amp;";",";"&amp;SUBSTITUTE(F$7," ","")&amp;";")))),"—",IF(_xlfn.MAXIFS(Acuses!$C$5:$C$3004,Acuses!$A$5:$A$3004,$A61,Acuses!$B$5:$B$3004,F$4)&lt;F$5,"Pendiente",IF(F$8=0,"OK",IF(EDATE(_xlfn.MAXIFS(Acuses!$D$5:$D$3004,Acuses!$A$5:$A$3004,$A61,Acuses!$B$5:$B$3004,F$4,Acuses!$C$5:$C$3004,F$5),F$8)&lt;Resumen!$C$4,"Caducado",IF(EDATE(_xlfn.MAXIFS(Acuses!$D$5:$D$3004,Acuses!$A$5:$A$3004,$A61,Acuses!$B$5:$B$3004,F$4,Acuses!$C$5:$C$3004,F$5),F$8)&lt;Resumen!$C$4+30,"Caduca pronto","OK"))))))</f>
        <v/>
      </c>
      <c r="G61" s="26" t="str">
        <f aca="false">IF(OR($A61="",G$4=""),"",IF(NOT(OR(G$6="Toda la plantilla",ISNUMBER(SEARCH(";"&amp;SUBSTITUTE($C61," ","")&amp;";",";"&amp;SUBSTITUTE(G$7," ","")&amp;";")))),"—",IF(_xlfn.MAXIFS(Acuses!$C$5:$C$3004,Acuses!$A$5:$A$3004,$A61,Acuses!$B$5:$B$3004,G$4)&lt;G$5,"Pendiente",IF(G$8=0,"OK",IF(EDATE(_xlfn.MAXIFS(Acuses!$D$5:$D$3004,Acuses!$A$5:$A$3004,$A61,Acuses!$B$5:$B$3004,G$4,Acuses!$C$5:$C$3004,G$5),G$8)&lt;Resumen!$C$4,"Caducado",IF(EDATE(_xlfn.MAXIFS(Acuses!$D$5:$D$3004,Acuses!$A$5:$A$3004,$A61,Acuses!$B$5:$B$3004,G$4,Acuses!$C$5:$C$3004,G$5),G$8)&lt;Resumen!$C$4+30,"Caduca pronto","OK"))))))</f>
        <v/>
      </c>
      <c r="H61" s="26" t="str">
        <f aca="false">IF(OR($A61="",H$4=""),"",IF(NOT(OR(H$6="Toda la plantilla",ISNUMBER(SEARCH(";"&amp;SUBSTITUTE($C61," ","")&amp;";",";"&amp;SUBSTITUTE(H$7," ","")&amp;";")))),"—",IF(_xlfn.MAXIFS(Acuses!$C$5:$C$3004,Acuses!$A$5:$A$3004,$A61,Acuses!$B$5:$B$3004,H$4)&lt;H$5,"Pendiente",IF(H$8=0,"OK",IF(EDATE(_xlfn.MAXIFS(Acuses!$D$5:$D$3004,Acuses!$A$5:$A$3004,$A61,Acuses!$B$5:$B$3004,H$4,Acuses!$C$5:$C$3004,H$5),H$8)&lt;Resumen!$C$4,"Caducado",IF(EDATE(_xlfn.MAXIFS(Acuses!$D$5:$D$3004,Acuses!$A$5:$A$3004,$A61,Acuses!$B$5:$B$3004,H$4,Acuses!$C$5:$C$3004,H$5),H$8)&lt;Resumen!$C$4+30,"Caduca pronto","OK"))))))</f>
        <v/>
      </c>
      <c r="I61" s="26" t="str">
        <f aca="false">IF(OR($A61="",I$4=""),"",IF(NOT(OR(I$6="Toda la plantilla",ISNUMBER(SEARCH(";"&amp;SUBSTITUTE($C61," ","")&amp;";",";"&amp;SUBSTITUTE(I$7," ","")&amp;";")))),"—",IF(_xlfn.MAXIFS(Acuses!$C$5:$C$3004,Acuses!$A$5:$A$3004,$A61,Acuses!$B$5:$B$3004,I$4)&lt;I$5,"Pendiente",IF(I$8=0,"OK",IF(EDATE(_xlfn.MAXIFS(Acuses!$D$5:$D$3004,Acuses!$A$5:$A$3004,$A61,Acuses!$B$5:$B$3004,I$4,Acuses!$C$5:$C$3004,I$5),I$8)&lt;Resumen!$C$4,"Caducado",IF(EDATE(_xlfn.MAXIFS(Acuses!$D$5:$D$3004,Acuses!$A$5:$A$3004,$A61,Acuses!$B$5:$B$3004,I$4,Acuses!$C$5:$C$3004,I$5),I$8)&lt;Resumen!$C$4+30,"Caduca pronto","OK"))))))</f>
        <v/>
      </c>
      <c r="J61" s="26" t="str">
        <f aca="false">IF(OR($A61="",J$4=""),"",IF(NOT(OR(J$6="Toda la plantilla",ISNUMBER(SEARCH(";"&amp;SUBSTITUTE($C61," ","")&amp;";",";"&amp;SUBSTITUTE(J$7," ","")&amp;";")))),"—",IF(_xlfn.MAXIFS(Acuses!$C$5:$C$3004,Acuses!$A$5:$A$3004,$A61,Acuses!$B$5:$B$3004,J$4)&lt;J$5,"Pendiente",IF(J$8=0,"OK",IF(EDATE(_xlfn.MAXIFS(Acuses!$D$5:$D$3004,Acuses!$A$5:$A$3004,$A61,Acuses!$B$5:$B$3004,J$4,Acuses!$C$5:$C$3004,J$5),J$8)&lt;Resumen!$C$4,"Caducado",IF(EDATE(_xlfn.MAXIFS(Acuses!$D$5:$D$3004,Acuses!$A$5:$A$3004,$A61,Acuses!$B$5:$B$3004,J$4,Acuses!$C$5:$C$3004,J$5),J$8)&lt;Resumen!$C$4+30,"Caduca pronto","OK"))))))</f>
        <v/>
      </c>
      <c r="K61" s="26" t="str">
        <f aca="false">IF(OR($A61="",K$4=""),"",IF(NOT(OR(K$6="Toda la plantilla",ISNUMBER(SEARCH(";"&amp;SUBSTITUTE($C61," ","")&amp;";",";"&amp;SUBSTITUTE(K$7," ","")&amp;";")))),"—",IF(_xlfn.MAXIFS(Acuses!$C$5:$C$3004,Acuses!$A$5:$A$3004,$A61,Acuses!$B$5:$B$3004,K$4)&lt;K$5,"Pendiente",IF(K$8=0,"OK",IF(EDATE(_xlfn.MAXIFS(Acuses!$D$5:$D$3004,Acuses!$A$5:$A$3004,$A61,Acuses!$B$5:$B$3004,K$4,Acuses!$C$5:$C$3004,K$5),K$8)&lt;Resumen!$C$4,"Caducado",IF(EDATE(_xlfn.MAXIFS(Acuses!$D$5:$D$3004,Acuses!$A$5:$A$3004,$A61,Acuses!$B$5:$B$3004,K$4,Acuses!$C$5:$C$3004,K$5),K$8)&lt;Resumen!$C$4+30,"Caduca pronto","OK"))))))</f>
        <v/>
      </c>
      <c r="L61" s="26" t="str">
        <f aca="false">IF(OR($A61="",L$4=""),"",IF(NOT(OR(L$6="Toda la plantilla",ISNUMBER(SEARCH(";"&amp;SUBSTITUTE($C61," ","")&amp;";",";"&amp;SUBSTITUTE(L$7," ","")&amp;";")))),"—",IF(_xlfn.MAXIFS(Acuses!$C$5:$C$3004,Acuses!$A$5:$A$3004,$A61,Acuses!$B$5:$B$3004,L$4)&lt;L$5,"Pendiente",IF(L$8=0,"OK",IF(EDATE(_xlfn.MAXIFS(Acuses!$D$5:$D$3004,Acuses!$A$5:$A$3004,$A61,Acuses!$B$5:$B$3004,L$4,Acuses!$C$5:$C$3004,L$5),L$8)&lt;Resumen!$C$4,"Caducado",IF(EDATE(_xlfn.MAXIFS(Acuses!$D$5:$D$3004,Acuses!$A$5:$A$3004,$A61,Acuses!$B$5:$B$3004,L$4,Acuses!$C$5:$C$3004,L$5),L$8)&lt;Resumen!$C$4+30,"Caduca pronto","OK"))))))</f>
        <v/>
      </c>
      <c r="M61" s="26" t="str">
        <f aca="false">IF(OR($A61="",M$4=""),"",IF(NOT(OR(M$6="Toda la plantilla",ISNUMBER(SEARCH(";"&amp;SUBSTITUTE($C61," ","")&amp;";",";"&amp;SUBSTITUTE(M$7," ","")&amp;";")))),"—",IF(_xlfn.MAXIFS(Acuses!$C$5:$C$3004,Acuses!$A$5:$A$3004,$A61,Acuses!$B$5:$B$3004,M$4)&lt;M$5,"Pendiente",IF(M$8=0,"OK",IF(EDATE(_xlfn.MAXIFS(Acuses!$D$5:$D$3004,Acuses!$A$5:$A$3004,$A61,Acuses!$B$5:$B$3004,M$4,Acuses!$C$5:$C$3004,M$5),M$8)&lt;Resumen!$C$4,"Caducado",IF(EDATE(_xlfn.MAXIFS(Acuses!$D$5:$D$3004,Acuses!$A$5:$A$3004,$A61,Acuses!$B$5:$B$3004,M$4,Acuses!$C$5:$C$3004,M$5),M$8)&lt;Resumen!$C$4+30,"Caduca pronto","OK"))))))</f>
        <v/>
      </c>
      <c r="N61" s="26" t="str">
        <f aca="false">IF(OR($A61="",N$4=""),"",IF(NOT(OR(N$6="Toda la plantilla",ISNUMBER(SEARCH(";"&amp;SUBSTITUTE($C61," ","")&amp;";",";"&amp;SUBSTITUTE(N$7," ","")&amp;";")))),"—",IF(_xlfn.MAXIFS(Acuses!$C$5:$C$3004,Acuses!$A$5:$A$3004,$A61,Acuses!$B$5:$B$3004,N$4)&lt;N$5,"Pendiente",IF(N$8=0,"OK",IF(EDATE(_xlfn.MAXIFS(Acuses!$D$5:$D$3004,Acuses!$A$5:$A$3004,$A61,Acuses!$B$5:$B$3004,N$4,Acuses!$C$5:$C$3004,N$5),N$8)&lt;Resumen!$C$4,"Caducado",IF(EDATE(_xlfn.MAXIFS(Acuses!$D$5:$D$3004,Acuses!$A$5:$A$3004,$A61,Acuses!$B$5:$B$3004,N$4,Acuses!$C$5:$C$3004,N$5),N$8)&lt;Resumen!$C$4+30,"Caduca pronto","OK"))))))</f>
        <v/>
      </c>
      <c r="O61" s="26" t="str">
        <f aca="false">IF(OR($A61="",O$4=""),"",IF(NOT(OR(O$6="Toda la plantilla",ISNUMBER(SEARCH(";"&amp;SUBSTITUTE($C61," ","")&amp;";",";"&amp;SUBSTITUTE(O$7," ","")&amp;";")))),"—",IF(_xlfn.MAXIFS(Acuses!$C$5:$C$3004,Acuses!$A$5:$A$3004,$A61,Acuses!$B$5:$B$3004,O$4)&lt;O$5,"Pendiente",IF(O$8=0,"OK",IF(EDATE(_xlfn.MAXIFS(Acuses!$D$5:$D$3004,Acuses!$A$5:$A$3004,$A61,Acuses!$B$5:$B$3004,O$4,Acuses!$C$5:$C$3004,O$5),O$8)&lt;Resumen!$C$4,"Caducado",IF(EDATE(_xlfn.MAXIFS(Acuses!$D$5:$D$3004,Acuses!$A$5:$A$3004,$A61,Acuses!$B$5:$B$3004,O$4,Acuses!$C$5:$C$3004,O$5),O$8)&lt;Resumen!$C$4+30,"Caduca pronto","OK"))))))</f>
        <v/>
      </c>
      <c r="P61" s="26" t="str">
        <f aca="false">IF(OR($A61="",P$4=""),"",IF(NOT(OR(P$6="Toda la plantilla",ISNUMBER(SEARCH(";"&amp;SUBSTITUTE($C61," ","")&amp;";",";"&amp;SUBSTITUTE(P$7," ","")&amp;";")))),"—",IF(_xlfn.MAXIFS(Acuses!$C$5:$C$3004,Acuses!$A$5:$A$3004,$A61,Acuses!$B$5:$B$3004,P$4)&lt;P$5,"Pendiente",IF(P$8=0,"OK",IF(EDATE(_xlfn.MAXIFS(Acuses!$D$5:$D$3004,Acuses!$A$5:$A$3004,$A61,Acuses!$B$5:$B$3004,P$4,Acuses!$C$5:$C$3004,P$5),P$8)&lt;Resumen!$C$4,"Caducado",IF(EDATE(_xlfn.MAXIFS(Acuses!$D$5:$D$3004,Acuses!$A$5:$A$3004,$A61,Acuses!$B$5:$B$3004,P$4,Acuses!$C$5:$C$3004,P$5),P$8)&lt;Resumen!$C$4+30,"Caduca pronto","OK"))))))</f>
        <v/>
      </c>
      <c r="Q61" s="26" t="str">
        <f aca="false">IF(OR($A61="",Q$4=""),"",IF(NOT(OR(Q$6="Toda la plantilla",ISNUMBER(SEARCH(";"&amp;SUBSTITUTE($C61," ","")&amp;";",";"&amp;SUBSTITUTE(Q$7," ","")&amp;";")))),"—",IF(_xlfn.MAXIFS(Acuses!$C$5:$C$3004,Acuses!$A$5:$A$3004,$A61,Acuses!$B$5:$B$3004,Q$4)&lt;Q$5,"Pendiente",IF(Q$8=0,"OK",IF(EDATE(_xlfn.MAXIFS(Acuses!$D$5:$D$3004,Acuses!$A$5:$A$3004,$A61,Acuses!$B$5:$B$3004,Q$4,Acuses!$C$5:$C$3004,Q$5),Q$8)&lt;Resumen!$C$4,"Caducado",IF(EDATE(_xlfn.MAXIFS(Acuses!$D$5:$D$3004,Acuses!$A$5:$A$3004,$A61,Acuses!$B$5:$B$3004,Q$4,Acuses!$C$5:$C$3004,Q$5),Q$8)&lt;Resumen!$C$4+30,"Caduca pronto","OK"))))))</f>
        <v/>
      </c>
      <c r="R61" s="26" t="str">
        <f aca="false">IF(OR($A61="",R$4=""),"",IF(NOT(OR(R$6="Toda la plantilla",ISNUMBER(SEARCH(";"&amp;SUBSTITUTE($C61," ","")&amp;";",";"&amp;SUBSTITUTE(R$7," ","")&amp;";")))),"—",IF(_xlfn.MAXIFS(Acuses!$C$5:$C$3004,Acuses!$A$5:$A$3004,$A61,Acuses!$B$5:$B$3004,R$4)&lt;R$5,"Pendiente",IF(R$8=0,"OK",IF(EDATE(_xlfn.MAXIFS(Acuses!$D$5:$D$3004,Acuses!$A$5:$A$3004,$A61,Acuses!$B$5:$B$3004,R$4,Acuses!$C$5:$C$3004,R$5),R$8)&lt;Resumen!$C$4,"Caducado",IF(EDATE(_xlfn.MAXIFS(Acuses!$D$5:$D$3004,Acuses!$A$5:$A$3004,$A61,Acuses!$B$5:$B$3004,R$4,Acuses!$C$5:$C$3004,R$5),R$8)&lt;Resumen!$C$4+30,"Caduca pronto","OK"))))))</f>
        <v/>
      </c>
      <c r="S61" s="26" t="str">
        <f aca="false">IF(OR($A61="",S$4=""),"",IF(NOT(OR(S$6="Toda la plantilla",ISNUMBER(SEARCH(";"&amp;SUBSTITUTE($C61," ","")&amp;";",";"&amp;SUBSTITUTE(S$7," ","")&amp;";")))),"—",IF(_xlfn.MAXIFS(Acuses!$C$5:$C$3004,Acuses!$A$5:$A$3004,$A61,Acuses!$B$5:$B$3004,S$4)&lt;S$5,"Pendiente",IF(S$8=0,"OK",IF(EDATE(_xlfn.MAXIFS(Acuses!$D$5:$D$3004,Acuses!$A$5:$A$3004,$A61,Acuses!$B$5:$B$3004,S$4,Acuses!$C$5:$C$3004,S$5),S$8)&lt;Resumen!$C$4,"Caducado",IF(EDATE(_xlfn.MAXIFS(Acuses!$D$5:$D$3004,Acuses!$A$5:$A$3004,$A61,Acuses!$B$5:$B$3004,S$4,Acuses!$C$5:$C$3004,S$5),S$8)&lt;Resumen!$C$4+30,"Caduca pronto","OK"))))))</f>
        <v/>
      </c>
      <c r="T61" s="26" t="str">
        <f aca="false">IF(OR($A61="",T$4=""),"",IF(NOT(OR(T$6="Toda la plantilla",ISNUMBER(SEARCH(";"&amp;SUBSTITUTE($C61," ","")&amp;";",";"&amp;SUBSTITUTE(T$7," ","")&amp;";")))),"—",IF(_xlfn.MAXIFS(Acuses!$C$5:$C$3004,Acuses!$A$5:$A$3004,$A61,Acuses!$B$5:$B$3004,T$4)&lt;T$5,"Pendiente",IF(T$8=0,"OK",IF(EDATE(_xlfn.MAXIFS(Acuses!$D$5:$D$3004,Acuses!$A$5:$A$3004,$A61,Acuses!$B$5:$B$3004,T$4,Acuses!$C$5:$C$3004,T$5),T$8)&lt;Resumen!$C$4,"Caducado",IF(EDATE(_xlfn.MAXIFS(Acuses!$D$5:$D$3004,Acuses!$A$5:$A$3004,$A61,Acuses!$B$5:$B$3004,T$4,Acuses!$C$5:$C$3004,T$5),T$8)&lt;Resumen!$C$4+30,"Caduca pronto","OK"))))))</f>
        <v/>
      </c>
      <c r="U61" s="26" t="str">
        <f aca="false">IF(OR($A61="",U$4=""),"",IF(NOT(OR(U$6="Toda la plantilla",ISNUMBER(SEARCH(";"&amp;SUBSTITUTE($C61," ","")&amp;";",";"&amp;SUBSTITUTE(U$7," ","")&amp;";")))),"—",IF(_xlfn.MAXIFS(Acuses!$C$5:$C$3004,Acuses!$A$5:$A$3004,$A61,Acuses!$B$5:$B$3004,U$4)&lt;U$5,"Pendiente",IF(U$8=0,"OK",IF(EDATE(_xlfn.MAXIFS(Acuses!$D$5:$D$3004,Acuses!$A$5:$A$3004,$A61,Acuses!$B$5:$B$3004,U$4,Acuses!$C$5:$C$3004,U$5),U$8)&lt;Resumen!$C$4,"Caducado",IF(EDATE(_xlfn.MAXIFS(Acuses!$D$5:$D$3004,Acuses!$A$5:$A$3004,$A61,Acuses!$B$5:$B$3004,U$4,Acuses!$C$5:$C$3004,U$5),U$8)&lt;Resumen!$C$4+30,"Caduca pronto","OK"))))))</f>
        <v/>
      </c>
      <c r="V61" s="26" t="str">
        <f aca="false">IF(OR($A61="",V$4=""),"",IF(NOT(OR(V$6="Toda la plantilla",ISNUMBER(SEARCH(";"&amp;SUBSTITUTE($C61," ","")&amp;";",";"&amp;SUBSTITUTE(V$7," ","")&amp;";")))),"—",IF(_xlfn.MAXIFS(Acuses!$C$5:$C$3004,Acuses!$A$5:$A$3004,$A61,Acuses!$B$5:$B$3004,V$4)&lt;V$5,"Pendiente",IF(V$8=0,"OK",IF(EDATE(_xlfn.MAXIFS(Acuses!$D$5:$D$3004,Acuses!$A$5:$A$3004,$A61,Acuses!$B$5:$B$3004,V$4,Acuses!$C$5:$C$3004,V$5),V$8)&lt;Resumen!$C$4,"Caducado",IF(EDATE(_xlfn.MAXIFS(Acuses!$D$5:$D$3004,Acuses!$A$5:$A$3004,$A61,Acuses!$B$5:$B$3004,V$4,Acuses!$C$5:$C$3004,V$5),V$8)&lt;Resumen!$C$4+30,"Caduca pronto","OK"))))))</f>
        <v/>
      </c>
      <c r="W61" s="26" t="str">
        <f aca="false">IF(OR($A61="",W$4=""),"",IF(NOT(OR(W$6="Toda la plantilla",ISNUMBER(SEARCH(";"&amp;SUBSTITUTE($C61," ","")&amp;";",";"&amp;SUBSTITUTE(W$7," ","")&amp;";")))),"—",IF(_xlfn.MAXIFS(Acuses!$C$5:$C$3004,Acuses!$A$5:$A$3004,$A61,Acuses!$B$5:$B$3004,W$4)&lt;W$5,"Pendiente",IF(W$8=0,"OK",IF(EDATE(_xlfn.MAXIFS(Acuses!$D$5:$D$3004,Acuses!$A$5:$A$3004,$A61,Acuses!$B$5:$B$3004,W$4,Acuses!$C$5:$C$3004,W$5),W$8)&lt;Resumen!$C$4,"Caducado",IF(EDATE(_xlfn.MAXIFS(Acuses!$D$5:$D$3004,Acuses!$A$5:$A$3004,$A61,Acuses!$B$5:$B$3004,W$4,Acuses!$C$5:$C$3004,W$5),W$8)&lt;Resumen!$C$4+30,"Caduca pronto","OK"))))))</f>
        <v/>
      </c>
      <c r="X61" s="26" t="str">
        <f aca="false">IF(OR($A61="",X$4=""),"",IF(NOT(OR(X$6="Toda la plantilla",ISNUMBER(SEARCH(";"&amp;SUBSTITUTE($C61," ","")&amp;";",";"&amp;SUBSTITUTE(X$7," ","")&amp;";")))),"—",IF(_xlfn.MAXIFS(Acuses!$C$5:$C$3004,Acuses!$A$5:$A$3004,$A61,Acuses!$B$5:$B$3004,X$4)&lt;X$5,"Pendiente",IF(X$8=0,"OK",IF(EDATE(_xlfn.MAXIFS(Acuses!$D$5:$D$3004,Acuses!$A$5:$A$3004,$A61,Acuses!$B$5:$B$3004,X$4,Acuses!$C$5:$C$3004,X$5),X$8)&lt;Resumen!$C$4,"Caducado",IF(EDATE(_xlfn.MAXIFS(Acuses!$D$5:$D$3004,Acuses!$A$5:$A$3004,$A61,Acuses!$B$5:$B$3004,X$4,Acuses!$C$5:$C$3004,X$5),X$8)&lt;Resumen!$C$4+30,"Caduca pronto","OK"))))))</f>
        <v/>
      </c>
      <c r="Y61" s="26" t="str">
        <f aca="false">IF(OR($A61="",Y$4=""),"",IF(NOT(OR(Y$6="Toda la plantilla",ISNUMBER(SEARCH(";"&amp;SUBSTITUTE($C61," ","")&amp;";",";"&amp;SUBSTITUTE(Y$7," ","")&amp;";")))),"—",IF(_xlfn.MAXIFS(Acuses!$C$5:$C$3004,Acuses!$A$5:$A$3004,$A61,Acuses!$B$5:$B$3004,Y$4)&lt;Y$5,"Pendiente",IF(Y$8=0,"OK",IF(EDATE(_xlfn.MAXIFS(Acuses!$D$5:$D$3004,Acuses!$A$5:$A$3004,$A61,Acuses!$B$5:$B$3004,Y$4,Acuses!$C$5:$C$3004,Y$5),Y$8)&lt;Resumen!$C$4,"Caducado",IF(EDATE(_xlfn.MAXIFS(Acuses!$D$5:$D$3004,Acuses!$A$5:$A$3004,$A61,Acuses!$B$5:$B$3004,Y$4,Acuses!$C$5:$C$3004,Y$5),Y$8)&lt;Resumen!$C$4+30,"Caduca pronto","OK"))))))</f>
        <v/>
      </c>
      <c r="Z61" s="26" t="str">
        <f aca="false">IF(OR($A61="",Z$4=""),"",IF(NOT(OR(Z$6="Toda la plantilla",ISNUMBER(SEARCH(";"&amp;SUBSTITUTE($C61," ","")&amp;";",";"&amp;SUBSTITUTE(Z$7," ","")&amp;";")))),"—",IF(_xlfn.MAXIFS(Acuses!$C$5:$C$3004,Acuses!$A$5:$A$3004,$A61,Acuses!$B$5:$B$3004,Z$4)&lt;Z$5,"Pendiente",IF(Z$8=0,"OK",IF(EDATE(_xlfn.MAXIFS(Acuses!$D$5:$D$3004,Acuses!$A$5:$A$3004,$A61,Acuses!$B$5:$B$3004,Z$4,Acuses!$C$5:$C$3004,Z$5),Z$8)&lt;Resumen!$C$4,"Caducado",IF(EDATE(_xlfn.MAXIFS(Acuses!$D$5:$D$3004,Acuses!$A$5:$A$3004,$A61,Acuses!$B$5:$B$3004,Z$4,Acuses!$C$5:$C$3004,Z$5),Z$8)&lt;Resumen!$C$4+30,"Caduca pronto","OK"))))))</f>
        <v/>
      </c>
      <c r="AA61" s="26" t="str">
        <f aca="false">IF(OR($A61="",AA$4=""),"",IF(NOT(OR(AA$6="Toda la plantilla",ISNUMBER(SEARCH(";"&amp;SUBSTITUTE($C61," ","")&amp;";",";"&amp;SUBSTITUTE(AA$7," ","")&amp;";")))),"—",IF(_xlfn.MAXIFS(Acuses!$C$5:$C$3004,Acuses!$A$5:$A$3004,$A61,Acuses!$B$5:$B$3004,AA$4)&lt;AA$5,"Pendiente",IF(AA$8=0,"OK",IF(EDATE(_xlfn.MAXIFS(Acuses!$D$5:$D$3004,Acuses!$A$5:$A$3004,$A61,Acuses!$B$5:$B$3004,AA$4,Acuses!$C$5:$C$3004,AA$5),AA$8)&lt;Resumen!$C$4,"Caducado",IF(EDATE(_xlfn.MAXIFS(Acuses!$D$5:$D$3004,Acuses!$A$5:$A$3004,$A61,Acuses!$B$5:$B$3004,AA$4,Acuses!$C$5:$C$3004,AA$5),AA$8)&lt;Resumen!$C$4+30,"Caduca pronto","OK"))))))</f>
        <v/>
      </c>
      <c r="AB61" s="26" t="str">
        <f aca="false">IF(OR($A61="",AB$4=""),"",IF(NOT(OR(AB$6="Toda la plantilla",ISNUMBER(SEARCH(";"&amp;SUBSTITUTE($C61," ","")&amp;";",";"&amp;SUBSTITUTE(AB$7," ","")&amp;";")))),"—",IF(_xlfn.MAXIFS(Acuses!$C$5:$C$3004,Acuses!$A$5:$A$3004,$A61,Acuses!$B$5:$B$3004,AB$4)&lt;AB$5,"Pendiente",IF(AB$8=0,"OK",IF(EDATE(_xlfn.MAXIFS(Acuses!$D$5:$D$3004,Acuses!$A$5:$A$3004,$A61,Acuses!$B$5:$B$3004,AB$4,Acuses!$C$5:$C$3004,AB$5),AB$8)&lt;Resumen!$C$4,"Caducado",IF(EDATE(_xlfn.MAXIFS(Acuses!$D$5:$D$3004,Acuses!$A$5:$A$3004,$A61,Acuses!$B$5:$B$3004,AB$4,Acuses!$C$5:$C$3004,AB$5),AB$8)&lt;Resumen!$C$4+30,"Caduca pronto","OK"))))))</f>
        <v/>
      </c>
      <c r="AC61" s="26" t="str">
        <f aca="false">IF(OR($A61="",AC$4=""),"",IF(NOT(OR(AC$6="Toda la plantilla",ISNUMBER(SEARCH(";"&amp;SUBSTITUTE($C61," ","")&amp;";",";"&amp;SUBSTITUTE(AC$7," ","")&amp;";")))),"—",IF(_xlfn.MAXIFS(Acuses!$C$5:$C$3004,Acuses!$A$5:$A$3004,$A61,Acuses!$B$5:$B$3004,AC$4)&lt;AC$5,"Pendiente",IF(AC$8=0,"OK",IF(EDATE(_xlfn.MAXIFS(Acuses!$D$5:$D$3004,Acuses!$A$5:$A$3004,$A61,Acuses!$B$5:$B$3004,AC$4,Acuses!$C$5:$C$3004,AC$5),AC$8)&lt;Resumen!$C$4,"Caducado",IF(EDATE(_xlfn.MAXIFS(Acuses!$D$5:$D$3004,Acuses!$A$5:$A$3004,$A61,Acuses!$B$5:$B$3004,AC$4,Acuses!$C$5:$C$3004,AC$5),AC$8)&lt;Resumen!$C$4+30,"Caduca pronto","OK"))))))</f>
        <v/>
      </c>
      <c r="AD61" s="26" t="str">
        <f aca="false">IF(OR($A61="",AD$4=""),"",IF(NOT(OR(AD$6="Toda la plantilla",ISNUMBER(SEARCH(";"&amp;SUBSTITUTE($C61," ","")&amp;";",";"&amp;SUBSTITUTE(AD$7," ","")&amp;";")))),"—",IF(_xlfn.MAXIFS(Acuses!$C$5:$C$3004,Acuses!$A$5:$A$3004,$A61,Acuses!$B$5:$B$3004,AD$4)&lt;AD$5,"Pendiente",IF(AD$8=0,"OK",IF(EDATE(_xlfn.MAXIFS(Acuses!$D$5:$D$3004,Acuses!$A$5:$A$3004,$A61,Acuses!$B$5:$B$3004,AD$4,Acuses!$C$5:$C$3004,AD$5),AD$8)&lt;Resumen!$C$4,"Caducado",IF(EDATE(_xlfn.MAXIFS(Acuses!$D$5:$D$3004,Acuses!$A$5:$A$3004,$A61,Acuses!$B$5:$B$3004,AD$4,Acuses!$C$5:$C$3004,AD$5),AD$8)&lt;Resumen!$C$4+30,"Caduca pronto","OK"))))))</f>
        <v/>
      </c>
      <c r="AE61" s="26" t="str">
        <f aca="false">IF(OR($A61="",AE$4=""),"",IF(NOT(OR(AE$6="Toda la plantilla",ISNUMBER(SEARCH(";"&amp;SUBSTITUTE($C61," ","")&amp;";",";"&amp;SUBSTITUTE(AE$7," ","")&amp;";")))),"—",IF(_xlfn.MAXIFS(Acuses!$C$5:$C$3004,Acuses!$A$5:$A$3004,$A61,Acuses!$B$5:$B$3004,AE$4)&lt;AE$5,"Pendiente",IF(AE$8=0,"OK",IF(EDATE(_xlfn.MAXIFS(Acuses!$D$5:$D$3004,Acuses!$A$5:$A$3004,$A61,Acuses!$B$5:$B$3004,AE$4,Acuses!$C$5:$C$3004,AE$5),AE$8)&lt;Resumen!$C$4,"Caducado",IF(EDATE(_xlfn.MAXIFS(Acuses!$D$5:$D$3004,Acuses!$A$5:$A$3004,$A61,Acuses!$B$5:$B$3004,AE$4,Acuses!$C$5:$C$3004,AE$5),AE$8)&lt;Resumen!$C$4+30,"Caduca pronto","OK"))))))</f>
        <v/>
      </c>
      <c r="AF61" s="26" t="str">
        <f aca="false">IF(OR($A61="",AF$4=""),"",IF(NOT(OR(AF$6="Toda la plantilla",ISNUMBER(SEARCH(";"&amp;SUBSTITUTE($C61," ","")&amp;";",";"&amp;SUBSTITUTE(AF$7," ","")&amp;";")))),"—",IF(_xlfn.MAXIFS(Acuses!$C$5:$C$3004,Acuses!$A$5:$A$3004,$A61,Acuses!$B$5:$B$3004,AF$4)&lt;AF$5,"Pendiente",IF(AF$8=0,"OK",IF(EDATE(_xlfn.MAXIFS(Acuses!$D$5:$D$3004,Acuses!$A$5:$A$3004,$A61,Acuses!$B$5:$B$3004,AF$4,Acuses!$C$5:$C$3004,AF$5),AF$8)&lt;Resumen!$C$4,"Caducado",IF(EDATE(_xlfn.MAXIFS(Acuses!$D$5:$D$3004,Acuses!$A$5:$A$3004,$A61,Acuses!$B$5:$B$3004,AF$4,Acuses!$C$5:$C$3004,AF$5),AF$8)&lt;Resumen!$C$4+30,"Caduca pronto","OK"))))))</f>
        <v/>
      </c>
      <c r="AG61" s="26" t="str">
        <f aca="false">IF(OR($A61="",AG$4=""),"",IF(NOT(OR(AG$6="Toda la plantilla",ISNUMBER(SEARCH(";"&amp;SUBSTITUTE($C61," ","")&amp;";",";"&amp;SUBSTITUTE(AG$7," ","")&amp;";")))),"—",IF(_xlfn.MAXIFS(Acuses!$C$5:$C$3004,Acuses!$A$5:$A$3004,$A61,Acuses!$B$5:$B$3004,AG$4)&lt;AG$5,"Pendiente",IF(AG$8=0,"OK",IF(EDATE(_xlfn.MAXIFS(Acuses!$D$5:$D$3004,Acuses!$A$5:$A$3004,$A61,Acuses!$B$5:$B$3004,AG$4,Acuses!$C$5:$C$3004,AG$5),AG$8)&lt;Resumen!$C$4,"Caducado",IF(EDATE(_xlfn.MAXIFS(Acuses!$D$5:$D$3004,Acuses!$A$5:$A$3004,$A61,Acuses!$B$5:$B$3004,AG$4,Acuses!$C$5:$C$3004,AG$5),AG$8)&lt;Resumen!$C$4+30,"Caduca pronto","OK"))))))</f>
        <v/>
      </c>
      <c r="AH61" s="26" t="str">
        <f aca="false">IF(OR($A61="",AH$4=""),"",IF(NOT(OR(AH$6="Toda la plantilla",ISNUMBER(SEARCH(";"&amp;SUBSTITUTE($C61," ","")&amp;";",";"&amp;SUBSTITUTE(AH$7," ","")&amp;";")))),"—",IF(_xlfn.MAXIFS(Acuses!$C$5:$C$3004,Acuses!$A$5:$A$3004,$A61,Acuses!$B$5:$B$3004,AH$4)&lt;AH$5,"Pendiente",IF(AH$8=0,"OK",IF(EDATE(_xlfn.MAXIFS(Acuses!$D$5:$D$3004,Acuses!$A$5:$A$3004,$A61,Acuses!$B$5:$B$3004,AH$4,Acuses!$C$5:$C$3004,AH$5),AH$8)&lt;Resumen!$C$4,"Caducado",IF(EDATE(_xlfn.MAXIFS(Acuses!$D$5:$D$3004,Acuses!$A$5:$A$3004,$A61,Acuses!$B$5:$B$3004,AH$4,Acuses!$C$5:$C$3004,AH$5),AH$8)&lt;Resumen!$C$4+30,"Caduca pronto","OK"))))))</f>
        <v/>
      </c>
      <c r="AI61" s="26" t="str">
        <f aca="false">IF(OR($A61="",AI$4=""),"",IF(NOT(OR(AI$6="Toda la plantilla",ISNUMBER(SEARCH(";"&amp;SUBSTITUTE($C61," ","")&amp;";",";"&amp;SUBSTITUTE(AI$7," ","")&amp;";")))),"—",IF(_xlfn.MAXIFS(Acuses!$C$5:$C$3004,Acuses!$A$5:$A$3004,$A61,Acuses!$B$5:$B$3004,AI$4)&lt;AI$5,"Pendiente",IF(AI$8=0,"OK",IF(EDATE(_xlfn.MAXIFS(Acuses!$D$5:$D$3004,Acuses!$A$5:$A$3004,$A61,Acuses!$B$5:$B$3004,AI$4,Acuses!$C$5:$C$3004,AI$5),AI$8)&lt;Resumen!$C$4,"Caducado",IF(EDATE(_xlfn.MAXIFS(Acuses!$D$5:$D$3004,Acuses!$A$5:$A$3004,$A61,Acuses!$B$5:$B$3004,AI$4,Acuses!$C$5:$C$3004,AI$5),AI$8)&lt;Resumen!$C$4+30,"Caduca pronto","OK"))))))</f>
        <v/>
      </c>
      <c r="AJ61" s="26" t="str">
        <f aca="false">IF(OR($A61="",AJ$4=""),"",IF(NOT(OR(AJ$6="Toda la plantilla",ISNUMBER(SEARCH(";"&amp;SUBSTITUTE($C61," ","")&amp;";",";"&amp;SUBSTITUTE(AJ$7," ","")&amp;";")))),"—",IF(_xlfn.MAXIFS(Acuses!$C$5:$C$3004,Acuses!$A$5:$A$3004,$A61,Acuses!$B$5:$B$3004,AJ$4)&lt;AJ$5,"Pendiente",IF(AJ$8=0,"OK",IF(EDATE(_xlfn.MAXIFS(Acuses!$D$5:$D$3004,Acuses!$A$5:$A$3004,$A61,Acuses!$B$5:$B$3004,AJ$4,Acuses!$C$5:$C$3004,AJ$5),AJ$8)&lt;Resumen!$C$4,"Caducado",IF(EDATE(_xlfn.MAXIFS(Acuses!$D$5:$D$3004,Acuses!$A$5:$A$3004,$A61,Acuses!$B$5:$B$3004,AJ$4,Acuses!$C$5:$C$3004,AJ$5),AJ$8)&lt;Resumen!$C$4+30,"Caduca pronto","OK"))))))</f>
        <v/>
      </c>
      <c r="AK61" s="26" t="str">
        <f aca="false">IF(OR($A61="",AK$4=""),"",IF(NOT(OR(AK$6="Toda la plantilla",ISNUMBER(SEARCH(";"&amp;SUBSTITUTE($C61," ","")&amp;";",";"&amp;SUBSTITUTE(AK$7," ","")&amp;";")))),"—",IF(_xlfn.MAXIFS(Acuses!$C$5:$C$3004,Acuses!$A$5:$A$3004,$A61,Acuses!$B$5:$B$3004,AK$4)&lt;AK$5,"Pendiente",IF(AK$8=0,"OK",IF(EDATE(_xlfn.MAXIFS(Acuses!$D$5:$D$3004,Acuses!$A$5:$A$3004,$A61,Acuses!$B$5:$B$3004,AK$4,Acuses!$C$5:$C$3004,AK$5),AK$8)&lt;Resumen!$C$4,"Caducado",IF(EDATE(_xlfn.MAXIFS(Acuses!$D$5:$D$3004,Acuses!$A$5:$A$3004,$A61,Acuses!$B$5:$B$3004,AK$4,Acuses!$C$5:$C$3004,AK$5),AK$8)&lt;Resumen!$C$4+30,"Caduca pronto","OK"))))))</f>
        <v/>
      </c>
      <c r="AL61" s="26" t="str">
        <f aca="false">IF(OR($A61="",AL$4=""),"",IF(NOT(OR(AL$6="Toda la plantilla",ISNUMBER(SEARCH(";"&amp;SUBSTITUTE($C61," ","")&amp;";",";"&amp;SUBSTITUTE(AL$7," ","")&amp;";")))),"—",IF(_xlfn.MAXIFS(Acuses!$C$5:$C$3004,Acuses!$A$5:$A$3004,$A61,Acuses!$B$5:$B$3004,AL$4)&lt;AL$5,"Pendiente",IF(AL$8=0,"OK",IF(EDATE(_xlfn.MAXIFS(Acuses!$D$5:$D$3004,Acuses!$A$5:$A$3004,$A61,Acuses!$B$5:$B$3004,AL$4,Acuses!$C$5:$C$3004,AL$5),AL$8)&lt;Resumen!$C$4,"Caducado",IF(EDATE(_xlfn.MAXIFS(Acuses!$D$5:$D$3004,Acuses!$A$5:$A$3004,$A61,Acuses!$B$5:$B$3004,AL$4,Acuses!$C$5:$C$3004,AL$5),AL$8)&lt;Resumen!$C$4+30,"Caduca pronto","OK"))))))</f>
        <v/>
      </c>
      <c r="AM61" s="26" t="str">
        <f aca="false">IF(OR($A61="",AM$4=""),"",IF(NOT(OR(AM$6="Toda la plantilla",ISNUMBER(SEARCH(";"&amp;SUBSTITUTE($C61," ","")&amp;";",";"&amp;SUBSTITUTE(AM$7," ","")&amp;";")))),"—",IF(_xlfn.MAXIFS(Acuses!$C$5:$C$3004,Acuses!$A$5:$A$3004,$A61,Acuses!$B$5:$B$3004,AM$4)&lt;AM$5,"Pendiente",IF(AM$8=0,"OK",IF(EDATE(_xlfn.MAXIFS(Acuses!$D$5:$D$3004,Acuses!$A$5:$A$3004,$A61,Acuses!$B$5:$B$3004,AM$4,Acuses!$C$5:$C$3004,AM$5),AM$8)&lt;Resumen!$C$4,"Caducado",IF(EDATE(_xlfn.MAXIFS(Acuses!$D$5:$D$3004,Acuses!$A$5:$A$3004,$A61,Acuses!$B$5:$B$3004,AM$4,Acuses!$C$5:$C$3004,AM$5),AM$8)&lt;Resumen!$C$4+30,"Caduca pronto","OK"))))))</f>
        <v/>
      </c>
      <c r="AN61" s="26" t="str">
        <f aca="false">IF(OR($A61="",AN$4=""),"",IF(NOT(OR(AN$6="Toda la plantilla",ISNUMBER(SEARCH(";"&amp;SUBSTITUTE($C61," ","")&amp;";",";"&amp;SUBSTITUTE(AN$7," ","")&amp;";")))),"—",IF(_xlfn.MAXIFS(Acuses!$C$5:$C$3004,Acuses!$A$5:$A$3004,$A61,Acuses!$B$5:$B$3004,AN$4)&lt;AN$5,"Pendiente",IF(AN$8=0,"OK",IF(EDATE(_xlfn.MAXIFS(Acuses!$D$5:$D$3004,Acuses!$A$5:$A$3004,$A61,Acuses!$B$5:$B$3004,AN$4,Acuses!$C$5:$C$3004,AN$5),AN$8)&lt;Resumen!$C$4,"Caducado",IF(EDATE(_xlfn.MAXIFS(Acuses!$D$5:$D$3004,Acuses!$A$5:$A$3004,$A61,Acuses!$B$5:$B$3004,AN$4,Acuses!$C$5:$C$3004,AN$5),AN$8)&lt;Resumen!$C$4+30,"Caduca pronto","OK"))))))</f>
        <v/>
      </c>
      <c r="AO61" s="26" t="str">
        <f aca="false">IF(OR($A61="",AO$4=""),"",IF(NOT(OR(AO$6="Toda la plantilla",ISNUMBER(SEARCH(";"&amp;SUBSTITUTE($C61," ","")&amp;";",";"&amp;SUBSTITUTE(AO$7," ","")&amp;";")))),"—",IF(_xlfn.MAXIFS(Acuses!$C$5:$C$3004,Acuses!$A$5:$A$3004,$A61,Acuses!$B$5:$B$3004,AO$4)&lt;AO$5,"Pendiente",IF(AO$8=0,"OK",IF(EDATE(_xlfn.MAXIFS(Acuses!$D$5:$D$3004,Acuses!$A$5:$A$3004,$A61,Acuses!$B$5:$B$3004,AO$4,Acuses!$C$5:$C$3004,AO$5),AO$8)&lt;Resumen!$C$4,"Caducado",IF(EDATE(_xlfn.MAXIFS(Acuses!$D$5:$D$3004,Acuses!$A$5:$A$3004,$A61,Acuses!$B$5:$B$3004,AO$4,Acuses!$C$5:$C$3004,AO$5),AO$8)&lt;Resumen!$C$4+30,"Caduca pronto","OK"))))))</f>
        <v/>
      </c>
      <c r="AP61" s="26" t="str">
        <f aca="false">IF(OR($A61="",AP$4=""),"",IF(NOT(OR(AP$6="Toda la plantilla",ISNUMBER(SEARCH(";"&amp;SUBSTITUTE($C61," ","")&amp;";",";"&amp;SUBSTITUTE(AP$7," ","")&amp;";")))),"—",IF(_xlfn.MAXIFS(Acuses!$C$5:$C$3004,Acuses!$A$5:$A$3004,$A61,Acuses!$B$5:$B$3004,AP$4)&lt;AP$5,"Pendiente",IF(AP$8=0,"OK",IF(EDATE(_xlfn.MAXIFS(Acuses!$D$5:$D$3004,Acuses!$A$5:$A$3004,$A61,Acuses!$B$5:$B$3004,AP$4,Acuses!$C$5:$C$3004,AP$5),AP$8)&lt;Resumen!$C$4,"Caducado",IF(EDATE(_xlfn.MAXIFS(Acuses!$D$5:$D$3004,Acuses!$A$5:$A$3004,$A61,Acuses!$B$5:$B$3004,AP$4,Acuses!$C$5:$C$3004,AP$5),AP$8)&lt;Resumen!$C$4+30,"Caduca pronto","OK"))))))</f>
        <v/>
      </c>
      <c r="AQ61" s="26" t="str">
        <f aca="false">IF(OR($A61="",AQ$4=""),"",IF(NOT(OR(AQ$6="Toda la plantilla",ISNUMBER(SEARCH(";"&amp;SUBSTITUTE($C61," ","")&amp;";",";"&amp;SUBSTITUTE(AQ$7," ","")&amp;";")))),"—",IF(_xlfn.MAXIFS(Acuses!$C$5:$C$3004,Acuses!$A$5:$A$3004,$A61,Acuses!$B$5:$B$3004,AQ$4)&lt;AQ$5,"Pendiente",IF(AQ$8=0,"OK",IF(EDATE(_xlfn.MAXIFS(Acuses!$D$5:$D$3004,Acuses!$A$5:$A$3004,$A61,Acuses!$B$5:$B$3004,AQ$4,Acuses!$C$5:$C$3004,AQ$5),AQ$8)&lt;Resumen!$C$4,"Caducado",IF(EDATE(_xlfn.MAXIFS(Acuses!$D$5:$D$3004,Acuses!$A$5:$A$3004,$A61,Acuses!$B$5:$B$3004,AQ$4,Acuses!$C$5:$C$3004,AQ$5),AQ$8)&lt;Resumen!$C$4+30,"Caduca pronto","OK"))))))</f>
        <v/>
      </c>
    </row>
    <row r="62" customFormat="false" ht="15" hidden="false" customHeight="false" outlineLevel="0" collapsed="false">
      <c r="A62" s="25" t="str">
        <f aca="false">IF(AND(Trabajadores!$A$57&lt;&gt;"",Trabajadores!$G$57&lt;&gt;"No"),Trabajadores!$A$57,"")</f>
        <v/>
      </c>
      <c r="B62" s="25" t="str">
        <f aca="false">IF($A62="","",Trabajadores!$B$57)</f>
        <v/>
      </c>
      <c r="C62" s="25" t="str">
        <f aca="false">IF($A62="","",Trabajadores!$C$57)</f>
        <v/>
      </c>
      <c r="D62" s="26" t="str">
        <f aca="false">IF(OR($A62="",D$4=""),"",IF(NOT(OR(D$6="Toda la plantilla",ISNUMBER(SEARCH(";"&amp;SUBSTITUTE($C62," ","")&amp;";",";"&amp;SUBSTITUTE(D$7," ","")&amp;";")))),"—",IF(_xlfn.MAXIFS(Acuses!$C$5:$C$3004,Acuses!$A$5:$A$3004,$A62,Acuses!$B$5:$B$3004,D$4)&lt;D$5,"Pendiente",IF(D$8=0,"OK",IF(EDATE(_xlfn.MAXIFS(Acuses!$D$5:$D$3004,Acuses!$A$5:$A$3004,$A62,Acuses!$B$5:$B$3004,D$4,Acuses!$C$5:$C$3004,D$5),D$8)&lt;Resumen!$C$4,"Caducado",IF(EDATE(_xlfn.MAXIFS(Acuses!$D$5:$D$3004,Acuses!$A$5:$A$3004,$A62,Acuses!$B$5:$B$3004,D$4,Acuses!$C$5:$C$3004,D$5),D$8)&lt;Resumen!$C$4+30,"Caduca pronto","OK"))))))</f>
        <v/>
      </c>
      <c r="E62" s="26" t="str">
        <f aca="false">IF(OR($A62="",E$4=""),"",IF(NOT(OR(E$6="Toda la plantilla",ISNUMBER(SEARCH(";"&amp;SUBSTITUTE($C62," ","")&amp;";",";"&amp;SUBSTITUTE(E$7," ","")&amp;";")))),"—",IF(_xlfn.MAXIFS(Acuses!$C$5:$C$3004,Acuses!$A$5:$A$3004,$A62,Acuses!$B$5:$B$3004,E$4)&lt;E$5,"Pendiente",IF(E$8=0,"OK",IF(EDATE(_xlfn.MAXIFS(Acuses!$D$5:$D$3004,Acuses!$A$5:$A$3004,$A62,Acuses!$B$5:$B$3004,E$4,Acuses!$C$5:$C$3004,E$5),E$8)&lt;Resumen!$C$4,"Caducado",IF(EDATE(_xlfn.MAXIFS(Acuses!$D$5:$D$3004,Acuses!$A$5:$A$3004,$A62,Acuses!$B$5:$B$3004,E$4,Acuses!$C$5:$C$3004,E$5),E$8)&lt;Resumen!$C$4+30,"Caduca pronto","OK"))))))</f>
        <v/>
      </c>
      <c r="F62" s="26" t="str">
        <f aca="false">IF(OR($A62="",F$4=""),"",IF(NOT(OR(F$6="Toda la plantilla",ISNUMBER(SEARCH(";"&amp;SUBSTITUTE($C62," ","")&amp;";",";"&amp;SUBSTITUTE(F$7," ","")&amp;";")))),"—",IF(_xlfn.MAXIFS(Acuses!$C$5:$C$3004,Acuses!$A$5:$A$3004,$A62,Acuses!$B$5:$B$3004,F$4)&lt;F$5,"Pendiente",IF(F$8=0,"OK",IF(EDATE(_xlfn.MAXIFS(Acuses!$D$5:$D$3004,Acuses!$A$5:$A$3004,$A62,Acuses!$B$5:$B$3004,F$4,Acuses!$C$5:$C$3004,F$5),F$8)&lt;Resumen!$C$4,"Caducado",IF(EDATE(_xlfn.MAXIFS(Acuses!$D$5:$D$3004,Acuses!$A$5:$A$3004,$A62,Acuses!$B$5:$B$3004,F$4,Acuses!$C$5:$C$3004,F$5),F$8)&lt;Resumen!$C$4+30,"Caduca pronto","OK"))))))</f>
        <v/>
      </c>
      <c r="G62" s="26" t="str">
        <f aca="false">IF(OR($A62="",G$4=""),"",IF(NOT(OR(G$6="Toda la plantilla",ISNUMBER(SEARCH(";"&amp;SUBSTITUTE($C62," ","")&amp;";",";"&amp;SUBSTITUTE(G$7," ","")&amp;";")))),"—",IF(_xlfn.MAXIFS(Acuses!$C$5:$C$3004,Acuses!$A$5:$A$3004,$A62,Acuses!$B$5:$B$3004,G$4)&lt;G$5,"Pendiente",IF(G$8=0,"OK",IF(EDATE(_xlfn.MAXIFS(Acuses!$D$5:$D$3004,Acuses!$A$5:$A$3004,$A62,Acuses!$B$5:$B$3004,G$4,Acuses!$C$5:$C$3004,G$5),G$8)&lt;Resumen!$C$4,"Caducado",IF(EDATE(_xlfn.MAXIFS(Acuses!$D$5:$D$3004,Acuses!$A$5:$A$3004,$A62,Acuses!$B$5:$B$3004,G$4,Acuses!$C$5:$C$3004,G$5),G$8)&lt;Resumen!$C$4+30,"Caduca pronto","OK"))))))</f>
        <v/>
      </c>
      <c r="H62" s="26" t="str">
        <f aca="false">IF(OR($A62="",H$4=""),"",IF(NOT(OR(H$6="Toda la plantilla",ISNUMBER(SEARCH(";"&amp;SUBSTITUTE($C62," ","")&amp;";",";"&amp;SUBSTITUTE(H$7," ","")&amp;";")))),"—",IF(_xlfn.MAXIFS(Acuses!$C$5:$C$3004,Acuses!$A$5:$A$3004,$A62,Acuses!$B$5:$B$3004,H$4)&lt;H$5,"Pendiente",IF(H$8=0,"OK",IF(EDATE(_xlfn.MAXIFS(Acuses!$D$5:$D$3004,Acuses!$A$5:$A$3004,$A62,Acuses!$B$5:$B$3004,H$4,Acuses!$C$5:$C$3004,H$5),H$8)&lt;Resumen!$C$4,"Caducado",IF(EDATE(_xlfn.MAXIFS(Acuses!$D$5:$D$3004,Acuses!$A$5:$A$3004,$A62,Acuses!$B$5:$B$3004,H$4,Acuses!$C$5:$C$3004,H$5),H$8)&lt;Resumen!$C$4+30,"Caduca pronto","OK"))))))</f>
        <v/>
      </c>
      <c r="I62" s="26" t="str">
        <f aca="false">IF(OR($A62="",I$4=""),"",IF(NOT(OR(I$6="Toda la plantilla",ISNUMBER(SEARCH(";"&amp;SUBSTITUTE($C62," ","")&amp;";",";"&amp;SUBSTITUTE(I$7," ","")&amp;";")))),"—",IF(_xlfn.MAXIFS(Acuses!$C$5:$C$3004,Acuses!$A$5:$A$3004,$A62,Acuses!$B$5:$B$3004,I$4)&lt;I$5,"Pendiente",IF(I$8=0,"OK",IF(EDATE(_xlfn.MAXIFS(Acuses!$D$5:$D$3004,Acuses!$A$5:$A$3004,$A62,Acuses!$B$5:$B$3004,I$4,Acuses!$C$5:$C$3004,I$5),I$8)&lt;Resumen!$C$4,"Caducado",IF(EDATE(_xlfn.MAXIFS(Acuses!$D$5:$D$3004,Acuses!$A$5:$A$3004,$A62,Acuses!$B$5:$B$3004,I$4,Acuses!$C$5:$C$3004,I$5),I$8)&lt;Resumen!$C$4+30,"Caduca pronto","OK"))))))</f>
        <v/>
      </c>
      <c r="J62" s="26" t="str">
        <f aca="false">IF(OR($A62="",J$4=""),"",IF(NOT(OR(J$6="Toda la plantilla",ISNUMBER(SEARCH(";"&amp;SUBSTITUTE($C62," ","")&amp;";",";"&amp;SUBSTITUTE(J$7," ","")&amp;";")))),"—",IF(_xlfn.MAXIFS(Acuses!$C$5:$C$3004,Acuses!$A$5:$A$3004,$A62,Acuses!$B$5:$B$3004,J$4)&lt;J$5,"Pendiente",IF(J$8=0,"OK",IF(EDATE(_xlfn.MAXIFS(Acuses!$D$5:$D$3004,Acuses!$A$5:$A$3004,$A62,Acuses!$B$5:$B$3004,J$4,Acuses!$C$5:$C$3004,J$5),J$8)&lt;Resumen!$C$4,"Caducado",IF(EDATE(_xlfn.MAXIFS(Acuses!$D$5:$D$3004,Acuses!$A$5:$A$3004,$A62,Acuses!$B$5:$B$3004,J$4,Acuses!$C$5:$C$3004,J$5),J$8)&lt;Resumen!$C$4+30,"Caduca pronto","OK"))))))</f>
        <v/>
      </c>
      <c r="K62" s="26" t="str">
        <f aca="false">IF(OR($A62="",K$4=""),"",IF(NOT(OR(K$6="Toda la plantilla",ISNUMBER(SEARCH(";"&amp;SUBSTITUTE($C62," ","")&amp;";",";"&amp;SUBSTITUTE(K$7," ","")&amp;";")))),"—",IF(_xlfn.MAXIFS(Acuses!$C$5:$C$3004,Acuses!$A$5:$A$3004,$A62,Acuses!$B$5:$B$3004,K$4)&lt;K$5,"Pendiente",IF(K$8=0,"OK",IF(EDATE(_xlfn.MAXIFS(Acuses!$D$5:$D$3004,Acuses!$A$5:$A$3004,$A62,Acuses!$B$5:$B$3004,K$4,Acuses!$C$5:$C$3004,K$5),K$8)&lt;Resumen!$C$4,"Caducado",IF(EDATE(_xlfn.MAXIFS(Acuses!$D$5:$D$3004,Acuses!$A$5:$A$3004,$A62,Acuses!$B$5:$B$3004,K$4,Acuses!$C$5:$C$3004,K$5),K$8)&lt;Resumen!$C$4+30,"Caduca pronto","OK"))))))</f>
        <v/>
      </c>
      <c r="L62" s="26" t="str">
        <f aca="false">IF(OR($A62="",L$4=""),"",IF(NOT(OR(L$6="Toda la plantilla",ISNUMBER(SEARCH(";"&amp;SUBSTITUTE($C62," ","")&amp;";",";"&amp;SUBSTITUTE(L$7," ","")&amp;";")))),"—",IF(_xlfn.MAXIFS(Acuses!$C$5:$C$3004,Acuses!$A$5:$A$3004,$A62,Acuses!$B$5:$B$3004,L$4)&lt;L$5,"Pendiente",IF(L$8=0,"OK",IF(EDATE(_xlfn.MAXIFS(Acuses!$D$5:$D$3004,Acuses!$A$5:$A$3004,$A62,Acuses!$B$5:$B$3004,L$4,Acuses!$C$5:$C$3004,L$5),L$8)&lt;Resumen!$C$4,"Caducado",IF(EDATE(_xlfn.MAXIFS(Acuses!$D$5:$D$3004,Acuses!$A$5:$A$3004,$A62,Acuses!$B$5:$B$3004,L$4,Acuses!$C$5:$C$3004,L$5),L$8)&lt;Resumen!$C$4+30,"Caduca pronto","OK"))))))</f>
        <v/>
      </c>
      <c r="M62" s="26" t="str">
        <f aca="false">IF(OR($A62="",M$4=""),"",IF(NOT(OR(M$6="Toda la plantilla",ISNUMBER(SEARCH(";"&amp;SUBSTITUTE($C62," ","")&amp;";",";"&amp;SUBSTITUTE(M$7," ","")&amp;";")))),"—",IF(_xlfn.MAXIFS(Acuses!$C$5:$C$3004,Acuses!$A$5:$A$3004,$A62,Acuses!$B$5:$B$3004,M$4)&lt;M$5,"Pendiente",IF(M$8=0,"OK",IF(EDATE(_xlfn.MAXIFS(Acuses!$D$5:$D$3004,Acuses!$A$5:$A$3004,$A62,Acuses!$B$5:$B$3004,M$4,Acuses!$C$5:$C$3004,M$5),M$8)&lt;Resumen!$C$4,"Caducado",IF(EDATE(_xlfn.MAXIFS(Acuses!$D$5:$D$3004,Acuses!$A$5:$A$3004,$A62,Acuses!$B$5:$B$3004,M$4,Acuses!$C$5:$C$3004,M$5),M$8)&lt;Resumen!$C$4+30,"Caduca pronto","OK"))))))</f>
        <v/>
      </c>
      <c r="N62" s="26" t="str">
        <f aca="false">IF(OR($A62="",N$4=""),"",IF(NOT(OR(N$6="Toda la plantilla",ISNUMBER(SEARCH(";"&amp;SUBSTITUTE($C62," ","")&amp;";",";"&amp;SUBSTITUTE(N$7," ","")&amp;";")))),"—",IF(_xlfn.MAXIFS(Acuses!$C$5:$C$3004,Acuses!$A$5:$A$3004,$A62,Acuses!$B$5:$B$3004,N$4)&lt;N$5,"Pendiente",IF(N$8=0,"OK",IF(EDATE(_xlfn.MAXIFS(Acuses!$D$5:$D$3004,Acuses!$A$5:$A$3004,$A62,Acuses!$B$5:$B$3004,N$4,Acuses!$C$5:$C$3004,N$5),N$8)&lt;Resumen!$C$4,"Caducado",IF(EDATE(_xlfn.MAXIFS(Acuses!$D$5:$D$3004,Acuses!$A$5:$A$3004,$A62,Acuses!$B$5:$B$3004,N$4,Acuses!$C$5:$C$3004,N$5),N$8)&lt;Resumen!$C$4+30,"Caduca pronto","OK"))))))</f>
        <v/>
      </c>
      <c r="O62" s="26" t="str">
        <f aca="false">IF(OR($A62="",O$4=""),"",IF(NOT(OR(O$6="Toda la plantilla",ISNUMBER(SEARCH(";"&amp;SUBSTITUTE($C62," ","")&amp;";",";"&amp;SUBSTITUTE(O$7," ","")&amp;";")))),"—",IF(_xlfn.MAXIFS(Acuses!$C$5:$C$3004,Acuses!$A$5:$A$3004,$A62,Acuses!$B$5:$B$3004,O$4)&lt;O$5,"Pendiente",IF(O$8=0,"OK",IF(EDATE(_xlfn.MAXIFS(Acuses!$D$5:$D$3004,Acuses!$A$5:$A$3004,$A62,Acuses!$B$5:$B$3004,O$4,Acuses!$C$5:$C$3004,O$5),O$8)&lt;Resumen!$C$4,"Caducado",IF(EDATE(_xlfn.MAXIFS(Acuses!$D$5:$D$3004,Acuses!$A$5:$A$3004,$A62,Acuses!$B$5:$B$3004,O$4,Acuses!$C$5:$C$3004,O$5),O$8)&lt;Resumen!$C$4+30,"Caduca pronto","OK"))))))</f>
        <v/>
      </c>
      <c r="P62" s="26" t="str">
        <f aca="false">IF(OR($A62="",P$4=""),"",IF(NOT(OR(P$6="Toda la plantilla",ISNUMBER(SEARCH(";"&amp;SUBSTITUTE($C62," ","")&amp;";",";"&amp;SUBSTITUTE(P$7," ","")&amp;";")))),"—",IF(_xlfn.MAXIFS(Acuses!$C$5:$C$3004,Acuses!$A$5:$A$3004,$A62,Acuses!$B$5:$B$3004,P$4)&lt;P$5,"Pendiente",IF(P$8=0,"OK",IF(EDATE(_xlfn.MAXIFS(Acuses!$D$5:$D$3004,Acuses!$A$5:$A$3004,$A62,Acuses!$B$5:$B$3004,P$4,Acuses!$C$5:$C$3004,P$5),P$8)&lt;Resumen!$C$4,"Caducado",IF(EDATE(_xlfn.MAXIFS(Acuses!$D$5:$D$3004,Acuses!$A$5:$A$3004,$A62,Acuses!$B$5:$B$3004,P$4,Acuses!$C$5:$C$3004,P$5),P$8)&lt;Resumen!$C$4+30,"Caduca pronto","OK"))))))</f>
        <v/>
      </c>
      <c r="Q62" s="26" t="str">
        <f aca="false">IF(OR($A62="",Q$4=""),"",IF(NOT(OR(Q$6="Toda la plantilla",ISNUMBER(SEARCH(";"&amp;SUBSTITUTE($C62," ","")&amp;";",";"&amp;SUBSTITUTE(Q$7," ","")&amp;";")))),"—",IF(_xlfn.MAXIFS(Acuses!$C$5:$C$3004,Acuses!$A$5:$A$3004,$A62,Acuses!$B$5:$B$3004,Q$4)&lt;Q$5,"Pendiente",IF(Q$8=0,"OK",IF(EDATE(_xlfn.MAXIFS(Acuses!$D$5:$D$3004,Acuses!$A$5:$A$3004,$A62,Acuses!$B$5:$B$3004,Q$4,Acuses!$C$5:$C$3004,Q$5),Q$8)&lt;Resumen!$C$4,"Caducado",IF(EDATE(_xlfn.MAXIFS(Acuses!$D$5:$D$3004,Acuses!$A$5:$A$3004,$A62,Acuses!$B$5:$B$3004,Q$4,Acuses!$C$5:$C$3004,Q$5),Q$8)&lt;Resumen!$C$4+30,"Caduca pronto","OK"))))))</f>
        <v/>
      </c>
      <c r="R62" s="26" t="str">
        <f aca="false">IF(OR($A62="",R$4=""),"",IF(NOT(OR(R$6="Toda la plantilla",ISNUMBER(SEARCH(";"&amp;SUBSTITUTE($C62," ","")&amp;";",";"&amp;SUBSTITUTE(R$7," ","")&amp;";")))),"—",IF(_xlfn.MAXIFS(Acuses!$C$5:$C$3004,Acuses!$A$5:$A$3004,$A62,Acuses!$B$5:$B$3004,R$4)&lt;R$5,"Pendiente",IF(R$8=0,"OK",IF(EDATE(_xlfn.MAXIFS(Acuses!$D$5:$D$3004,Acuses!$A$5:$A$3004,$A62,Acuses!$B$5:$B$3004,R$4,Acuses!$C$5:$C$3004,R$5),R$8)&lt;Resumen!$C$4,"Caducado",IF(EDATE(_xlfn.MAXIFS(Acuses!$D$5:$D$3004,Acuses!$A$5:$A$3004,$A62,Acuses!$B$5:$B$3004,R$4,Acuses!$C$5:$C$3004,R$5),R$8)&lt;Resumen!$C$4+30,"Caduca pronto","OK"))))))</f>
        <v/>
      </c>
      <c r="S62" s="26" t="str">
        <f aca="false">IF(OR($A62="",S$4=""),"",IF(NOT(OR(S$6="Toda la plantilla",ISNUMBER(SEARCH(";"&amp;SUBSTITUTE($C62," ","")&amp;";",";"&amp;SUBSTITUTE(S$7," ","")&amp;";")))),"—",IF(_xlfn.MAXIFS(Acuses!$C$5:$C$3004,Acuses!$A$5:$A$3004,$A62,Acuses!$B$5:$B$3004,S$4)&lt;S$5,"Pendiente",IF(S$8=0,"OK",IF(EDATE(_xlfn.MAXIFS(Acuses!$D$5:$D$3004,Acuses!$A$5:$A$3004,$A62,Acuses!$B$5:$B$3004,S$4,Acuses!$C$5:$C$3004,S$5),S$8)&lt;Resumen!$C$4,"Caducado",IF(EDATE(_xlfn.MAXIFS(Acuses!$D$5:$D$3004,Acuses!$A$5:$A$3004,$A62,Acuses!$B$5:$B$3004,S$4,Acuses!$C$5:$C$3004,S$5),S$8)&lt;Resumen!$C$4+30,"Caduca pronto","OK"))))))</f>
        <v/>
      </c>
      <c r="T62" s="26" t="str">
        <f aca="false">IF(OR($A62="",T$4=""),"",IF(NOT(OR(T$6="Toda la plantilla",ISNUMBER(SEARCH(";"&amp;SUBSTITUTE($C62," ","")&amp;";",";"&amp;SUBSTITUTE(T$7," ","")&amp;";")))),"—",IF(_xlfn.MAXIFS(Acuses!$C$5:$C$3004,Acuses!$A$5:$A$3004,$A62,Acuses!$B$5:$B$3004,T$4)&lt;T$5,"Pendiente",IF(T$8=0,"OK",IF(EDATE(_xlfn.MAXIFS(Acuses!$D$5:$D$3004,Acuses!$A$5:$A$3004,$A62,Acuses!$B$5:$B$3004,T$4,Acuses!$C$5:$C$3004,T$5),T$8)&lt;Resumen!$C$4,"Caducado",IF(EDATE(_xlfn.MAXIFS(Acuses!$D$5:$D$3004,Acuses!$A$5:$A$3004,$A62,Acuses!$B$5:$B$3004,T$4,Acuses!$C$5:$C$3004,T$5),T$8)&lt;Resumen!$C$4+30,"Caduca pronto","OK"))))))</f>
        <v/>
      </c>
      <c r="U62" s="26" t="str">
        <f aca="false">IF(OR($A62="",U$4=""),"",IF(NOT(OR(U$6="Toda la plantilla",ISNUMBER(SEARCH(";"&amp;SUBSTITUTE($C62," ","")&amp;";",";"&amp;SUBSTITUTE(U$7," ","")&amp;";")))),"—",IF(_xlfn.MAXIFS(Acuses!$C$5:$C$3004,Acuses!$A$5:$A$3004,$A62,Acuses!$B$5:$B$3004,U$4)&lt;U$5,"Pendiente",IF(U$8=0,"OK",IF(EDATE(_xlfn.MAXIFS(Acuses!$D$5:$D$3004,Acuses!$A$5:$A$3004,$A62,Acuses!$B$5:$B$3004,U$4,Acuses!$C$5:$C$3004,U$5),U$8)&lt;Resumen!$C$4,"Caducado",IF(EDATE(_xlfn.MAXIFS(Acuses!$D$5:$D$3004,Acuses!$A$5:$A$3004,$A62,Acuses!$B$5:$B$3004,U$4,Acuses!$C$5:$C$3004,U$5),U$8)&lt;Resumen!$C$4+30,"Caduca pronto","OK"))))))</f>
        <v/>
      </c>
      <c r="V62" s="26" t="str">
        <f aca="false">IF(OR($A62="",V$4=""),"",IF(NOT(OR(V$6="Toda la plantilla",ISNUMBER(SEARCH(";"&amp;SUBSTITUTE($C62," ","")&amp;";",";"&amp;SUBSTITUTE(V$7," ","")&amp;";")))),"—",IF(_xlfn.MAXIFS(Acuses!$C$5:$C$3004,Acuses!$A$5:$A$3004,$A62,Acuses!$B$5:$B$3004,V$4)&lt;V$5,"Pendiente",IF(V$8=0,"OK",IF(EDATE(_xlfn.MAXIFS(Acuses!$D$5:$D$3004,Acuses!$A$5:$A$3004,$A62,Acuses!$B$5:$B$3004,V$4,Acuses!$C$5:$C$3004,V$5),V$8)&lt;Resumen!$C$4,"Caducado",IF(EDATE(_xlfn.MAXIFS(Acuses!$D$5:$D$3004,Acuses!$A$5:$A$3004,$A62,Acuses!$B$5:$B$3004,V$4,Acuses!$C$5:$C$3004,V$5),V$8)&lt;Resumen!$C$4+30,"Caduca pronto","OK"))))))</f>
        <v/>
      </c>
      <c r="W62" s="26" t="str">
        <f aca="false">IF(OR($A62="",W$4=""),"",IF(NOT(OR(W$6="Toda la plantilla",ISNUMBER(SEARCH(";"&amp;SUBSTITUTE($C62," ","")&amp;";",";"&amp;SUBSTITUTE(W$7," ","")&amp;";")))),"—",IF(_xlfn.MAXIFS(Acuses!$C$5:$C$3004,Acuses!$A$5:$A$3004,$A62,Acuses!$B$5:$B$3004,W$4)&lt;W$5,"Pendiente",IF(W$8=0,"OK",IF(EDATE(_xlfn.MAXIFS(Acuses!$D$5:$D$3004,Acuses!$A$5:$A$3004,$A62,Acuses!$B$5:$B$3004,W$4,Acuses!$C$5:$C$3004,W$5),W$8)&lt;Resumen!$C$4,"Caducado",IF(EDATE(_xlfn.MAXIFS(Acuses!$D$5:$D$3004,Acuses!$A$5:$A$3004,$A62,Acuses!$B$5:$B$3004,W$4,Acuses!$C$5:$C$3004,W$5),W$8)&lt;Resumen!$C$4+30,"Caduca pronto","OK"))))))</f>
        <v/>
      </c>
      <c r="X62" s="26" t="str">
        <f aca="false">IF(OR($A62="",X$4=""),"",IF(NOT(OR(X$6="Toda la plantilla",ISNUMBER(SEARCH(";"&amp;SUBSTITUTE($C62," ","")&amp;";",";"&amp;SUBSTITUTE(X$7," ","")&amp;";")))),"—",IF(_xlfn.MAXIFS(Acuses!$C$5:$C$3004,Acuses!$A$5:$A$3004,$A62,Acuses!$B$5:$B$3004,X$4)&lt;X$5,"Pendiente",IF(X$8=0,"OK",IF(EDATE(_xlfn.MAXIFS(Acuses!$D$5:$D$3004,Acuses!$A$5:$A$3004,$A62,Acuses!$B$5:$B$3004,X$4,Acuses!$C$5:$C$3004,X$5),X$8)&lt;Resumen!$C$4,"Caducado",IF(EDATE(_xlfn.MAXIFS(Acuses!$D$5:$D$3004,Acuses!$A$5:$A$3004,$A62,Acuses!$B$5:$B$3004,X$4,Acuses!$C$5:$C$3004,X$5),X$8)&lt;Resumen!$C$4+30,"Caduca pronto","OK"))))))</f>
        <v/>
      </c>
      <c r="Y62" s="26" t="str">
        <f aca="false">IF(OR($A62="",Y$4=""),"",IF(NOT(OR(Y$6="Toda la plantilla",ISNUMBER(SEARCH(";"&amp;SUBSTITUTE($C62," ","")&amp;";",";"&amp;SUBSTITUTE(Y$7," ","")&amp;";")))),"—",IF(_xlfn.MAXIFS(Acuses!$C$5:$C$3004,Acuses!$A$5:$A$3004,$A62,Acuses!$B$5:$B$3004,Y$4)&lt;Y$5,"Pendiente",IF(Y$8=0,"OK",IF(EDATE(_xlfn.MAXIFS(Acuses!$D$5:$D$3004,Acuses!$A$5:$A$3004,$A62,Acuses!$B$5:$B$3004,Y$4,Acuses!$C$5:$C$3004,Y$5),Y$8)&lt;Resumen!$C$4,"Caducado",IF(EDATE(_xlfn.MAXIFS(Acuses!$D$5:$D$3004,Acuses!$A$5:$A$3004,$A62,Acuses!$B$5:$B$3004,Y$4,Acuses!$C$5:$C$3004,Y$5),Y$8)&lt;Resumen!$C$4+30,"Caduca pronto","OK"))))))</f>
        <v/>
      </c>
      <c r="Z62" s="26" t="str">
        <f aca="false">IF(OR($A62="",Z$4=""),"",IF(NOT(OR(Z$6="Toda la plantilla",ISNUMBER(SEARCH(";"&amp;SUBSTITUTE($C62," ","")&amp;";",";"&amp;SUBSTITUTE(Z$7," ","")&amp;";")))),"—",IF(_xlfn.MAXIFS(Acuses!$C$5:$C$3004,Acuses!$A$5:$A$3004,$A62,Acuses!$B$5:$B$3004,Z$4)&lt;Z$5,"Pendiente",IF(Z$8=0,"OK",IF(EDATE(_xlfn.MAXIFS(Acuses!$D$5:$D$3004,Acuses!$A$5:$A$3004,$A62,Acuses!$B$5:$B$3004,Z$4,Acuses!$C$5:$C$3004,Z$5),Z$8)&lt;Resumen!$C$4,"Caducado",IF(EDATE(_xlfn.MAXIFS(Acuses!$D$5:$D$3004,Acuses!$A$5:$A$3004,$A62,Acuses!$B$5:$B$3004,Z$4,Acuses!$C$5:$C$3004,Z$5),Z$8)&lt;Resumen!$C$4+30,"Caduca pronto","OK"))))))</f>
        <v/>
      </c>
      <c r="AA62" s="26" t="str">
        <f aca="false">IF(OR($A62="",AA$4=""),"",IF(NOT(OR(AA$6="Toda la plantilla",ISNUMBER(SEARCH(";"&amp;SUBSTITUTE($C62," ","")&amp;";",";"&amp;SUBSTITUTE(AA$7," ","")&amp;";")))),"—",IF(_xlfn.MAXIFS(Acuses!$C$5:$C$3004,Acuses!$A$5:$A$3004,$A62,Acuses!$B$5:$B$3004,AA$4)&lt;AA$5,"Pendiente",IF(AA$8=0,"OK",IF(EDATE(_xlfn.MAXIFS(Acuses!$D$5:$D$3004,Acuses!$A$5:$A$3004,$A62,Acuses!$B$5:$B$3004,AA$4,Acuses!$C$5:$C$3004,AA$5),AA$8)&lt;Resumen!$C$4,"Caducado",IF(EDATE(_xlfn.MAXIFS(Acuses!$D$5:$D$3004,Acuses!$A$5:$A$3004,$A62,Acuses!$B$5:$B$3004,AA$4,Acuses!$C$5:$C$3004,AA$5),AA$8)&lt;Resumen!$C$4+30,"Caduca pronto","OK"))))))</f>
        <v/>
      </c>
      <c r="AB62" s="26" t="str">
        <f aca="false">IF(OR($A62="",AB$4=""),"",IF(NOT(OR(AB$6="Toda la plantilla",ISNUMBER(SEARCH(";"&amp;SUBSTITUTE($C62," ","")&amp;";",";"&amp;SUBSTITUTE(AB$7," ","")&amp;";")))),"—",IF(_xlfn.MAXIFS(Acuses!$C$5:$C$3004,Acuses!$A$5:$A$3004,$A62,Acuses!$B$5:$B$3004,AB$4)&lt;AB$5,"Pendiente",IF(AB$8=0,"OK",IF(EDATE(_xlfn.MAXIFS(Acuses!$D$5:$D$3004,Acuses!$A$5:$A$3004,$A62,Acuses!$B$5:$B$3004,AB$4,Acuses!$C$5:$C$3004,AB$5),AB$8)&lt;Resumen!$C$4,"Caducado",IF(EDATE(_xlfn.MAXIFS(Acuses!$D$5:$D$3004,Acuses!$A$5:$A$3004,$A62,Acuses!$B$5:$B$3004,AB$4,Acuses!$C$5:$C$3004,AB$5),AB$8)&lt;Resumen!$C$4+30,"Caduca pronto","OK"))))))</f>
        <v/>
      </c>
      <c r="AC62" s="26" t="str">
        <f aca="false">IF(OR($A62="",AC$4=""),"",IF(NOT(OR(AC$6="Toda la plantilla",ISNUMBER(SEARCH(";"&amp;SUBSTITUTE($C62," ","")&amp;";",";"&amp;SUBSTITUTE(AC$7," ","")&amp;";")))),"—",IF(_xlfn.MAXIFS(Acuses!$C$5:$C$3004,Acuses!$A$5:$A$3004,$A62,Acuses!$B$5:$B$3004,AC$4)&lt;AC$5,"Pendiente",IF(AC$8=0,"OK",IF(EDATE(_xlfn.MAXIFS(Acuses!$D$5:$D$3004,Acuses!$A$5:$A$3004,$A62,Acuses!$B$5:$B$3004,AC$4,Acuses!$C$5:$C$3004,AC$5),AC$8)&lt;Resumen!$C$4,"Caducado",IF(EDATE(_xlfn.MAXIFS(Acuses!$D$5:$D$3004,Acuses!$A$5:$A$3004,$A62,Acuses!$B$5:$B$3004,AC$4,Acuses!$C$5:$C$3004,AC$5),AC$8)&lt;Resumen!$C$4+30,"Caduca pronto","OK"))))))</f>
        <v/>
      </c>
      <c r="AD62" s="26" t="str">
        <f aca="false">IF(OR($A62="",AD$4=""),"",IF(NOT(OR(AD$6="Toda la plantilla",ISNUMBER(SEARCH(";"&amp;SUBSTITUTE($C62," ","")&amp;";",";"&amp;SUBSTITUTE(AD$7," ","")&amp;";")))),"—",IF(_xlfn.MAXIFS(Acuses!$C$5:$C$3004,Acuses!$A$5:$A$3004,$A62,Acuses!$B$5:$B$3004,AD$4)&lt;AD$5,"Pendiente",IF(AD$8=0,"OK",IF(EDATE(_xlfn.MAXIFS(Acuses!$D$5:$D$3004,Acuses!$A$5:$A$3004,$A62,Acuses!$B$5:$B$3004,AD$4,Acuses!$C$5:$C$3004,AD$5),AD$8)&lt;Resumen!$C$4,"Caducado",IF(EDATE(_xlfn.MAXIFS(Acuses!$D$5:$D$3004,Acuses!$A$5:$A$3004,$A62,Acuses!$B$5:$B$3004,AD$4,Acuses!$C$5:$C$3004,AD$5),AD$8)&lt;Resumen!$C$4+30,"Caduca pronto","OK"))))))</f>
        <v/>
      </c>
      <c r="AE62" s="26" t="str">
        <f aca="false">IF(OR($A62="",AE$4=""),"",IF(NOT(OR(AE$6="Toda la plantilla",ISNUMBER(SEARCH(";"&amp;SUBSTITUTE($C62," ","")&amp;";",";"&amp;SUBSTITUTE(AE$7," ","")&amp;";")))),"—",IF(_xlfn.MAXIFS(Acuses!$C$5:$C$3004,Acuses!$A$5:$A$3004,$A62,Acuses!$B$5:$B$3004,AE$4)&lt;AE$5,"Pendiente",IF(AE$8=0,"OK",IF(EDATE(_xlfn.MAXIFS(Acuses!$D$5:$D$3004,Acuses!$A$5:$A$3004,$A62,Acuses!$B$5:$B$3004,AE$4,Acuses!$C$5:$C$3004,AE$5),AE$8)&lt;Resumen!$C$4,"Caducado",IF(EDATE(_xlfn.MAXIFS(Acuses!$D$5:$D$3004,Acuses!$A$5:$A$3004,$A62,Acuses!$B$5:$B$3004,AE$4,Acuses!$C$5:$C$3004,AE$5),AE$8)&lt;Resumen!$C$4+30,"Caduca pronto","OK"))))))</f>
        <v/>
      </c>
      <c r="AF62" s="26" t="str">
        <f aca="false">IF(OR($A62="",AF$4=""),"",IF(NOT(OR(AF$6="Toda la plantilla",ISNUMBER(SEARCH(";"&amp;SUBSTITUTE($C62," ","")&amp;";",";"&amp;SUBSTITUTE(AF$7," ","")&amp;";")))),"—",IF(_xlfn.MAXIFS(Acuses!$C$5:$C$3004,Acuses!$A$5:$A$3004,$A62,Acuses!$B$5:$B$3004,AF$4)&lt;AF$5,"Pendiente",IF(AF$8=0,"OK",IF(EDATE(_xlfn.MAXIFS(Acuses!$D$5:$D$3004,Acuses!$A$5:$A$3004,$A62,Acuses!$B$5:$B$3004,AF$4,Acuses!$C$5:$C$3004,AF$5),AF$8)&lt;Resumen!$C$4,"Caducado",IF(EDATE(_xlfn.MAXIFS(Acuses!$D$5:$D$3004,Acuses!$A$5:$A$3004,$A62,Acuses!$B$5:$B$3004,AF$4,Acuses!$C$5:$C$3004,AF$5),AF$8)&lt;Resumen!$C$4+30,"Caduca pronto","OK"))))))</f>
        <v/>
      </c>
      <c r="AG62" s="26" t="str">
        <f aca="false">IF(OR($A62="",AG$4=""),"",IF(NOT(OR(AG$6="Toda la plantilla",ISNUMBER(SEARCH(";"&amp;SUBSTITUTE($C62," ","")&amp;";",";"&amp;SUBSTITUTE(AG$7," ","")&amp;";")))),"—",IF(_xlfn.MAXIFS(Acuses!$C$5:$C$3004,Acuses!$A$5:$A$3004,$A62,Acuses!$B$5:$B$3004,AG$4)&lt;AG$5,"Pendiente",IF(AG$8=0,"OK",IF(EDATE(_xlfn.MAXIFS(Acuses!$D$5:$D$3004,Acuses!$A$5:$A$3004,$A62,Acuses!$B$5:$B$3004,AG$4,Acuses!$C$5:$C$3004,AG$5),AG$8)&lt;Resumen!$C$4,"Caducado",IF(EDATE(_xlfn.MAXIFS(Acuses!$D$5:$D$3004,Acuses!$A$5:$A$3004,$A62,Acuses!$B$5:$B$3004,AG$4,Acuses!$C$5:$C$3004,AG$5),AG$8)&lt;Resumen!$C$4+30,"Caduca pronto","OK"))))))</f>
        <v/>
      </c>
      <c r="AH62" s="26" t="str">
        <f aca="false">IF(OR($A62="",AH$4=""),"",IF(NOT(OR(AH$6="Toda la plantilla",ISNUMBER(SEARCH(";"&amp;SUBSTITUTE($C62," ","")&amp;";",";"&amp;SUBSTITUTE(AH$7," ","")&amp;";")))),"—",IF(_xlfn.MAXIFS(Acuses!$C$5:$C$3004,Acuses!$A$5:$A$3004,$A62,Acuses!$B$5:$B$3004,AH$4)&lt;AH$5,"Pendiente",IF(AH$8=0,"OK",IF(EDATE(_xlfn.MAXIFS(Acuses!$D$5:$D$3004,Acuses!$A$5:$A$3004,$A62,Acuses!$B$5:$B$3004,AH$4,Acuses!$C$5:$C$3004,AH$5),AH$8)&lt;Resumen!$C$4,"Caducado",IF(EDATE(_xlfn.MAXIFS(Acuses!$D$5:$D$3004,Acuses!$A$5:$A$3004,$A62,Acuses!$B$5:$B$3004,AH$4,Acuses!$C$5:$C$3004,AH$5),AH$8)&lt;Resumen!$C$4+30,"Caduca pronto","OK"))))))</f>
        <v/>
      </c>
      <c r="AI62" s="26" t="str">
        <f aca="false">IF(OR($A62="",AI$4=""),"",IF(NOT(OR(AI$6="Toda la plantilla",ISNUMBER(SEARCH(";"&amp;SUBSTITUTE($C62," ","")&amp;";",";"&amp;SUBSTITUTE(AI$7," ","")&amp;";")))),"—",IF(_xlfn.MAXIFS(Acuses!$C$5:$C$3004,Acuses!$A$5:$A$3004,$A62,Acuses!$B$5:$B$3004,AI$4)&lt;AI$5,"Pendiente",IF(AI$8=0,"OK",IF(EDATE(_xlfn.MAXIFS(Acuses!$D$5:$D$3004,Acuses!$A$5:$A$3004,$A62,Acuses!$B$5:$B$3004,AI$4,Acuses!$C$5:$C$3004,AI$5),AI$8)&lt;Resumen!$C$4,"Caducado",IF(EDATE(_xlfn.MAXIFS(Acuses!$D$5:$D$3004,Acuses!$A$5:$A$3004,$A62,Acuses!$B$5:$B$3004,AI$4,Acuses!$C$5:$C$3004,AI$5),AI$8)&lt;Resumen!$C$4+30,"Caduca pronto","OK"))))))</f>
        <v/>
      </c>
      <c r="AJ62" s="26" t="str">
        <f aca="false">IF(OR($A62="",AJ$4=""),"",IF(NOT(OR(AJ$6="Toda la plantilla",ISNUMBER(SEARCH(";"&amp;SUBSTITUTE($C62," ","")&amp;";",";"&amp;SUBSTITUTE(AJ$7," ","")&amp;";")))),"—",IF(_xlfn.MAXIFS(Acuses!$C$5:$C$3004,Acuses!$A$5:$A$3004,$A62,Acuses!$B$5:$B$3004,AJ$4)&lt;AJ$5,"Pendiente",IF(AJ$8=0,"OK",IF(EDATE(_xlfn.MAXIFS(Acuses!$D$5:$D$3004,Acuses!$A$5:$A$3004,$A62,Acuses!$B$5:$B$3004,AJ$4,Acuses!$C$5:$C$3004,AJ$5),AJ$8)&lt;Resumen!$C$4,"Caducado",IF(EDATE(_xlfn.MAXIFS(Acuses!$D$5:$D$3004,Acuses!$A$5:$A$3004,$A62,Acuses!$B$5:$B$3004,AJ$4,Acuses!$C$5:$C$3004,AJ$5),AJ$8)&lt;Resumen!$C$4+30,"Caduca pronto","OK"))))))</f>
        <v/>
      </c>
      <c r="AK62" s="26" t="str">
        <f aca="false">IF(OR($A62="",AK$4=""),"",IF(NOT(OR(AK$6="Toda la plantilla",ISNUMBER(SEARCH(";"&amp;SUBSTITUTE($C62," ","")&amp;";",";"&amp;SUBSTITUTE(AK$7," ","")&amp;";")))),"—",IF(_xlfn.MAXIFS(Acuses!$C$5:$C$3004,Acuses!$A$5:$A$3004,$A62,Acuses!$B$5:$B$3004,AK$4)&lt;AK$5,"Pendiente",IF(AK$8=0,"OK",IF(EDATE(_xlfn.MAXIFS(Acuses!$D$5:$D$3004,Acuses!$A$5:$A$3004,$A62,Acuses!$B$5:$B$3004,AK$4,Acuses!$C$5:$C$3004,AK$5),AK$8)&lt;Resumen!$C$4,"Caducado",IF(EDATE(_xlfn.MAXIFS(Acuses!$D$5:$D$3004,Acuses!$A$5:$A$3004,$A62,Acuses!$B$5:$B$3004,AK$4,Acuses!$C$5:$C$3004,AK$5),AK$8)&lt;Resumen!$C$4+30,"Caduca pronto","OK"))))))</f>
        <v/>
      </c>
      <c r="AL62" s="26" t="str">
        <f aca="false">IF(OR($A62="",AL$4=""),"",IF(NOT(OR(AL$6="Toda la plantilla",ISNUMBER(SEARCH(";"&amp;SUBSTITUTE($C62," ","")&amp;";",";"&amp;SUBSTITUTE(AL$7," ","")&amp;";")))),"—",IF(_xlfn.MAXIFS(Acuses!$C$5:$C$3004,Acuses!$A$5:$A$3004,$A62,Acuses!$B$5:$B$3004,AL$4)&lt;AL$5,"Pendiente",IF(AL$8=0,"OK",IF(EDATE(_xlfn.MAXIFS(Acuses!$D$5:$D$3004,Acuses!$A$5:$A$3004,$A62,Acuses!$B$5:$B$3004,AL$4,Acuses!$C$5:$C$3004,AL$5),AL$8)&lt;Resumen!$C$4,"Caducado",IF(EDATE(_xlfn.MAXIFS(Acuses!$D$5:$D$3004,Acuses!$A$5:$A$3004,$A62,Acuses!$B$5:$B$3004,AL$4,Acuses!$C$5:$C$3004,AL$5),AL$8)&lt;Resumen!$C$4+30,"Caduca pronto","OK"))))))</f>
        <v/>
      </c>
      <c r="AM62" s="26" t="str">
        <f aca="false">IF(OR($A62="",AM$4=""),"",IF(NOT(OR(AM$6="Toda la plantilla",ISNUMBER(SEARCH(";"&amp;SUBSTITUTE($C62," ","")&amp;";",";"&amp;SUBSTITUTE(AM$7," ","")&amp;";")))),"—",IF(_xlfn.MAXIFS(Acuses!$C$5:$C$3004,Acuses!$A$5:$A$3004,$A62,Acuses!$B$5:$B$3004,AM$4)&lt;AM$5,"Pendiente",IF(AM$8=0,"OK",IF(EDATE(_xlfn.MAXIFS(Acuses!$D$5:$D$3004,Acuses!$A$5:$A$3004,$A62,Acuses!$B$5:$B$3004,AM$4,Acuses!$C$5:$C$3004,AM$5),AM$8)&lt;Resumen!$C$4,"Caducado",IF(EDATE(_xlfn.MAXIFS(Acuses!$D$5:$D$3004,Acuses!$A$5:$A$3004,$A62,Acuses!$B$5:$B$3004,AM$4,Acuses!$C$5:$C$3004,AM$5),AM$8)&lt;Resumen!$C$4+30,"Caduca pronto","OK"))))))</f>
        <v/>
      </c>
      <c r="AN62" s="26" t="str">
        <f aca="false">IF(OR($A62="",AN$4=""),"",IF(NOT(OR(AN$6="Toda la plantilla",ISNUMBER(SEARCH(";"&amp;SUBSTITUTE($C62," ","")&amp;";",";"&amp;SUBSTITUTE(AN$7," ","")&amp;";")))),"—",IF(_xlfn.MAXIFS(Acuses!$C$5:$C$3004,Acuses!$A$5:$A$3004,$A62,Acuses!$B$5:$B$3004,AN$4)&lt;AN$5,"Pendiente",IF(AN$8=0,"OK",IF(EDATE(_xlfn.MAXIFS(Acuses!$D$5:$D$3004,Acuses!$A$5:$A$3004,$A62,Acuses!$B$5:$B$3004,AN$4,Acuses!$C$5:$C$3004,AN$5),AN$8)&lt;Resumen!$C$4,"Caducado",IF(EDATE(_xlfn.MAXIFS(Acuses!$D$5:$D$3004,Acuses!$A$5:$A$3004,$A62,Acuses!$B$5:$B$3004,AN$4,Acuses!$C$5:$C$3004,AN$5),AN$8)&lt;Resumen!$C$4+30,"Caduca pronto","OK"))))))</f>
        <v/>
      </c>
      <c r="AO62" s="26" t="str">
        <f aca="false">IF(OR($A62="",AO$4=""),"",IF(NOT(OR(AO$6="Toda la plantilla",ISNUMBER(SEARCH(";"&amp;SUBSTITUTE($C62," ","")&amp;";",";"&amp;SUBSTITUTE(AO$7," ","")&amp;";")))),"—",IF(_xlfn.MAXIFS(Acuses!$C$5:$C$3004,Acuses!$A$5:$A$3004,$A62,Acuses!$B$5:$B$3004,AO$4)&lt;AO$5,"Pendiente",IF(AO$8=0,"OK",IF(EDATE(_xlfn.MAXIFS(Acuses!$D$5:$D$3004,Acuses!$A$5:$A$3004,$A62,Acuses!$B$5:$B$3004,AO$4,Acuses!$C$5:$C$3004,AO$5),AO$8)&lt;Resumen!$C$4,"Caducado",IF(EDATE(_xlfn.MAXIFS(Acuses!$D$5:$D$3004,Acuses!$A$5:$A$3004,$A62,Acuses!$B$5:$B$3004,AO$4,Acuses!$C$5:$C$3004,AO$5),AO$8)&lt;Resumen!$C$4+30,"Caduca pronto","OK"))))))</f>
        <v/>
      </c>
      <c r="AP62" s="26" t="str">
        <f aca="false">IF(OR($A62="",AP$4=""),"",IF(NOT(OR(AP$6="Toda la plantilla",ISNUMBER(SEARCH(";"&amp;SUBSTITUTE($C62," ","")&amp;";",";"&amp;SUBSTITUTE(AP$7," ","")&amp;";")))),"—",IF(_xlfn.MAXIFS(Acuses!$C$5:$C$3004,Acuses!$A$5:$A$3004,$A62,Acuses!$B$5:$B$3004,AP$4)&lt;AP$5,"Pendiente",IF(AP$8=0,"OK",IF(EDATE(_xlfn.MAXIFS(Acuses!$D$5:$D$3004,Acuses!$A$5:$A$3004,$A62,Acuses!$B$5:$B$3004,AP$4,Acuses!$C$5:$C$3004,AP$5),AP$8)&lt;Resumen!$C$4,"Caducado",IF(EDATE(_xlfn.MAXIFS(Acuses!$D$5:$D$3004,Acuses!$A$5:$A$3004,$A62,Acuses!$B$5:$B$3004,AP$4,Acuses!$C$5:$C$3004,AP$5),AP$8)&lt;Resumen!$C$4+30,"Caduca pronto","OK"))))))</f>
        <v/>
      </c>
      <c r="AQ62" s="26" t="str">
        <f aca="false">IF(OR($A62="",AQ$4=""),"",IF(NOT(OR(AQ$6="Toda la plantilla",ISNUMBER(SEARCH(";"&amp;SUBSTITUTE($C62," ","")&amp;";",";"&amp;SUBSTITUTE(AQ$7," ","")&amp;";")))),"—",IF(_xlfn.MAXIFS(Acuses!$C$5:$C$3004,Acuses!$A$5:$A$3004,$A62,Acuses!$B$5:$B$3004,AQ$4)&lt;AQ$5,"Pendiente",IF(AQ$8=0,"OK",IF(EDATE(_xlfn.MAXIFS(Acuses!$D$5:$D$3004,Acuses!$A$5:$A$3004,$A62,Acuses!$B$5:$B$3004,AQ$4,Acuses!$C$5:$C$3004,AQ$5),AQ$8)&lt;Resumen!$C$4,"Caducado",IF(EDATE(_xlfn.MAXIFS(Acuses!$D$5:$D$3004,Acuses!$A$5:$A$3004,$A62,Acuses!$B$5:$B$3004,AQ$4,Acuses!$C$5:$C$3004,AQ$5),AQ$8)&lt;Resumen!$C$4+30,"Caduca pronto","OK"))))))</f>
        <v/>
      </c>
    </row>
    <row r="63" customFormat="false" ht="15" hidden="false" customHeight="false" outlineLevel="0" collapsed="false">
      <c r="A63" s="25" t="str">
        <f aca="false">IF(AND(Trabajadores!$A$58&lt;&gt;"",Trabajadores!$G$58&lt;&gt;"No"),Trabajadores!$A$58,"")</f>
        <v/>
      </c>
      <c r="B63" s="25" t="str">
        <f aca="false">IF($A63="","",Trabajadores!$B$58)</f>
        <v/>
      </c>
      <c r="C63" s="25" t="str">
        <f aca="false">IF($A63="","",Trabajadores!$C$58)</f>
        <v/>
      </c>
      <c r="D63" s="26" t="str">
        <f aca="false">IF(OR($A63="",D$4=""),"",IF(NOT(OR(D$6="Toda la plantilla",ISNUMBER(SEARCH(";"&amp;SUBSTITUTE($C63," ","")&amp;";",";"&amp;SUBSTITUTE(D$7," ","")&amp;";")))),"—",IF(_xlfn.MAXIFS(Acuses!$C$5:$C$3004,Acuses!$A$5:$A$3004,$A63,Acuses!$B$5:$B$3004,D$4)&lt;D$5,"Pendiente",IF(D$8=0,"OK",IF(EDATE(_xlfn.MAXIFS(Acuses!$D$5:$D$3004,Acuses!$A$5:$A$3004,$A63,Acuses!$B$5:$B$3004,D$4,Acuses!$C$5:$C$3004,D$5),D$8)&lt;Resumen!$C$4,"Caducado",IF(EDATE(_xlfn.MAXIFS(Acuses!$D$5:$D$3004,Acuses!$A$5:$A$3004,$A63,Acuses!$B$5:$B$3004,D$4,Acuses!$C$5:$C$3004,D$5),D$8)&lt;Resumen!$C$4+30,"Caduca pronto","OK"))))))</f>
        <v/>
      </c>
      <c r="E63" s="26" t="str">
        <f aca="false">IF(OR($A63="",E$4=""),"",IF(NOT(OR(E$6="Toda la plantilla",ISNUMBER(SEARCH(";"&amp;SUBSTITUTE($C63," ","")&amp;";",";"&amp;SUBSTITUTE(E$7," ","")&amp;";")))),"—",IF(_xlfn.MAXIFS(Acuses!$C$5:$C$3004,Acuses!$A$5:$A$3004,$A63,Acuses!$B$5:$B$3004,E$4)&lt;E$5,"Pendiente",IF(E$8=0,"OK",IF(EDATE(_xlfn.MAXIFS(Acuses!$D$5:$D$3004,Acuses!$A$5:$A$3004,$A63,Acuses!$B$5:$B$3004,E$4,Acuses!$C$5:$C$3004,E$5),E$8)&lt;Resumen!$C$4,"Caducado",IF(EDATE(_xlfn.MAXIFS(Acuses!$D$5:$D$3004,Acuses!$A$5:$A$3004,$A63,Acuses!$B$5:$B$3004,E$4,Acuses!$C$5:$C$3004,E$5),E$8)&lt;Resumen!$C$4+30,"Caduca pronto","OK"))))))</f>
        <v/>
      </c>
      <c r="F63" s="26" t="str">
        <f aca="false">IF(OR($A63="",F$4=""),"",IF(NOT(OR(F$6="Toda la plantilla",ISNUMBER(SEARCH(";"&amp;SUBSTITUTE($C63," ","")&amp;";",";"&amp;SUBSTITUTE(F$7," ","")&amp;";")))),"—",IF(_xlfn.MAXIFS(Acuses!$C$5:$C$3004,Acuses!$A$5:$A$3004,$A63,Acuses!$B$5:$B$3004,F$4)&lt;F$5,"Pendiente",IF(F$8=0,"OK",IF(EDATE(_xlfn.MAXIFS(Acuses!$D$5:$D$3004,Acuses!$A$5:$A$3004,$A63,Acuses!$B$5:$B$3004,F$4,Acuses!$C$5:$C$3004,F$5),F$8)&lt;Resumen!$C$4,"Caducado",IF(EDATE(_xlfn.MAXIFS(Acuses!$D$5:$D$3004,Acuses!$A$5:$A$3004,$A63,Acuses!$B$5:$B$3004,F$4,Acuses!$C$5:$C$3004,F$5),F$8)&lt;Resumen!$C$4+30,"Caduca pronto","OK"))))))</f>
        <v/>
      </c>
      <c r="G63" s="26" t="str">
        <f aca="false">IF(OR($A63="",G$4=""),"",IF(NOT(OR(G$6="Toda la plantilla",ISNUMBER(SEARCH(";"&amp;SUBSTITUTE($C63," ","")&amp;";",";"&amp;SUBSTITUTE(G$7," ","")&amp;";")))),"—",IF(_xlfn.MAXIFS(Acuses!$C$5:$C$3004,Acuses!$A$5:$A$3004,$A63,Acuses!$B$5:$B$3004,G$4)&lt;G$5,"Pendiente",IF(G$8=0,"OK",IF(EDATE(_xlfn.MAXIFS(Acuses!$D$5:$D$3004,Acuses!$A$5:$A$3004,$A63,Acuses!$B$5:$B$3004,G$4,Acuses!$C$5:$C$3004,G$5),G$8)&lt;Resumen!$C$4,"Caducado",IF(EDATE(_xlfn.MAXIFS(Acuses!$D$5:$D$3004,Acuses!$A$5:$A$3004,$A63,Acuses!$B$5:$B$3004,G$4,Acuses!$C$5:$C$3004,G$5),G$8)&lt;Resumen!$C$4+30,"Caduca pronto","OK"))))))</f>
        <v/>
      </c>
      <c r="H63" s="26" t="str">
        <f aca="false">IF(OR($A63="",H$4=""),"",IF(NOT(OR(H$6="Toda la plantilla",ISNUMBER(SEARCH(";"&amp;SUBSTITUTE($C63," ","")&amp;";",";"&amp;SUBSTITUTE(H$7," ","")&amp;";")))),"—",IF(_xlfn.MAXIFS(Acuses!$C$5:$C$3004,Acuses!$A$5:$A$3004,$A63,Acuses!$B$5:$B$3004,H$4)&lt;H$5,"Pendiente",IF(H$8=0,"OK",IF(EDATE(_xlfn.MAXIFS(Acuses!$D$5:$D$3004,Acuses!$A$5:$A$3004,$A63,Acuses!$B$5:$B$3004,H$4,Acuses!$C$5:$C$3004,H$5),H$8)&lt;Resumen!$C$4,"Caducado",IF(EDATE(_xlfn.MAXIFS(Acuses!$D$5:$D$3004,Acuses!$A$5:$A$3004,$A63,Acuses!$B$5:$B$3004,H$4,Acuses!$C$5:$C$3004,H$5),H$8)&lt;Resumen!$C$4+30,"Caduca pronto","OK"))))))</f>
        <v/>
      </c>
      <c r="I63" s="26" t="str">
        <f aca="false">IF(OR($A63="",I$4=""),"",IF(NOT(OR(I$6="Toda la plantilla",ISNUMBER(SEARCH(";"&amp;SUBSTITUTE($C63," ","")&amp;";",";"&amp;SUBSTITUTE(I$7," ","")&amp;";")))),"—",IF(_xlfn.MAXIFS(Acuses!$C$5:$C$3004,Acuses!$A$5:$A$3004,$A63,Acuses!$B$5:$B$3004,I$4)&lt;I$5,"Pendiente",IF(I$8=0,"OK",IF(EDATE(_xlfn.MAXIFS(Acuses!$D$5:$D$3004,Acuses!$A$5:$A$3004,$A63,Acuses!$B$5:$B$3004,I$4,Acuses!$C$5:$C$3004,I$5),I$8)&lt;Resumen!$C$4,"Caducado",IF(EDATE(_xlfn.MAXIFS(Acuses!$D$5:$D$3004,Acuses!$A$5:$A$3004,$A63,Acuses!$B$5:$B$3004,I$4,Acuses!$C$5:$C$3004,I$5),I$8)&lt;Resumen!$C$4+30,"Caduca pronto","OK"))))))</f>
        <v/>
      </c>
      <c r="J63" s="26" t="str">
        <f aca="false">IF(OR($A63="",J$4=""),"",IF(NOT(OR(J$6="Toda la plantilla",ISNUMBER(SEARCH(";"&amp;SUBSTITUTE($C63," ","")&amp;";",";"&amp;SUBSTITUTE(J$7," ","")&amp;";")))),"—",IF(_xlfn.MAXIFS(Acuses!$C$5:$C$3004,Acuses!$A$5:$A$3004,$A63,Acuses!$B$5:$B$3004,J$4)&lt;J$5,"Pendiente",IF(J$8=0,"OK",IF(EDATE(_xlfn.MAXIFS(Acuses!$D$5:$D$3004,Acuses!$A$5:$A$3004,$A63,Acuses!$B$5:$B$3004,J$4,Acuses!$C$5:$C$3004,J$5),J$8)&lt;Resumen!$C$4,"Caducado",IF(EDATE(_xlfn.MAXIFS(Acuses!$D$5:$D$3004,Acuses!$A$5:$A$3004,$A63,Acuses!$B$5:$B$3004,J$4,Acuses!$C$5:$C$3004,J$5),J$8)&lt;Resumen!$C$4+30,"Caduca pronto","OK"))))))</f>
        <v/>
      </c>
      <c r="K63" s="26" t="str">
        <f aca="false">IF(OR($A63="",K$4=""),"",IF(NOT(OR(K$6="Toda la plantilla",ISNUMBER(SEARCH(";"&amp;SUBSTITUTE($C63," ","")&amp;";",";"&amp;SUBSTITUTE(K$7," ","")&amp;";")))),"—",IF(_xlfn.MAXIFS(Acuses!$C$5:$C$3004,Acuses!$A$5:$A$3004,$A63,Acuses!$B$5:$B$3004,K$4)&lt;K$5,"Pendiente",IF(K$8=0,"OK",IF(EDATE(_xlfn.MAXIFS(Acuses!$D$5:$D$3004,Acuses!$A$5:$A$3004,$A63,Acuses!$B$5:$B$3004,K$4,Acuses!$C$5:$C$3004,K$5),K$8)&lt;Resumen!$C$4,"Caducado",IF(EDATE(_xlfn.MAXIFS(Acuses!$D$5:$D$3004,Acuses!$A$5:$A$3004,$A63,Acuses!$B$5:$B$3004,K$4,Acuses!$C$5:$C$3004,K$5),K$8)&lt;Resumen!$C$4+30,"Caduca pronto","OK"))))))</f>
        <v/>
      </c>
      <c r="L63" s="26" t="str">
        <f aca="false">IF(OR($A63="",L$4=""),"",IF(NOT(OR(L$6="Toda la plantilla",ISNUMBER(SEARCH(";"&amp;SUBSTITUTE($C63," ","")&amp;";",";"&amp;SUBSTITUTE(L$7," ","")&amp;";")))),"—",IF(_xlfn.MAXIFS(Acuses!$C$5:$C$3004,Acuses!$A$5:$A$3004,$A63,Acuses!$B$5:$B$3004,L$4)&lt;L$5,"Pendiente",IF(L$8=0,"OK",IF(EDATE(_xlfn.MAXIFS(Acuses!$D$5:$D$3004,Acuses!$A$5:$A$3004,$A63,Acuses!$B$5:$B$3004,L$4,Acuses!$C$5:$C$3004,L$5),L$8)&lt;Resumen!$C$4,"Caducado",IF(EDATE(_xlfn.MAXIFS(Acuses!$D$5:$D$3004,Acuses!$A$5:$A$3004,$A63,Acuses!$B$5:$B$3004,L$4,Acuses!$C$5:$C$3004,L$5),L$8)&lt;Resumen!$C$4+30,"Caduca pronto","OK"))))))</f>
        <v/>
      </c>
      <c r="M63" s="26" t="str">
        <f aca="false">IF(OR($A63="",M$4=""),"",IF(NOT(OR(M$6="Toda la plantilla",ISNUMBER(SEARCH(";"&amp;SUBSTITUTE($C63," ","")&amp;";",";"&amp;SUBSTITUTE(M$7," ","")&amp;";")))),"—",IF(_xlfn.MAXIFS(Acuses!$C$5:$C$3004,Acuses!$A$5:$A$3004,$A63,Acuses!$B$5:$B$3004,M$4)&lt;M$5,"Pendiente",IF(M$8=0,"OK",IF(EDATE(_xlfn.MAXIFS(Acuses!$D$5:$D$3004,Acuses!$A$5:$A$3004,$A63,Acuses!$B$5:$B$3004,M$4,Acuses!$C$5:$C$3004,M$5),M$8)&lt;Resumen!$C$4,"Caducado",IF(EDATE(_xlfn.MAXIFS(Acuses!$D$5:$D$3004,Acuses!$A$5:$A$3004,$A63,Acuses!$B$5:$B$3004,M$4,Acuses!$C$5:$C$3004,M$5),M$8)&lt;Resumen!$C$4+30,"Caduca pronto","OK"))))))</f>
        <v/>
      </c>
      <c r="N63" s="26" t="str">
        <f aca="false">IF(OR($A63="",N$4=""),"",IF(NOT(OR(N$6="Toda la plantilla",ISNUMBER(SEARCH(";"&amp;SUBSTITUTE($C63," ","")&amp;";",";"&amp;SUBSTITUTE(N$7," ","")&amp;";")))),"—",IF(_xlfn.MAXIFS(Acuses!$C$5:$C$3004,Acuses!$A$5:$A$3004,$A63,Acuses!$B$5:$B$3004,N$4)&lt;N$5,"Pendiente",IF(N$8=0,"OK",IF(EDATE(_xlfn.MAXIFS(Acuses!$D$5:$D$3004,Acuses!$A$5:$A$3004,$A63,Acuses!$B$5:$B$3004,N$4,Acuses!$C$5:$C$3004,N$5),N$8)&lt;Resumen!$C$4,"Caducado",IF(EDATE(_xlfn.MAXIFS(Acuses!$D$5:$D$3004,Acuses!$A$5:$A$3004,$A63,Acuses!$B$5:$B$3004,N$4,Acuses!$C$5:$C$3004,N$5),N$8)&lt;Resumen!$C$4+30,"Caduca pronto","OK"))))))</f>
        <v/>
      </c>
      <c r="O63" s="26" t="str">
        <f aca="false">IF(OR($A63="",O$4=""),"",IF(NOT(OR(O$6="Toda la plantilla",ISNUMBER(SEARCH(";"&amp;SUBSTITUTE($C63," ","")&amp;";",";"&amp;SUBSTITUTE(O$7," ","")&amp;";")))),"—",IF(_xlfn.MAXIFS(Acuses!$C$5:$C$3004,Acuses!$A$5:$A$3004,$A63,Acuses!$B$5:$B$3004,O$4)&lt;O$5,"Pendiente",IF(O$8=0,"OK",IF(EDATE(_xlfn.MAXIFS(Acuses!$D$5:$D$3004,Acuses!$A$5:$A$3004,$A63,Acuses!$B$5:$B$3004,O$4,Acuses!$C$5:$C$3004,O$5),O$8)&lt;Resumen!$C$4,"Caducado",IF(EDATE(_xlfn.MAXIFS(Acuses!$D$5:$D$3004,Acuses!$A$5:$A$3004,$A63,Acuses!$B$5:$B$3004,O$4,Acuses!$C$5:$C$3004,O$5),O$8)&lt;Resumen!$C$4+30,"Caduca pronto","OK"))))))</f>
        <v/>
      </c>
      <c r="P63" s="26" t="str">
        <f aca="false">IF(OR($A63="",P$4=""),"",IF(NOT(OR(P$6="Toda la plantilla",ISNUMBER(SEARCH(";"&amp;SUBSTITUTE($C63," ","")&amp;";",";"&amp;SUBSTITUTE(P$7," ","")&amp;";")))),"—",IF(_xlfn.MAXIFS(Acuses!$C$5:$C$3004,Acuses!$A$5:$A$3004,$A63,Acuses!$B$5:$B$3004,P$4)&lt;P$5,"Pendiente",IF(P$8=0,"OK",IF(EDATE(_xlfn.MAXIFS(Acuses!$D$5:$D$3004,Acuses!$A$5:$A$3004,$A63,Acuses!$B$5:$B$3004,P$4,Acuses!$C$5:$C$3004,P$5),P$8)&lt;Resumen!$C$4,"Caducado",IF(EDATE(_xlfn.MAXIFS(Acuses!$D$5:$D$3004,Acuses!$A$5:$A$3004,$A63,Acuses!$B$5:$B$3004,P$4,Acuses!$C$5:$C$3004,P$5),P$8)&lt;Resumen!$C$4+30,"Caduca pronto","OK"))))))</f>
        <v/>
      </c>
      <c r="Q63" s="26" t="str">
        <f aca="false">IF(OR($A63="",Q$4=""),"",IF(NOT(OR(Q$6="Toda la plantilla",ISNUMBER(SEARCH(";"&amp;SUBSTITUTE($C63," ","")&amp;";",";"&amp;SUBSTITUTE(Q$7," ","")&amp;";")))),"—",IF(_xlfn.MAXIFS(Acuses!$C$5:$C$3004,Acuses!$A$5:$A$3004,$A63,Acuses!$B$5:$B$3004,Q$4)&lt;Q$5,"Pendiente",IF(Q$8=0,"OK",IF(EDATE(_xlfn.MAXIFS(Acuses!$D$5:$D$3004,Acuses!$A$5:$A$3004,$A63,Acuses!$B$5:$B$3004,Q$4,Acuses!$C$5:$C$3004,Q$5),Q$8)&lt;Resumen!$C$4,"Caducado",IF(EDATE(_xlfn.MAXIFS(Acuses!$D$5:$D$3004,Acuses!$A$5:$A$3004,$A63,Acuses!$B$5:$B$3004,Q$4,Acuses!$C$5:$C$3004,Q$5),Q$8)&lt;Resumen!$C$4+30,"Caduca pronto","OK"))))))</f>
        <v/>
      </c>
      <c r="R63" s="26" t="str">
        <f aca="false">IF(OR($A63="",R$4=""),"",IF(NOT(OR(R$6="Toda la plantilla",ISNUMBER(SEARCH(";"&amp;SUBSTITUTE($C63," ","")&amp;";",";"&amp;SUBSTITUTE(R$7," ","")&amp;";")))),"—",IF(_xlfn.MAXIFS(Acuses!$C$5:$C$3004,Acuses!$A$5:$A$3004,$A63,Acuses!$B$5:$B$3004,R$4)&lt;R$5,"Pendiente",IF(R$8=0,"OK",IF(EDATE(_xlfn.MAXIFS(Acuses!$D$5:$D$3004,Acuses!$A$5:$A$3004,$A63,Acuses!$B$5:$B$3004,R$4,Acuses!$C$5:$C$3004,R$5),R$8)&lt;Resumen!$C$4,"Caducado",IF(EDATE(_xlfn.MAXIFS(Acuses!$D$5:$D$3004,Acuses!$A$5:$A$3004,$A63,Acuses!$B$5:$B$3004,R$4,Acuses!$C$5:$C$3004,R$5),R$8)&lt;Resumen!$C$4+30,"Caduca pronto","OK"))))))</f>
        <v/>
      </c>
      <c r="S63" s="26" t="str">
        <f aca="false">IF(OR($A63="",S$4=""),"",IF(NOT(OR(S$6="Toda la plantilla",ISNUMBER(SEARCH(";"&amp;SUBSTITUTE($C63," ","")&amp;";",";"&amp;SUBSTITUTE(S$7," ","")&amp;";")))),"—",IF(_xlfn.MAXIFS(Acuses!$C$5:$C$3004,Acuses!$A$5:$A$3004,$A63,Acuses!$B$5:$B$3004,S$4)&lt;S$5,"Pendiente",IF(S$8=0,"OK",IF(EDATE(_xlfn.MAXIFS(Acuses!$D$5:$D$3004,Acuses!$A$5:$A$3004,$A63,Acuses!$B$5:$B$3004,S$4,Acuses!$C$5:$C$3004,S$5),S$8)&lt;Resumen!$C$4,"Caducado",IF(EDATE(_xlfn.MAXIFS(Acuses!$D$5:$D$3004,Acuses!$A$5:$A$3004,$A63,Acuses!$B$5:$B$3004,S$4,Acuses!$C$5:$C$3004,S$5),S$8)&lt;Resumen!$C$4+30,"Caduca pronto","OK"))))))</f>
        <v/>
      </c>
      <c r="T63" s="26" t="str">
        <f aca="false">IF(OR($A63="",T$4=""),"",IF(NOT(OR(T$6="Toda la plantilla",ISNUMBER(SEARCH(";"&amp;SUBSTITUTE($C63," ","")&amp;";",";"&amp;SUBSTITUTE(T$7," ","")&amp;";")))),"—",IF(_xlfn.MAXIFS(Acuses!$C$5:$C$3004,Acuses!$A$5:$A$3004,$A63,Acuses!$B$5:$B$3004,T$4)&lt;T$5,"Pendiente",IF(T$8=0,"OK",IF(EDATE(_xlfn.MAXIFS(Acuses!$D$5:$D$3004,Acuses!$A$5:$A$3004,$A63,Acuses!$B$5:$B$3004,T$4,Acuses!$C$5:$C$3004,T$5),T$8)&lt;Resumen!$C$4,"Caducado",IF(EDATE(_xlfn.MAXIFS(Acuses!$D$5:$D$3004,Acuses!$A$5:$A$3004,$A63,Acuses!$B$5:$B$3004,T$4,Acuses!$C$5:$C$3004,T$5),T$8)&lt;Resumen!$C$4+30,"Caduca pronto","OK"))))))</f>
        <v/>
      </c>
      <c r="U63" s="26" t="str">
        <f aca="false">IF(OR($A63="",U$4=""),"",IF(NOT(OR(U$6="Toda la plantilla",ISNUMBER(SEARCH(";"&amp;SUBSTITUTE($C63," ","")&amp;";",";"&amp;SUBSTITUTE(U$7," ","")&amp;";")))),"—",IF(_xlfn.MAXIFS(Acuses!$C$5:$C$3004,Acuses!$A$5:$A$3004,$A63,Acuses!$B$5:$B$3004,U$4)&lt;U$5,"Pendiente",IF(U$8=0,"OK",IF(EDATE(_xlfn.MAXIFS(Acuses!$D$5:$D$3004,Acuses!$A$5:$A$3004,$A63,Acuses!$B$5:$B$3004,U$4,Acuses!$C$5:$C$3004,U$5),U$8)&lt;Resumen!$C$4,"Caducado",IF(EDATE(_xlfn.MAXIFS(Acuses!$D$5:$D$3004,Acuses!$A$5:$A$3004,$A63,Acuses!$B$5:$B$3004,U$4,Acuses!$C$5:$C$3004,U$5),U$8)&lt;Resumen!$C$4+30,"Caduca pronto","OK"))))))</f>
        <v/>
      </c>
      <c r="V63" s="26" t="str">
        <f aca="false">IF(OR($A63="",V$4=""),"",IF(NOT(OR(V$6="Toda la plantilla",ISNUMBER(SEARCH(";"&amp;SUBSTITUTE($C63," ","")&amp;";",";"&amp;SUBSTITUTE(V$7," ","")&amp;";")))),"—",IF(_xlfn.MAXIFS(Acuses!$C$5:$C$3004,Acuses!$A$5:$A$3004,$A63,Acuses!$B$5:$B$3004,V$4)&lt;V$5,"Pendiente",IF(V$8=0,"OK",IF(EDATE(_xlfn.MAXIFS(Acuses!$D$5:$D$3004,Acuses!$A$5:$A$3004,$A63,Acuses!$B$5:$B$3004,V$4,Acuses!$C$5:$C$3004,V$5),V$8)&lt;Resumen!$C$4,"Caducado",IF(EDATE(_xlfn.MAXIFS(Acuses!$D$5:$D$3004,Acuses!$A$5:$A$3004,$A63,Acuses!$B$5:$B$3004,V$4,Acuses!$C$5:$C$3004,V$5),V$8)&lt;Resumen!$C$4+30,"Caduca pronto","OK"))))))</f>
        <v/>
      </c>
      <c r="W63" s="26" t="str">
        <f aca="false">IF(OR($A63="",W$4=""),"",IF(NOT(OR(W$6="Toda la plantilla",ISNUMBER(SEARCH(";"&amp;SUBSTITUTE($C63," ","")&amp;";",";"&amp;SUBSTITUTE(W$7," ","")&amp;";")))),"—",IF(_xlfn.MAXIFS(Acuses!$C$5:$C$3004,Acuses!$A$5:$A$3004,$A63,Acuses!$B$5:$B$3004,W$4)&lt;W$5,"Pendiente",IF(W$8=0,"OK",IF(EDATE(_xlfn.MAXIFS(Acuses!$D$5:$D$3004,Acuses!$A$5:$A$3004,$A63,Acuses!$B$5:$B$3004,W$4,Acuses!$C$5:$C$3004,W$5),W$8)&lt;Resumen!$C$4,"Caducado",IF(EDATE(_xlfn.MAXIFS(Acuses!$D$5:$D$3004,Acuses!$A$5:$A$3004,$A63,Acuses!$B$5:$B$3004,W$4,Acuses!$C$5:$C$3004,W$5),W$8)&lt;Resumen!$C$4+30,"Caduca pronto","OK"))))))</f>
        <v/>
      </c>
      <c r="X63" s="26" t="str">
        <f aca="false">IF(OR($A63="",X$4=""),"",IF(NOT(OR(X$6="Toda la plantilla",ISNUMBER(SEARCH(";"&amp;SUBSTITUTE($C63," ","")&amp;";",";"&amp;SUBSTITUTE(X$7," ","")&amp;";")))),"—",IF(_xlfn.MAXIFS(Acuses!$C$5:$C$3004,Acuses!$A$5:$A$3004,$A63,Acuses!$B$5:$B$3004,X$4)&lt;X$5,"Pendiente",IF(X$8=0,"OK",IF(EDATE(_xlfn.MAXIFS(Acuses!$D$5:$D$3004,Acuses!$A$5:$A$3004,$A63,Acuses!$B$5:$B$3004,X$4,Acuses!$C$5:$C$3004,X$5),X$8)&lt;Resumen!$C$4,"Caducado",IF(EDATE(_xlfn.MAXIFS(Acuses!$D$5:$D$3004,Acuses!$A$5:$A$3004,$A63,Acuses!$B$5:$B$3004,X$4,Acuses!$C$5:$C$3004,X$5),X$8)&lt;Resumen!$C$4+30,"Caduca pronto","OK"))))))</f>
        <v/>
      </c>
      <c r="Y63" s="26" t="str">
        <f aca="false">IF(OR($A63="",Y$4=""),"",IF(NOT(OR(Y$6="Toda la plantilla",ISNUMBER(SEARCH(";"&amp;SUBSTITUTE($C63," ","")&amp;";",";"&amp;SUBSTITUTE(Y$7," ","")&amp;";")))),"—",IF(_xlfn.MAXIFS(Acuses!$C$5:$C$3004,Acuses!$A$5:$A$3004,$A63,Acuses!$B$5:$B$3004,Y$4)&lt;Y$5,"Pendiente",IF(Y$8=0,"OK",IF(EDATE(_xlfn.MAXIFS(Acuses!$D$5:$D$3004,Acuses!$A$5:$A$3004,$A63,Acuses!$B$5:$B$3004,Y$4,Acuses!$C$5:$C$3004,Y$5),Y$8)&lt;Resumen!$C$4,"Caducado",IF(EDATE(_xlfn.MAXIFS(Acuses!$D$5:$D$3004,Acuses!$A$5:$A$3004,$A63,Acuses!$B$5:$B$3004,Y$4,Acuses!$C$5:$C$3004,Y$5),Y$8)&lt;Resumen!$C$4+30,"Caduca pronto","OK"))))))</f>
        <v/>
      </c>
      <c r="Z63" s="26" t="str">
        <f aca="false">IF(OR($A63="",Z$4=""),"",IF(NOT(OR(Z$6="Toda la plantilla",ISNUMBER(SEARCH(";"&amp;SUBSTITUTE($C63," ","")&amp;";",";"&amp;SUBSTITUTE(Z$7," ","")&amp;";")))),"—",IF(_xlfn.MAXIFS(Acuses!$C$5:$C$3004,Acuses!$A$5:$A$3004,$A63,Acuses!$B$5:$B$3004,Z$4)&lt;Z$5,"Pendiente",IF(Z$8=0,"OK",IF(EDATE(_xlfn.MAXIFS(Acuses!$D$5:$D$3004,Acuses!$A$5:$A$3004,$A63,Acuses!$B$5:$B$3004,Z$4,Acuses!$C$5:$C$3004,Z$5),Z$8)&lt;Resumen!$C$4,"Caducado",IF(EDATE(_xlfn.MAXIFS(Acuses!$D$5:$D$3004,Acuses!$A$5:$A$3004,$A63,Acuses!$B$5:$B$3004,Z$4,Acuses!$C$5:$C$3004,Z$5),Z$8)&lt;Resumen!$C$4+30,"Caduca pronto","OK"))))))</f>
        <v/>
      </c>
      <c r="AA63" s="26" t="str">
        <f aca="false">IF(OR($A63="",AA$4=""),"",IF(NOT(OR(AA$6="Toda la plantilla",ISNUMBER(SEARCH(";"&amp;SUBSTITUTE($C63," ","")&amp;";",";"&amp;SUBSTITUTE(AA$7," ","")&amp;";")))),"—",IF(_xlfn.MAXIFS(Acuses!$C$5:$C$3004,Acuses!$A$5:$A$3004,$A63,Acuses!$B$5:$B$3004,AA$4)&lt;AA$5,"Pendiente",IF(AA$8=0,"OK",IF(EDATE(_xlfn.MAXIFS(Acuses!$D$5:$D$3004,Acuses!$A$5:$A$3004,$A63,Acuses!$B$5:$B$3004,AA$4,Acuses!$C$5:$C$3004,AA$5),AA$8)&lt;Resumen!$C$4,"Caducado",IF(EDATE(_xlfn.MAXIFS(Acuses!$D$5:$D$3004,Acuses!$A$5:$A$3004,$A63,Acuses!$B$5:$B$3004,AA$4,Acuses!$C$5:$C$3004,AA$5),AA$8)&lt;Resumen!$C$4+30,"Caduca pronto","OK"))))))</f>
        <v/>
      </c>
      <c r="AB63" s="26" t="str">
        <f aca="false">IF(OR($A63="",AB$4=""),"",IF(NOT(OR(AB$6="Toda la plantilla",ISNUMBER(SEARCH(";"&amp;SUBSTITUTE($C63," ","")&amp;";",";"&amp;SUBSTITUTE(AB$7," ","")&amp;";")))),"—",IF(_xlfn.MAXIFS(Acuses!$C$5:$C$3004,Acuses!$A$5:$A$3004,$A63,Acuses!$B$5:$B$3004,AB$4)&lt;AB$5,"Pendiente",IF(AB$8=0,"OK",IF(EDATE(_xlfn.MAXIFS(Acuses!$D$5:$D$3004,Acuses!$A$5:$A$3004,$A63,Acuses!$B$5:$B$3004,AB$4,Acuses!$C$5:$C$3004,AB$5),AB$8)&lt;Resumen!$C$4,"Caducado",IF(EDATE(_xlfn.MAXIFS(Acuses!$D$5:$D$3004,Acuses!$A$5:$A$3004,$A63,Acuses!$B$5:$B$3004,AB$4,Acuses!$C$5:$C$3004,AB$5),AB$8)&lt;Resumen!$C$4+30,"Caduca pronto","OK"))))))</f>
        <v/>
      </c>
      <c r="AC63" s="26" t="str">
        <f aca="false">IF(OR($A63="",AC$4=""),"",IF(NOT(OR(AC$6="Toda la plantilla",ISNUMBER(SEARCH(";"&amp;SUBSTITUTE($C63," ","")&amp;";",";"&amp;SUBSTITUTE(AC$7," ","")&amp;";")))),"—",IF(_xlfn.MAXIFS(Acuses!$C$5:$C$3004,Acuses!$A$5:$A$3004,$A63,Acuses!$B$5:$B$3004,AC$4)&lt;AC$5,"Pendiente",IF(AC$8=0,"OK",IF(EDATE(_xlfn.MAXIFS(Acuses!$D$5:$D$3004,Acuses!$A$5:$A$3004,$A63,Acuses!$B$5:$B$3004,AC$4,Acuses!$C$5:$C$3004,AC$5),AC$8)&lt;Resumen!$C$4,"Caducado",IF(EDATE(_xlfn.MAXIFS(Acuses!$D$5:$D$3004,Acuses!$A$5:$A$3004,$A63,Acuses!$B$5:$B$3004,AC$4,Acuses!$C$5:$C$3004,AC$5),AC$8)&lt;Resumen!$C$4+30,"Caduca pronto","OK"))))))</f>
        <v/>
      </c>
      <c r="AD63" s="26" t="str">
        <f aca="false">IF(OR($A63="",AD$4=""),"",IF(NOT(OR(AD$6="Toda la plantilla",ISNUMBER(SEARCH(";"&amp;SUBSTITUTE($C63," ","")&amp;";",";"&amp;SUBSTITUTE(AD$7," ","")&amp;";")))),"—",IF(_xlfn.MAXIFS(Acuses!$C$5:$C$3004,Acuses!$A$5:$A$3004,$A63,Acuses!$B$5:$B$3004,AD$4)&lt;AD$5,"Pendiente",IF(AD$8=0,"OK",IF(EDATE(_xlfn.MAXIFS(Acuses!$D$5:$D$3004,Acuses!$A$5:$A$3004,$A63,Acuses!$B$5:$B$3004,AD$4,Acuses!$C$5:$C$3004,AD$5),AD$8)&lt;Resumen!$C$4,"Caducado",IF(EDATE(_xlfn.MAXIFS(Acuses!$D$5:$D$3004,Acuses!$A$5:$A$3004,$A63,Acuses!$B$5:$B$3004,AD$4,Acuses!$C$5:$C$3004,AD$5),AD$8)&lt;Resumen!$C$4+30,"Caduca pronto","OK"))))))</f>
        <v/>
      </c>
      <c r="AE63" s="26" t="str">
        <f aca="false">IF(OR($A63="",AE$4=""),"",IF(NOT(OR(AE$6="Toda la plantilla",ISNUMBER(SEARCH(";"&amp;SUBSTITUTE($C63," ","")&amp;";",";"&amp;SUBSTITUTE(AE$7," ","")&amp;";")))),"—",IF(_xlfn.MAXIFS(Acuses!$C$5:$C$3004,Acuses!$A$5:$A$3004,$A63,Acuses!$B$5:$B$3004,AE$4)&lt;AE$5,"Pendiente",IF(AE$8=0,"OK",IF(EDATE(_xlfn.MAXIFS(Acuses!$D$5:$D$3004,Acuses!$A$5:$A$3004,$A63,Acuses!$B$5:$B$3004,AE$4,Acuses!$C$5:$C$3004,AE$5),AE$8)&lt;Resumen!$C$4,"Caducado",IF(EDATE(_xlfn.MAXIFS(Acuses!$D$5:$D$3004,Acuses!$A$5:$A$3004,$A63,Acuses!$B$5:$B$3004,AE$4,Acuses!$C$5:$C$3004,AE$5),AE$8)&lt;Resumen!$C$4+30,"Caduca pronto","OK"))))))</f>
        <v/>
      </c>
      <c r="AF63" s="26" t="str">
        <f aca="false">IF(OR($A63="",AF$4=""),"",IF(NOT(OR(AF$6="Toda la plantilla",ISNUMBER(SEARCH(";"&amp;SUBSTITUTE($C63," ","")&amp;";",";"&amp;SUBSTITUTE(AF$7," ","")&amp;";")))),"—",IF(_xlfn.MAXIFS(Acuses!$C$5:$C$3004,Acuses!$A$5:$A$3004,$A63,Acuses!$B$5:$B$3004,AF$4)&lt;AF$5,"Pendiente",IF(AF$8=0,"OK",IF(EDATE(_xlfn.MAXIFS(Acuses!$D$5:$D$3004,Acuses!$A$5:$A$3004,$A63,Acuses!$B$5:$B$3004,AF$4,Acuses!$C$5:$C$3004,AF$5),AF$8)&lt;Resumen!$C$4,"Caducado",IF(EDATE(_xlfn.MAXIFS(Acuses!$D$5:$D$3004,Acuses!$A$5:$A$3004,$A63,Acuses!$B$5:$B$3004,AF$4,Acuses!$C$5:$C$3004,AF$5),AF$8)&lt;Resumen!$C$4+30,"Caduca pronto","OK"))))))</f>
        <v/>
      </c>
      <c r="AG63" s="26" t="str">
        <f aca="false">IF(OR($A63="",AG$4=""),"",IF(NOT(OR(AG$6="Toda la plantilla",ISNUMBER(SEARCH(";"&amp;SUBSTITUTE($C63," ","")&amp;";",";"&amp;SUBSTITUTE(AG$7," ","")&amp;";")))),"—",IF(_xlfn.MAXIFS(Acuses!$C$5:$C$3004,Acuses!$A$5:$A$3004,$A63,Acuses!$B$5:$B$3004,AG$4)&lt;AG$5,"Pendiente",IF(AG$8=0,"OK",IF(EDATE(_xlfn.MAXIFS(Acuses!$D$5:$D$3004,Acuses!$A$5:$A$3004,$A63,Acuses!$B$5:$B$3004,AG$4,Acuses!$C$5:$C$3004,AG$5),AG$8)&lt;Resumen!$C$4,"Caducado",IF(EDATE(_xlfn.MAXIFS(Acuses!$D$5:$D$3004,Acuses!$A$5:$A$3004,$A63,Acuses!$B$5:$B$3004,AG$4,Acuses!$C$5:$C$3004,AG$5),AG$8)&lt;Resumen!$C$4+30,"Caduca pronto","OK"))))))</f>
        <v/>
      </c>
      <c r="AH63" s="26" t="str">
        <f aca="false">IF(OR($A63="",AH$4=""),"",IF(NOT(OR(AH$6="Toda la plantilla",ISNUMBER(SEARCH(";"&amp;SUBSTITUTE($C63," ","")&amp;";",";"&amp;SUBSTITUTE(AH$7," ","")&amp;";")))),"—",IF(_xlfn.MAXIFS(Acuses!$C$5:$C$3004,Acuses!$A$5:$A$3004,$A63,Acuses!$B$5:$B$3004,AH$4)&lt;AH$5,"Pendiente",IF(AH$8=0,"OK",IF(EDATE(_xlfn.MAXIFS(Acuses!$D$5:$D$3004,Acuses!$A$5:$A$3004,$A63,Acuses!$B$5:$B$3004,AH$4,Acuses!$C$5:$C$3004,AH$5),AH$8)&lt;Resumen!$C$4,"Caducado",IF(EDATE(_xlfn.MAXIFS(Acuses!$D$5:$D$3004,Acuses!$A$5:$A$3004,$A63,Acuses!$B$5:$B$3004,AH$4,Acuses!$C$5:$C$3004,AH$5),AH$8)&lt;Resumen!$C$4+30,"Caduca pronto","OK"))))))</f>
        <v/>
      </c>
      <c r="AI63" s="26" t="str">
        <f aca="false">IF(OR($A63="",AI$4=""),"",IF(NOT(OR(AI$6="Toda la plantilla",ISNUMBER(SEARCH(";"&amp;SUBSTITUTE($C63," ","")&amp;";",";"&amp;SUBSTITUTE(AI$7," ","")&amp;";")))),"—",IF(_xlfn.MAXIFS(Acuses!$C$5:$C$3004,Acuses!$A$5:$A$3004,$A63,Acuses!$B$5:$B$3004,AI$4)&lt;AI$5,"Pendiente",IF(AI$8=0,"OK",IF(EDATE(_xlfn.MAXIFS(Acuses!$D$5:$D$3004,Acuses!$A$5:$A$3004,$A63,Acuses!$B$5:$B$3004,AI$4,Acuses!$C$5:$C$3004,AI$5),AI$8)&lt;Resumen!$C$4,"Caducado",IF(EDATE(_xlfn.MAXIFS(Acuses!$D$5:$D$3004,Acuses!$A$5:$A$3004,$A63,Acuses!$B$5:$B$3004,AI$4,Acuses!$C$5:$C$3004,AI$5),AI$8)&lt;Resumen!$C$4+30,"Caduca pronto","OK"))))))</f>
        <v/>
      </c>
      <c r="AJ63" s="26" t="str">
        <f aca="false">IF(OR($A63="",AJ$4=""),"",IF(NOT(OR(AJ$6="Toda la plantilla",ISNUMBER(SEARCH(";"&amp;SUBSTITUTE($C63," ","")&amp;";",";"&amp;SUBSTITUTE(AJ$7," ","")&amp;";")))),"—",IF(_xlfn.MAXIFS(Acuses!$C$5:$C$3004,Acuses!$A$5:$A$3004,$A63,Acuses!$B$5:$B$3004,AJ$4)&lt;AJ$5,"Pendiente",IF(AJ$8=0,"OK",IF(EDATE(_xlfn.MAXIFS(Acuses!$D$5:$D$3004,Acuses!$A$5:$A$3004,$A63,Acuses!$B$5:$B$3004,AJ$4,Acuses!$C$5:$C$3004,AJ$5),AJ$8)&lt;Resumen!$C$4,"Caducado",IF(EDATE(_xlfn.MAXIFS(Acuses!$D$5:$D$3004,Acuses!$A$5:$A$3004,$A63,Acuses!$B$5:$B$3004,AJ$4,Acuses!$C$5:$C$3004,AJ$5),AJ$8)&lt;Resumen!$C$4+30,"Caduca pronto","OK"))))))</f>
        <v/>
      </c>
      <c r="AK63" s="26" t="str">
        <f aca="false">IF(OR($A63="",AK$4=""),"",IF(NOT(OR(AK$6="Toda la plantilla",ISNUMBER(SEARCH(";"&amp;SUBSTITUTE($C63," ","")&amp;";",";"&amp;SUBSTITUTE(AK$7," ","")&amp;";")))),"—",IF(_xlfn.MAXIFS(Acuses!$C$5:$C$3004,Acuses!$A$5:$A$3004,$A63,Acuses!$B$5:$B$3004,AK$4)&lt;AK$5,"Pendiente",IF(AK$8=0,"OK",IF(EDATE(_xlfn.MAXIFS(Acuses!$D$5:$D$3004,Acuses!$A$5:$A$3004,$A63,Acuses!$B$5:$B$3004,AK$4,Acuses!$C$5:$C$3004,AK$5),AK$8)&lt;Resumen!$C$4,"Caducado",IF(EDATE(_xlfn.MAXIFS(Acuses!$D$5:$D$3004,Acuses!$A$5:$A$3004,$A63,Acuses!$B$5:$B$3004,AK$4,Acuses!$C$5:$C$3004,AK$5),AK$8)&lt;Resumen!$C$4+30,"Caduca pronto","OK"))))))</f>
        <v/>
      </c>
      <c r="AL63" s="26" t="str">
        <f aca="false">IF(OR($A63="",AL$4=""),"",IF(NOT(OR(AL$6="Toda la plantilla",ISNUMBER(SEARCH(";"&amp;SUBSTITUTE($C63," ","")&amp;";",";"&amp;SUBSTITUTE(AL$7," ","")&amp;";")))),"—",IF(_xlfn.MAXIFS(Acuses!$C$5:$C$3004,Acuses!$A$5:$A$3004,$A63,Acuses!$B$5:$B$3004,AL$4)&lt;AL$5,"Pendiente",IF(AL$8=0,"OK",IF(EDATE(_xlfn.MAXIFS(Acuses!$D$5:$D$3004,Acuses!$A$5:$A$3004,$A63,Acuses!$B$5:$B$3004,AL$4,Acuses!$C$5:$C$3004,AL$5),AL$8)&lt;Resumen!$C$4,"Caducado",IF(EDATE(_xlfn.MAXIFS(Acuses!$D$5:$D$3004,Acuses!$A$5:$A$3004,$A63,Acuses!$B$5:$B$3004,AL$4,Acuses!$C$5:$C$3004,AL$5),AL$8)&lt;Resumen!$C$4+30,"Caduca pronto","OK"))))))</f>
        <v/>
      </c>
      <c r="AM63" s="26" t="str">
        <f aca="false">IF(OR($A63="",AM$4=""),"",IF(NOT(OR(AM$6="Toda la plantilla",ISNUMBER(SEARCH(";"&amp;SUBSTITUTE($C63," ","")&amp;";",";"&amp;SUBSTITUTE(AM$7," ","")&amp;";")))),"—",IF(_xlfn.MAXIFS(Acuses!$C$5:$C$3004,Acuses!$A$5:$A$3004,$A63,Acuses!$B$5:$B$3004,AM$4)&lt;AM$5,"Pendiente",IF(AM$8=0,"OK",IF(EDATE(_xlfn.MAXIFS(Acuses!$D$5:$D$3004,Acuses!$A$5:$A$3004,$A63,Acuses!$B$5:$B$3004,AM$4,Acuses!$C$5:$C$3004,AM$5),AM$8)&lt;Resumen!$C$4,"Caducado",IF(EDATE(_xlfn.MAXIFS(Acuses!$D$5:$D$3004,Acuses!$A$5:$A$3004,$A63,Acuses!$B$5:$B$3004,AM$4,Acuses!$C$5:$C$3004,AM$5),AM$8)&lt;Resumen!$C$4+30,"Caduca pronto","OK"))))))</f>
        <v/>
      </c>
      <c r="AN63" s="26" t="str">
        <f aca="false">IF(OR($A63="",AN$4=""),"",IF(NOT(OR(AN$6="Toda la plantilla",ISNUMBER(SEARCH(";"&amp;SUBSTITUTE($C63," ","")&amp;";",";"&amp;SUBSTITUTE(AN$7," ","")&amp;";")))),"—",IF(_xlfn.MAXIFS(Acuses!$C$5:$C$3004,Acuses!$A$5:$A$3004,$A63,Acuses!$B$5:$B$3004,AN$4)&lt;AN$5,"Pendiente",IF(AN$8=0,"OK",IF(EDATE(_xlfn.MAXIFS(Acuses!$D$5:$D$3004,Acuses!$A$5:$A$3004,$A63,Acuses!$B$5:$B$3004,AN$4,Acuses!$C$5:$C$3004,AN$5),AN$8)&lt;Resumen!$C$4,"Caducado",IF(EDATE(_xlfn.MAXIFS(Acuses!$D$5:$D$3004,Acuses!$A$5:$A$3004,$A63,Acuses!$B$5:$B$3004,AN$4,Acuses!$C$5:$C$3004,AN$5),AN$8)&lt;Resumen!$C$4+30,"Caduca pronto","OK"))))))</f>
        <v/>
      </c>
      <c r="AO63" s="26" t="str">
        <f aca="false">IF(OR($A63="",AO$4=""),"",IF(NOT(OR(AO$6="Toda la plantilla",ISNUMBER(SEARCH(";"&amp;SUBSTITUTE($C63," ","")&amp;";",";"&amp;SUBSTITUTE(AO$7," ","")&amp;";")))),"—",IF(_xlfn.MAXIFS(Acuses!$C$5:$C$3004,Acuses!$A$5:$A$3004,$A63,Acuses!$B$5:$B$3004,AO$4)&lt;AO$5,"Pendiente",IF(AO$8=0,"OK",IF(EDATE(_xlfn.MAXIFS(Acuses!$D$5:$D$3004,Acuses!$A$5:$A$3004,$A63,Acuses!$B$5:$B$3004,AO$4,Acuses!$C$5:$C$3004,AO$5),AO$8)&lt;Resumen!$C$4,"Caducado",IF(EDATE(_xlfn.MAXIFS(Acuses!$D$5:$D$3004,Acuses!$A$5:$A$3004,$A63,Acuses!$B$5:$B$3004,AO$4,Acuses!$C$5:$C$3004,AO$5),AO$8)&lt;Resumen!$C$4+30,"Caduca pronto","OK"))))))</f>
        <v/>
      </c>
      <c r="AP63" s="26" t="str">
        <f aca="false">IF(OR($A63="",AP$4=""),"",IF(NOT(OR(AP$6="Toda la plantilla",ISNUMBER(SEARCH(";"&amp;SUBSTITUTE($C63," ","")&amp;";",";"&amp;SUBSTITUTE(AP$7," ","")&amp;";")))),"—",IF(_xlfn.MAXIFS(Acuses!$C$5:$C$3004,Acuses!$A$5:$A$3004,$A63,Acuses!$B$5:$B$3004,AP$4)&lt;AP$5,"Pendiente",IF(AP$8=0,"OK",IF(EDATE(_xlfn.MAXIFS(Acuses!$D$5:$D$3004,Acuses!$A$5:$A$3004,$A63,Acuses!$B$5:$B$3004,AP$4,Acuses!$C$5:$C$3004,AP$5),AP$8)&lt;Resumen!$C$4,"Caducado",IF(EDATE(_xlfn.MAXIFS(Acuses!$D$5:$D$3004,Acuses!$A$5:$A$3004,$A63,Acuses!$B$5:$B$3004,AP$4,Acuses!$C$5:$C$3004,AP$5),AP$8)&lt;Resumen!$C$4+30,"Caduca pronto","OK"))))))</f>
        <v/>
      </c>
      <c r="AQ63" s="26" t="str">
        <f aca="false">IF(OR($A63="",AQ$4=""),"",IF(NOT(OR(AQ$6="Toda la plantilla",ISNUMBER(SEARCH(";"&amp;SUBSTITUTE($C63," ","")&amp;";",";"&amp;SUBSTITUTE(AQ$7," ","")&amp;";")))),"—",IF(_xlfn.MAXIFS(Acuses!$C$5:$C$3004,Acuses!$A$5:$A$3004,$A63,Acuses!$B$5:$B$3004,AQ$4)&lt;AQ$5,"Pendiente",IF(AQ$8=0,"OK",IF(EDATE(_xlfn.MAXIFS(Acuses!$D$5:$D$3004,Acuses!$A$5:$A$3004,$A63,Acuses!$B$5:$B$3004,AQ$4,Acuses!$C$5:$C$3004,AQ$5),AQ$8)&lt;Resumen!$C$4,"Caducado",IF(EDATE(_xlfn.MAXIFS(Acuses!$D$5:$D$3004,Acuses!$A$5:$A$3004,$A63,Acuses!$B$5:$B$3004,AQ$4,Acuses!$C$5:$C$3004,AQ$5),AQ$8)&lt;Resumen!$C$4+30,"Caduca pronto","OK"))))))</f>
        <v/>
      </c>
    </row>
    <row r="64" customFormat="false" ht="15" hidden="false" customHeight="false" outlineLevel="0" collapsed="false">
      <c r="A64" s="25" t="str">
        <f aca="false">IF(AND(Trabajadores!$A$59&lt;&gt;"",Trabajadores!$G$59&lt;&gt;"No"),Trabajadores!$A$59,"")</f>
        <v/>
      </c>
      <c r="B64" s="25" t="str">
        <f aca="false">IF($A64="","",Trabajadores!$B$59)</f>
        <v/>
      </c>
      <c r="C64" s="25" t="str">
        <f aca="false">IF($A64="","",Trabajadores!$C$59)</f>
        <v/>
      </c>
      <c r="D64" s="26" t="str">
        <f aca="false">IF(OR($A64="",D$4=""),"",IF(NOT(OR(D$6="Toda la plantilla",ISNUMBER(SEARCH(";"&amp;SUBSTITUTE($C64," ","")&amp;";",";"&amp;SUBSTITUTE(D$7," ","")&amp;";")))),"—",IF(_xlfn.MAXIFS(Acuses!$C$5:$C$3004,Acuses!$A$5:$A$3004,$A64,Acuses!$B$5:$B$3004,D$4)&lt;D$5,"Pendiente",IF(D$8=0,"OK",IF(EDATE(_xlfn.MAXIFS(Acuses!$D$5:$D$3004,Acuses!$A$5:$A$3004,$A64,Acuses!$B$5:$B$3004,D$4,Acuses!$C$5:$C$3004,D$5),D$8)&lt;Resumen!$C$4,"Caducado",IF(EDATE(_xlfn.MAXIFS(Acuses!$D$5:$D$3004,Acuses!$A$5:$A$3004,$A64,Acuses!$B$5:$B$3004,D$4,Acuses!$C$5:$C$3004,D$5),D$8)&lt;Resumen!$C$4+30,"Caduca pronto","OK"))))))</f>
        <v/>
      </c>
      <c r="E64" s="26" t="str">
        <f aca="false">IF(OR($A64="",E$4=""),"",IF(NOT(OR(E$6="Toda la plantilla",ISNUMBER(SEARCH(";"&amp;SUBSTITUTE($C64," ","")&amp;";",";"&amp;SUBSTITUTE(E$7," ","")&amp;";")))),"—",IF(_xlfn.MAXIFS(Acuses!$C$5:$C$3004,Acuses!$A$5:$A$3004,$A64,Acuses!$B$5:$B$3004,E$4)&lt;E$5,"Pendiente",IF(E$8=0,"OK",IF(EDATE(_xlfn.MAXIFS(Acuses!$D$5:$D$3004,Acuses!$A$5:$A$3004,$A64,Acuses!$B$5:$B$3004,E$4,Acuses!$C$5:$C$3004,E$5),E$8)&lt;Resumen!$C$4,"Caducado",IF(EDATE(_xlfn.MAXIFS(Acuses!$D$5:$D$3004,Acuses!$A$5:$A$3004,$A64,Acuses!$B$5:$B$3004,E$4,Acuses!$C$5:$C$3004,E$5),E$8)&lt;Resumen!$C$4+30,"Caduca pronto","OK"))))))</f>
        <v/>
      </c>
      <c r="F64" s="26" t="str">
        <f aca="false">IF(OR($A64="",F$4=""),"",IF(NOT(OR(F$6="Toda la plantilla",ISNUMBER(SEARCH(";"&amp;SUBSTITUTE($C64," ","")&amp;";",";"&amp;SUBSTITUTE(F$7," ","")&amp;";")))),"—",IF(_xlfn.MAXIFS(Acuses!$C$5:$C$3004,Acuses!$A$5:$A$3004,$A64,Acuses!$B$5:$B$3004,F$4)&lt;F$5,"Pendiente",IF(F$8=0,"OK",IF(EDATE(_xlfn.MAXIFS(Acuses!$D$5:$D$3004,Acuses!$A$5:$A$3004,$A64,Acuses!$B$5:$B$3004,F$4,Acuses!$C$5:$C$3004,F$5),F$8)&lt;Resumen!$C$4,"Caducado",IF(EDATE(_xlfn.MAXIFS(Acuses!$D$5:$D$3004,Acuses!$A$5:$A$3004,$A64,Acuses!$B$5:$B$3004,F$4,Acuses!$C$5:$C$3004,F$5),F$8)&lt;Resumen!$C$4+30,"Caduca pronto","OK"))))))</f>
        <v/>
      </c>
      <c r="G64" s="26" t="str">
        <f aca="false">IF(OR($A64="",G$4=""),"",IF(NOT(OR(G$6="Toda la plantilla",ISNUMBER(SEARCH(";"&amp;SUBSTITUTE($C64," ","")&amp;";",";"&amp;SUBSTITUTE(G$7," ","")&amp;";")))),"—",IF(_xlfn.MAXIFS(Acuses!$C$5:$C$3004,Acuses!$A$5:$A$3004,$A64,Acuses!$B$5:$B$3004,G$4)&lt;G$5,"Pendiente",IF(G$8=0,"OK",IF(EDATE(_xlfn.MAXIFS(Acuses!$D$5:$D$3004,Acuses!$A$5:$A$3004,$A64,Acuses!$B$5:$B$3004,G$4,Acuses!$C$5:$C$3004,G$5),G$8)&lt;Resumen!$C$4,"Caducado",IF(EDATE(_xlfn.MAXIFS(Acuses!$D$5:$D$3004,Acuses!$A$5:$A$3004,$A64,Acuses!$B$5:$B$3004,G$4,Acuses!$C$5:$C$3004,G$5),G$8)&lt;Resumen!$C$4+30,"Caduca pronto","OK"))))))</f>
        <v/>
      </c>
      <c r="H64" s="26" t="str">
        <f aca="false">IF(OR($A64="",H$4=""),"",IF(NOT(OR(H$6="Toda la plantilla",ISNUMBER(SEARCH(";"&amp;SUBSTITUTE($C64," ","")&amp;";",";"&amp;SUBSTITUTE(H$7," ","")&amp;";")))),"—",IF(_xlfn.MAXIFS(Acuses!$C$5:$C$3004,Acuses!$A$5:$A$3004,$A64,Acuses!$B$5:$B$3004,H$4)&lt;H$5,"Pendiente",IF(H$8=0,"OK",IF(EDATE(_xlfn.MAXIFS(Acuses!$D$5:$D$3004,Acuses!$A$5:$A$3004,$A64,Acuses!$B$5:$B$3004,H$4,Acuses!$C$5:$C$3004,H$5),H$8)&lt;Resumen!$C$4,"Caducado",IF(EDATE(_xlfn.MAXIFS(Acuses!$D$5:$D$3004,Acuses!$A$5:$A$3004,$A64,Acuses!$B$5:$B$3004,H$4,Acuses!$C$5:$C$3004,H$5),H$8)&lt;Resumen!$C$4+30,"Caduca pronto","OK"))))))</f>
        <v/>
      </c>
      <c r="I64" s="26" t="str">
        <f aca="false">IF(OR($A64="",I$4=""),"",IF(NOT(OR(I$6="Toda la plantilla",ISNUMBER(SEARCH(";"&amp;SUBSTITUTE($C64," ","")&amp;";",";"&amp;SUBSTITUTE(I$7," ","")&amp;";")))),"—",IF(_xlfn.MAXIFS(Acuses!$C$5:$C$3004,Acuses!$A$5:$A$3004,$A64,Acuses!$B$5:$B$3004,I$4)&lt;I$5,"Pendiente",IF(I$8=0,"OK",IF(EDATE(_xlfn.MAXIFS(Acuses!$D$5:$D$3004,Acuses!$A$5:$A$3004,$A64,Acuses!$B$5:$B$3004,I$4,Acuses!$C$5:$C$3004,I$5),I$8)&lt;Resumen!$C$4,"Caducado",IF(EDATE(_xlfn.MAXIFS(Acuses!$D$5:$D$3004,Acuses!$A$5:$A$3004,$A64,Acuses!$B$5:$B$3004,I$4,Acuses!$C$5:$C$3004,I$5),I$8)&lt;Resumen!$C$4+30,"Caduca pronto","OK"))))))</f>
        <v/>
      </c>
      <c r="J64" s="26" t="str">
        <f aca="false">IF(OR($A64="",J$4=""),"",IF(NOT(OR(J$6="Toda la plantilla",ISNUMBER(SEARCH(";"&amp;SUBSTITUTE($C64," ","")&amp;";",";"&amp;SUBSTITUTE(J$7," ","")&amp;";")))),"—",IF(_xlfn.MAXIFS(Acuses!$C$5:$C$3004,Acuses!$A$5:$A$3004,$A64,Acuses!$B$5:$B$3004,J$4)&lt;J$5,"Pendiente",IF(J$8=0,"OK",IF(EDATE(_xlfn.MAXIFS(Acuses!$D$5:$D$3004,Acuses!$A$5:$A$3004,$A64,Acuses!$B$5:$B$3004,J$4,Acuses!$C$5:$C$3004,J$5),J$8)&lt;Resumen!$C$4,"Caducado",IF(EDATE(_xlfn.MAXIFS(Acuses!$D$5:$D$3004,Acuses!$A$5:$A$3004,$A64,Acuses!$B$5:$B$3004,J$4,Acuses!$C$5:$C$3004,J$5),J$8)&lt;Resumen!$C$4+30,"Caduca pronto","OK"))))))</f>
        <v/>
      </c>
      <c r="K64" s="26" t="str">
        <f aca="false">IF(OR($A64="",K$4=""),"",IF(NOT(OR(K$6="Toda la plantilla",ISNUMBER(SEARCH(";"&amp;SUBSTITUTE($C64," ","")&amp;";",";"&amp;SUBSTITUTE(K$7," ","")&amp;";")))),"—",IF(_xlfn.MAXIFS(Acuses!$C$5:$C$3004,Acuses!$A$5:$A$3004,$A64,Acuses!$B$5:$B$3004,K$4)&lt;K$5,"Pendiente",IF(K$8=0,"OK",IF(EDATE(_xlfn.MAXIFS(Acuses!$D$5:$D$3004,Acuses!$A$5:$A$3004,$A64,Acuses!$B$5:$B$3004,K$4,Acuses!$C$5:$C$3004,K$5),K$8)&lt;Resumen!$C$4,"Caducado",IF(EDATE(_xlfn.MAXIFS(Acuses!$D$5:$D$3004,Acuses!$A$5:$A$3004,$A64,Acuses!$B$5:$B$3004,K$4,Acuses!$C$5:$C$3004,K$5),K$8)&lt;Resumen!$C$4+30,"Caduca pronto","OK"))))))</f>
        <v/>
      </c>
      <c r="L64" s="26" t="str">
        <f aca="false">IF(OR($A64="",L$4=""),"",IF(NOT(OR(L$6="Toda la plantilla",ISNUMBER(SEARCH(";"&amp;SUBSTITUTE($C64," ","")&amp;";",";"&amp;SUBSTITUTE(L$7," ","")&amp;";")))),"—",IF(_xlfn.MAXIFS(Acuses!$C$5:$C$3004,Acuses!$A$5:$A$3004,$A64,Acuses!$B$5:$B$3004,L$4)&lt;L$5,"Pendiente",IF(L$8=0,"OK",IF(EDATE(_xlfn.MAXIFS(Acuses!$D$5:$D$3004,Acuses!$A$5:$A$3004,$A64,Acuses!$B$5:$B$3004,L$4,Acuses!$C$5:$C$3004,L$5),L$8)&lt;Resumen!$C$4,"Caducado",IF(EDATE(_xlfn.MAXIFS(Acuses!$D$5:$D$3004,Acuses!$A$5:$A$3004,$A64,Acuses!$B$5:$B$3004,L$4,Acuses!$C$5:$C$3004,L$5),L$8)&lt;Resumen!$C$4+30,"Caduca pronto","OK"))))))</f>
        <v/>
      </c>
      <c r="M64" s="26" t="str">
        <f aca="false">IF(OR($A64="",M$4=""),"",IF(NOT(OR(M$6="Toda la plantilla",ISNUMBER(SEARCH(";"&amp;SUBSTITUTE($C64," ","")&amp;";",";"&amp;SUBSTITUTE(M$7," ","")&amp;";")))),"—",IF(_xlfn.MAXIFS(Acuses!$C$5:$C$3004,Acuses!$A$5:$A$3004,$A64,Acuses!$B$5:$B$3004,M$4)&lt;M$5,"Pendiente",IF(M$8=0,"OK",IF(EDATE(_xlfn.MAXIFS(Acuses!$D$5:$D$3004,Acuses!$A$5:$A$3004,$A64,Acuses!$B$5:$B$3004,M$4,Acuses!$C$5:$C$3004,M$5),M$8)&lt;Resumen!$C$4,"Caducado",IF(EDATE(_xlfn.MAXIFS(Acuses!$D$5:$D$3004,Acuses!$A$5:$A$3004,$A64,Acuses!$B$5:$B$3004,M$4,Acuses!$C$5:$C$3004,M$5),M$8)&lt;Resumen!$C$4+30,"Caduca pronto","OK"))))))</f>
        <v/>
      </c>
      <c r="N64" s="26" t="str">
        <f aca="false">IF(OR($A64="",N$4=""),"",IF(NOT(OR(N$6="Toda la plantilla",ISNUMBER(SEARCH(";"&amp;SUBSTITUTE($C64," ","")&amp;";",";"&amp;SUBSTITUTE(N$7," ","")&amp;";")))),"—",IF(_xlfn.MAXIFS(Acuses!$C$5:$C$3004,Acuses!$A$5:$A$3004,$A64,Acuses!$B$5:$B$3004,N$4)&lt;N$5,"Pendiente",IF(N$8=0,"OK",IF(EDATE(_xlfn.MAXIFS(Acuses!$D$5:$D$3004,Acuses!$A$5:$A$3004,$A64,Acuses!$B$5:$B$3004,N$4,Acuses!$C$5:$C$3004,N$5),N$8)&lt;Resumen!$C$4,"Caducado",IF(EDATE(_xlfn.MAXIFS(Acuses!$D$5:$D$3004,Acuses!$A$5:$A$3004,$A64,Acuses!$B$5:$B$3004,N$4,Acuses!$C$5:$C$3004,N$5),N$8)&lt;Resumen!$C$4+30,"Caduca pronto","OK"))))))</f>
        <v/>
      </c>
      <c r="O64" s="26" t="str">
        <f aca="false">IF(OR($A64="",O$4=""),"",IF(NOT(OR(O$6="Toda la plantilla",ISNUMBER(SEARCH(";"&amp;SUBSTITUTE($C64," ","")&amp;";",";"&amp;SUBSTITUTE(O$7," ","")&amp;";")))),"—",IF(_xlfn.MAXIFS(Acuses!$C$5:$C$3004,Acuses!$A$5:$A$3004,$A64,Acuses!$B$5:$B$3004,O$4)&lt;O$5,"Pendiente",IF(O$8=0,"OK",IF(EDATE(_xlfn.MAXIFS(Acuses!$D$5:$D$3004,Acuses!$A$5:$A$3004,$A64,Acuses!$B$5:$B$3004,O$4,Acuses!$C$5:$C$3004,O$5),O$8)&lt;Resumen!$C$4,"Caducado",IF(EDATE(_xlfn.MAXIFS(Acuses!$D$5:$D$3004,Acuses!$A$5:$A$3004,$A64,Acuses!$B$5:$B$3004,O$4,Acuses!$C$5:$C$3004,O$5),O$8)&lt;Resumen!$C$4+30,"Caduca pronto","OK"))))))</f>
        <v/>
      </c>
      <c r="P64" s="26" t="str">
        <f aca="false">IF(OR($A64="",P$4=""),"",IF(NOT(OR(P$6="Toda la plantilla",ISNUMBER(SEARCH(";"&amp;SUBSTITUTE($C64," ","")&amp;";",";"&amp;SUBSTITUTE(P$7," ","")&amp;";")))),"—",IF(_xlfn.MAXIFS(Acuses!$C$5:$C$3004,Acuses!$A$5:$A$3004,$A64,Acuses!$B$5:$B$3004,P$4)&lt;P$5,"Pendiente",IF(P$8=0,"OK",IF(EDATE(_xlfn.MAXIFS(Acuses!$D$5:$D$3004,Acuses!$A$5:$A$3004,$A64,Acuses!$B$5:$B$3004,P$4,Acuses!$C$5:$C$3004,P$5),P$8)&lt;Resumen!$C$4,"Caducado",IF(EDATE(_xlfn.MAXIFS(Acuses!$D$5:$D$3004,Acuses!$A$5:$A$3004,$A64,Acuses!$B$5:$B$3004,P$4,Acuses!$C$5:$C$3004,P$5),P$8)&lt;Resumen!$C$4+30,"Caduca pronto","OK"))))))</f>
        <v/>
      </c>
      <c r="Q64" s="26" t="str">
        <f aca="false">IF(OR($A64="",Q$4=""),"",IF(NOT(OR(Q$6="Toda la plantilla",ISNUMBER(SEARCH(";"&amp;SUBSTITUTE($C64," ","")&amp;";",";"&amp;SUBSTITUTE(Q$7," ","")&amp;";")))),"—",IF(_xlfn.MAXIFS(Acuses!$C$5:$C$3004,Acuses!$A$5:$A$3004,$A64,Acuses!$B$5:$B$3004,Q$4)&lt;Q$5,"Pendiente",IF(Q$8=0,"OK",IF(EDATE(_xlfn.MAXIFS(Acuses!$D$5:$D$3004,Acuses!$A$5:$A$3004,$A64,Acuses!$B$5:$B$3004,Q$4,Acuses!$C$5:$C$3004,Q$5),Q$8)&lt;Resumen!$C$4,"Caducado",IF(EDATE(_xlfn.MAXIFS(Acuses!$D$5:$D$3004,Acuses!$A$5:$A$3004,$A64,Acuses!$B$5:$B$3004,Q$4,Acuses!$C$5:$C$3004,Q$5),Q$8)&lt;Resumen!$C$4+30,"Caduca pronto","OK"))))))</f>
        <v/>
      </c>
      <c r="R64" s="26" t="str">
        <f aca="false">IF(OR($A64="",R$4=""),"",IF(NOT(OR(R$6="Toda la plantilla",ISNUMBER(SEARCH(";"&amp;SUBSTITUTE($C64," ","")&amp;";",";"&amp;SUBSTITUTE(R$7," ","")&amp;";")))),"—",IF(_xlfn.MAXIFS(Acuses!$C$5:$C$3004,Acuses!$A$5:$A$3004,$A64,Acuses!$B$5:$B$3004,R$4)&lt;R$5,"Pendiente",IF(R$8=0,"OK",IF(EDATE(_xlfn.MAXIFS(Acuses!$D$5:$D$3004,Acuses!$A$5:$A$3004,$A64,Acuses!$B$5:$B$3004,R$4,Acuses!$C$5:$C$3004,R$5),R$8)&lt;Resumen!$C$4,"Caducado",IF(EDATE(_xlfn.MAXIFS(Acuses!$D$5:$D$3004,Acuses!$A$5:$A$3004,$A64,Acuses!$B$5:$B$3004,R$4,Acuses!$C$5:$C$3004,R$5),R$8)&lt;Resumen!$C$4+30,"Caduca pronto","OK"))))))</f>
        <v/>
      </c>
      <c r="S64" s="26" t="str">
        <f aca="false">IF(OR($A64="",S$4=""),"",IF(NOT(OR(S$6="Toda la plantilla",ISNUMBER(SEARCH(";"&amp;SUBSTITUTE($C64," ","")&amp;";",";"&amp;SUBSTITUTE(S$7," ","")&amp;";")))),"—",IF(_xlfn.MAXIFS(Acuses!$C$5:$C$3004,Acuses!$A$5:$A$3004,$A64,Acuses!$B$5:$B$3004,S$4)&lt;S$5,"Pendiente",IF(S$8=0,"OK",IF(EDATE(_xlfn.MAXIFS(Acuses!$D$5:$D$3004,Acuses!$A$5:$A$3004,$A64,Acuses!$B$5:$B$3004,S$4,Acuses!$C$5:$C$3004,S$5),S$8)&lt;Resumen!$C$4,"Caducado",IF(EDATE(_xlfn.MAXIFS(Acuses!$D$5:$D$3004,Acuses!$A$5:$A$3004,$A64,Acuses!$B$5:$B$3004,S$4,Acuses!$C$5:$C$3004,S$5),S$8)&lt;Resumen!$C$4+30,"Caduca pronto","OK"))))))</f>
        <v/>
      </c>
      <c r="T64" s="26" t="str">
        <f aca="false">IF(OR($A64="",T$4=""),"",IF(NOT(OR(T$6="Toda la plantilla",ISNUMBER(SEARCH(";"&amp;SUBSTITUTE($C64," ","")&amp;";",";"&amp;SUBSTITUTE(T$7," ","")&amp;";")))),"—",IF(_xlfn.MAXIFS(Acuses!$C$5:$C$3004,Acuses!$A$5:$A$3004,$A64,Acuses!$B$5:$B$3004,T$4)&lt;T$5,"Pendiente",IF(T$8=0,"OK",IF(EDATE(_xlfn.MAXIFS(Acuses!$D$5:$D$3004,Acuses!$A$5:$A$3004,$A64,Acuses!$B$5:$B$3004,T$4,Acuses!$C$5:$C$3004,T$5),T$8)&lt;Resumen!$C$4,"Caducado",IF(EDATE(_xlfn.MAXIFS(Acuses!$D$5:$D$3004,Acuses!$A$5:$A$3004,$A64,Acuses!$B$5:$B$3004,T$4,Acuses!$C$5:$C$3004,T$5),T$8)&lt;Resumen!$C$4+30,"Caduca pronto","OK"))))))</f>
        <v/>
      </c>
      <c r="U64" s="26" t="str">
        <f aca="false">IF(OR($A64="",U$4=""),"",IF(NOT(OR(U$6="Toda la plantilla",ISNUMBER(SEARCH(";"&amp;SUBSTITUTE($C64," ","")&amp;";",";"&amp;SUBSTITUTE(U$7," ","")&amp;";")))),"—",IF(_xlfn.MAXIFS(Acuses!$C$5:$C$3004,Acuses!$A$5:$A$3004,$A64,Acuses!$B$5:$B$3004,U$4)&lt;U$5,"Pendiente",IF(U$8=0,"OK",IF(EDATE(_xlfn.MAXIFS(Acuses!$D$5:$D$3004,Acuses!$A$5:$A$3004,$A64,Acuses!$B$5:$B$3004,U$4,Acuses!$C$5:$C$3004,U$5),U$8)&lt;Resumen!$C$4,"Caducado",IF(EDATE(_xlfn.MAXIFS(Acuses!$D$5:$D$3004,Acuses!$A$5:$A$3004,$A64,Acuses!$B$5:$B$3004,U$4,Acuses!$C$5:$C$3004,U$5),U$8)&lt;Resumen!$C$4+30,"Caduca pronto","OK"))))))</f>
        <v/>
      </c>
      <c r="V64" s="26" t="str">
        <f aca="false">IF(OR($A64="",V$4=""),"",IF(NOT(OR(V$6="Toda la plantilla",ISNUMBER(SEARCH(";"&amp;SUBSTITUTE($C64," ","")&amp;";",";"&amp;SUBSTITUTE(V$7," ","")&amp;";")))),"—",IF(_xlfn.MAXIFS(Acuses!$C$5:$C$3004,Acuses!$A$5:$A$3004,$A64,Acuses!$B$5:$B$3004,V$4)&lt;V$5,"Pendiente",IF(V$8=0,"OK",IF(EDATE(_xlfn.MAXIFS(Acuses!$D$5:$D$3004,Acuses!$A$5:$A$3004,$A64,Acuses!$B$5:$B$3004,V$4,Acuses!$C$5:$C$3004,V$5),V$8)&lt;Resumen!$C$4,"Caducado",IF(EDATE(_xlfn.MAXIFS(Acuses!$D$5:$D$3004,Acuses!$A$5:$A$3004,$A64,Acuses!$B$5:$B$3004,V$4,Acuses!$C$5:$C$3004,V$5),V$8)&lt;Resumen!$C$4+30,"Caduca pronto","OK"))))))</f>
        <v/>
      </c>
      <c r="W64" s="26" t="str">
        <f aca="false">IF(OR($A64="",W$4=""),"",IF(NOT(OR(W$6="Toda la plantilla",ISNUMBER(SEARCH(";"&amp;SUBSTITUTE($C64," ","")&amp;";",";"&amp;SUBSTITUTE(W$7," ","")&amp;";")))),"—",IF(_xlfn.MAXIFS(Acuses!$C$5:$C$3004,Acuses!$A$5:$A$3004,$A64,Acuses!$B$5:$B$3004,W$4)&lt;W$5,"Pendiente",IF(W$8=0,"OK",IF(EDATE(_xlfn.MAXIFS(Acuses!$D$5:$D$3004,Acuses!$A$5:$A$3004,$A64,Acuses!$B$5:$B$3004,W$4,Acuses!$C$5:$C$3004,W$5),W$8)&lt;Resumen!$C$4,"Caducado",IF(EDATE(_xlfn.MAXIFS(Acuses!$D$5:$D$3004,Acuses!$A$5:$A$3004,$A64,Acuses!$B$5:$B$3004,W$4,Acuses!$C$5:$C$3004,W$5),W$8)&lt;Resumen!$C$4+30,"Caduca pronto","OK"))))))</f>
        <v/>
      </c>
      <c r="X64" s="26" t="str">
        <f aca="false">IF(OR($A64="",X$4=""),"",IF(NOT(OR(X$6="Toda la plantilla",ISNUMBER(SEARCH(";"&amp;SUBSTITUTE($C64," ","")&amp;";",";"&amp;SUBSTITUTE(X$7," ","")&amp;";")))),"—",IF(_xlfn.MAXIFS(Acuses!$C$5:$C$3004,Acuses!$A$5:$A$3004,$A64,Acuses!$B$5:$B$3004,X$4)&lt;X$5,"Pendiente",IF(X$8=0,"OK",IF(EDATE(_xlfn.MAXIFS(Acuses!$D$5:$D$3004,Acuses!$A$5:$A$3004,$A64,Acuses!$B$5:$B$3004,X$4,Acuses!$C$5:$C$3004,X$5),X$8)&lt;Resumen!$C$4,"Caducado",IF(EDATE(_xlfn.MAXIFS(Acuses!$D$5:$D$3004,Acuses!$A$5:$A$3004,$A64,Acuses!$B$5:$B$3004,X$4,Acuses!$C$5:$C$3004,X$5),X$8)&lt;Resumen!$C$4+30,"Caduca pronto","OK"))))))</f>
        <v/>
      </c>
      <c r="Y64" s="26" t="str">
        <f aca="false">IF(OR($A64="",Y$4=""),"",IF(NOT(OR(Y$6="Toda la plantilla",ISNUMBER(SEARCH(";"&amp;SUBSTITUTE($C64," ","")&amp;";",";"&amp;SUBSTITUTE(Y$7," ","")&amp;";")))),"—",IF(_xlfn.MAXIFS(Acuses!$C$5:$C$3004,Acuses!$A$5:$A$3004,$A64,Acuses!$B$5:$B$3004,Y$4)&lt;Y$5,"Pendiente",IF(Y$8=0,"OK",IF(EDATE(_xlfn.MAXIFS(Acuses!$D$5:$D$3004,Acuses!$A$5:$A$3004,$A64,Acuses!$B$5:$B$3004,Y$4,Acuses!$C$5:$C$3004,Y$5),Y$8)&lt;Resumen!$C$4,"Caducado",IF(EDATE(_xlfn.MAXIFS(Acuses!$D$5:$D$3004,Acuses!$A$5:$A$3004,$A64,Acuses!$B$5:$B$3004,Y$4,Acuses!$C$5:$C$3004,Y$5),Y$8)&lt;Resumen!$C$4+30,"Caduca pronto","OK"))))))</f>
        <v/>
      </c>
      <c r="Z64" s="26" t="str">
        <f aca="false">IF(OR($A64="",Z$4=""),"",IF(NOT(OR(Z$6="Toda la plantilla",ISNUMBER(SEARCH(";"&amp;SUBSTITUTE($C64," ","")&amp;";",";"&amp;SUBSTITUTE(Z$7," ","")&amp;";")))),"—",IF(_xlfn.MAXIFS(Acuses!$C$5:$C$3004,Acuses!$A$5:$A$3004,$A64,Acuses!$B$5:$B$3004,Z$4)&lt;Z$5,"Pendiente",IF(Z$8=0,"OK",IF(EDATE(_xlfn.MAXIFS(Acuses!$D$5:$D$3004,Acuses!$A$5:$A$3004,$A64,Acuses!$B$5:$B$3004,Z$4,Acuses!$C$5:$C$3004,Z$5),Z$8)&lt;Resumen!$C$4,"Caducado",IF(EDATE(_xlfn.MAXIFS(Acuses!$D$5:$D$3004,Acuses!$A$5:$A$3004,$A64,Acuses!$B$5:$B$3004,Z$4,Acuses!$C$5:$C$3004,Z$5),Z$8)&lt;Resumen!$C$4+30,"Caduca pronto","OK"))))))</f>
        <v/>
      </c>
      <c r="AA64" s="26" t="str">
        <f aca="false">IF(OR($A64="",AA$4=""),"",IF(NOT(OR(AA$6="Toda la plantilla",ISNUMBER(SEARCH(";"&amp;SUBSTITUTE($C64," ","")&amp;";",";"&amp;SUBSTITUTE(AA$7," ","")&amp;";")))),"—",IF(_xlfn.MAXIFS(Acuses!$C$5:$C$3004,Acuses!$A$5:$A$3004,$A64,Acuses!$B$5:$B$3004,AA$4)&lt;AA$5,"Pendiente",IF(AA$8=0,"OK",IF(EDATE(_xlfn.MAXIFS(Acuses!$D$5:$D$3004,Acuses!$A$5:$A$3004,$A64,Acuses!$B$5:$B$3004,AA$4,Acuses!$C$5:$C$3004,AA$5),AA$8)&lt;Resumen!$C$4,"Caducado",IF(EDATE(_xlfn.MAXIFS(Acuses!$D$5:$D$3004,Acuses!$A$5:$A$3004,$A64,Acuses!$B$5:$B$3004,AA$4,Acuses!$C$5:$C$3004,AA$5),AA$8)&lt;Resumen!$C$4+30,"Caduca pronto","OK"))))))</f>
        <v/>
      </c>
      <c r="AB64" s="26" t="str">
        <f aca="false">IF(OR($A64="",AB$4=""),"",IF(NOT(OR(AB$6="Toda la plantilla",ISNUMBER(SEARCH(";"&amp;SUBSTITUTE($C64," ","")&amp;";",";"&amp;SUBSTITUTE(AB$7," ","")&amp;";")))),"—",IF(_xlfn.MAXIFS(Acuses!$C$5:$C$3004,Acuses!$A$5:$A$3004,$A64,Acuses!$B$5:$B$3004,AB$4)&lt;AB$5,"Pendiente",IF(AB$8=0,"OK",IF(EDATE(_xlfn.MAXIFS(Acuses!$D$5:$D$3004,Acuses!$A$5:$A$3004,$A64,Acuses!$B$5:$B$3004,AB$4,Acuses!$C$5:$C$3004,AB$5),AB$8)&lt;Resumen!$C$4,"Caducado",IF(EDATE(_xlfn.MAXIFS(Acuses!$D$5:$D$3004,Acuses!$A$5:$A$3004,$A64,Acuses!$B$5:$B$3004,AB$4,Acuses!$C$5:$C$3004,AB$5),AB$8)&lt;Resumen!$C$4+30,"Caduca pronto","OK"))))))</f>
        <v/>
      </c>
      <c r="AC64" s="26" t="str">
        <f aca="false">IF(OR($A64="",AC$4=""),"",IF(NOT(OR(AC$6="Toda la plantilla",ISNUMBER(SEARCH(";"&amp;SUBSTITUTE($C64," ","")&amp;";",";"&amp;SUBSTITUTE(AC$7," ","")&amp;";")))),"—",IF(_xlfn.MAXIFS(Acuses!$C$5:$C$3004,Acuses!$A$5:$A$3004,$A64,Acuses!$B$5:$B$3004,AC$4)&lt;AC$5,"Pendiente",IF(AC$8=0,"OK",IF(EDATE(_xlfn.MAXIFS(Acuses!$D$5:$D$3004,Acuses!$A$5:$A$3004,$A64,Acuses!$B$5:$B$3004,AC$4,Acuses!$C$5:$C$3004,AC$5),AC$8)&lt;Resumen!$C$4,"Caducado",IF(EDATE(_xlfn.MAXIFS(Acuses!$D$5:$D$3004,Acuses!$A$5:$A$3004,$A64,Acuses!$B$5:$B$3004,AC$4,Acuses!$C$5:$C$3004,AC$5),AC$8)&lt;Resumen!$C$4+30,"Caduca pronto","OK"))))))</f>
        <v/>
      </c>
      <c r="AD64" s="26" t="str">
        <f aca="false">IF(OR($A64="",AD$4=""),"",IF(NOT(OR(AD$6="Toda la plantilla",ISNUMBER(SEARCH(";"&amp;SUBSTITUTE($C64," ","")&amp;";",";"&amp;SUBSTITUTE(AD$7," ","")&amp;";")))),"—",IF(_xlfn.MAXIFS(Acuses!$C$5:$C$3004,Acuses!$A$5:$A$3004,$A64,Acuses!$B$5:$B$3004,AD$4)&lt;AD$5,"Pendiente",IF(AD$8=0,"OK",IF(EDATE(_xlfn.MAXIFS(Acuses!$D$5:$D$3004,Acuses!$A$5:$A$3004,$A64,Acuses!$B$5:$B$3004,AD$4,Acuses!$C$5:$C$3004,AD$5),AD$8)&lt;Resumen!$C$4,"Caducado",IF(EDATE(_xlfn.MAXIFS(Acuses!$D$5:$D$3004,Acuses!$A$5:$A$3004,$A64,Acuses!$B$5:$B$3004,AD$4,Acuses!$C$5:$C$3004,AD$5),AD$8)&lt;Resumen!$C$4+30,"Caduca pronto","OK"))))))</f>
        <v/>
      </c>
      <c r="AE64" s="26" t="str">
        <f aca="false">IF(OR($A64="",AE$4=""),"",IF(NOT(OR(AE$6="Toda la plantilla",ISNUMBER(SEARCH(";"&amp;SUBSTITUTE($C64," ","")&amp;";",";"&amp;SUBSTITUTE(AE$7," ","")&amp;";")))),"—",IF(_xlfn.MAXIFS(Acuses!$C$5:$C$3004,Acuses!$A$5:$A$3004,$A64,Acuses!$B$5:$B$3004,AE$4)&lt;AE$5,"Pendiente",IF(AE$8=0,"OK",IF(EDATE(_xlfn.MAXIFS(Acuses!$D$5:$D$3004,Acuses!$A$5:$A$3004,$A64,Acuses!$B$5:$B$3004,AE$4,Acuses!$C$5:$C$3004,AE$5),AE$8)&lt;Resumen!$C$4,"Caducado",IF(EDATE(_xlfn.MAXIFS(Acuses!$D$5:$D$3004,Acuses!$A$5:$A$3004,$A64,Acuses!$B$5:$B$3004,AE$4,Acuses!$C$5:$C$3004,AE$5),AE$8)&lt;Resumen!$C$4+30,"Caduca pronto","OK"))))))</f>
        <v/>
      </c>
      <c r="AF64" s="26" t="str">
        <f aca="false">IF(OR($A64="",AF$4=""),"",IF(NOT(OR(AF$6="Toda la plantilla",ISNUMBER(SEARCH(";"&amp;SUBSTITUTE($C64," ","")&amp;";",";"&amp;SUBSTITUTE(AF$7," ","")&amp;";")))),"—",IF(_xlfn.MAXIFS(Acuses!$C$5:$C$3004,Acuses!$A$5:$A$3004,$A64,Acuses!$B$5:$B$3004,AF$4)&lt;AF$5,"Pendiente",IF(AF$8=0,"OK",IF(EDATE(_xlfn.MAXIFS(Acuses!$D$5:$D$3004,Acuses!$A$5:$A$3004,$A64,Acuses!$B$5:$B$3004,AF$4,Acuses!$C$5:$C$3004,AF$5),AF$8)&lt;Resumen!$C$4,"Caducado",IF(EDATE(_xlfn.MAXIFS(Acuses!$D$5:$D$3004,Acuses!$A$5:$A$3004,$A64,Acuses!$B$5:$B$3004,AF$4,Acuses!$C$5:$C$3004,AF$5),AF$8)&lt;Resumen!$C$4+30,"Caduca pronto","OK"))))))</f>
        <v/>
      </c>
      <c r="AG64" s="26" t="str">
        <f aca="false">IF(OR($A64="",AG$4=""),"",IF(NOT(OR(AG$6="Toda la plantilla",ISNUMBER(SEARCH(";"&amp;SUBSTITUTE($C64," ","")&amp;";",";"&amp;SUBSTITUTE(AG$7," ","")&amp;";")))),"—",IF(_xlfn.MAXIFS(Acuses!$C$5:$C$3004,Acuses!$A$5:$A$3004,$A64,Acuses!$B$5:$B$3004,AG$4)&lt;AG$5,"Pendiente",IF(AG$8=0,"OK",IF(EDATE(_xlfn.MAXIFS(Acuses!$D$5:$D$3004,Acuses!$A$5:$A$3004,$A64,Acuses!$B$5:$B$3004,AG$4,Acuses!$C$5:$C$3004,AG$5),AG$8)&lt;Resumen!$C$4,"Caducado",IF(EDATE(_xlfn.MAXIFS(Acuses!$D$5:$D$3004,Acuses!$A$5:$A$3004,$A64,Acuses!$B$5:$B$3004,AG$4,Acuses!$C$5:$C$3004,AG$5),AG$8)&lt;Resumen!$C$4+30,"Caduca pronto","OK"))))))</f>
        <v/>
      </c>
      <c r="AH64" s="26" t="str">
        <f aca="false">IF(OR($A64="",AH$4=""),"",IF(NOT(OR(AH$6="Toda la plantilla",ISNUMBER(SEARCH(";"&amp;SUBSTITUTE($C64," ","")&amp;";",";"&amp;SUBSTITUTE(AH$7," ","")&amp;";")))),"—",IF(_xlfn.MAXIFS(Acuses!$C$5:$C$3004,Acuses!$A$5:$A$3004,$A64,Acuses!$B$5:$B$3004,AH$4)&lt;AH$5,"Pendiente",IF(AH$8=0,"OK",IF(EDATE(_xlfn.MAXIFS(Acuses!$D$5:$D$3004,Acuses!$A$5:$A$3004,$A64,Acuses!$B$5:$B$3004,AH$4,Acuses!$C$5:$C$3004,AH$5),AH$8)&lt;Resumen!$C$4,"Caducado",IF(EDATE(_xlfn.MAXIFS(Acuses!$D$5:$D$3004,Acuses!$A$5:$A$3004,$A64,Acuses!$B$5:$B$3004,AH$4,Acuses!$C$5:$C$3004,AH$5),AH$8)&lt;Resumen!$C$4+30,"Caduca pronto","OK"))))))</f>
        <v/>
      </c>
      <c r="AI64" s="26" t="str">
        <f aca="false">IF(OR($A64="",AI$4=""),"",IF(NOT(OR(AI$6="Toda la plantilla",ISNUMBER(SEARCH(";"&amp;SUBSTITUTE($C64," ","")&amp;";",";"&amp;SUBSTITUTE(AI$7," ","")&amp;";")))),"—",IF(_xlfn.MAXIFS(Acuses!$C$5:$C$3004,Acuses!$A$5:$A$3004,$A64,Acuses!$B$5:$B$3004,AI$4)&lt;AI$5,"Pendiente",IF(AI$8=0,"OK",IF(EDATE(_xlfn.MAXIFS(Acuses!$D$5:$D$3004,Acuses!$A$5:$A$3004,$A64,Acuses!$B$5:$B$3004,AI$4,Acuses!$C$5:$C$3004,AI$5),AI$8)&lt;Resumen!$C$4,"Caducado",IF(EDATE(_xlfn.MAXIFS(Acuses!$D$5:$D$3004,Acuses!$A$5:$A$3004,$A64,Acuses!$B$5:$B$3004,AI$4,Acuses!$C$5:$C$3004,AI$5),AI$8)&lt;Resumen!$C$4+30,"Caduca pronto","OK"))))))</f>
        <v/>
      </c>
      <c r="AJ64" s="26" t="str">
        <f aca="false">IF(OR($A64="",AJ$4=""),"",IF(NOT(OR(AJ$6="Toda la plantilla",ISNUMBER(SEARCH(";"&amp;SUBSTITUTE($C64," ","")&amp;";",";"&amp;SUBSTITUTE(AJ$7," ","")&amp;";")))),"—",IF(_xlfn.MAXIFS(Acuses!$C$5:$C$3004,Acuses!$A$5:$A$3004,$A64,Acuses!$B$5:$B$3004,AJ$4)&lt;AJ$5,"Pendiente",IF(AJ$8=0,"OK",IF(EDATE(_xlfn.MAXIFS(Acuses!$D$5:$D$3004,Acuses!$A$5:$A$3004,$A64,Acuses!$B$5:$B$3004,AJ$4,Acuses!$C$5:$C$3004,AJ$5),AJ$8)&lt;Resumen!$C$4,"Caducado",IF(EDATE(_xlfn.MAXIFS(Acuses!$D$5:$D$3004,Acuses!$A$5:$A$3004,$A64,Acuses!$B$5:$B$3004,AJ$4,Acuses!$C$5:$C$3004,AJ$5),AJ$8)&lt;Resumen!$C$4+30,"Caduca pronto","OK"))))))</f>
        <v/>
      </c>
      <c r="AK64" s="26" t="str">
        <f aca="false">IF(OR($A64="",AK$4=""),"",IF(NOT(OR(AK$6="Toda la plantilla",ISNUMBER(SEARCH(";"&amp;SUBSTITUTE($C64," ","")&amp;";",";"&amp;SUBSTITUTE(AK$7," ","")&amp;";")))),"—",IF(_xlfn.MAXIFS(Acuses!$C$5:$C$3004,Acuses!$A$5:$A$3004,$A64,Acuses!$B$5:$B$3004,AK$4)&lt;AK$5,"Pendiente",IF(AK$8=0,"OK",IF(EDATE(_xlfn.MAXIFS(Acuses!$D$5:$D$3004,Acuses!$A$5:$A$3004,$A64,Acuses!$B$5:$B$3004,AK$4,Acuses!$C$5:$C$3004,AK$5),AK$8)&lt;Resumen!$C$4,"Caducado",IF(EDATE(_xlfn.MAXIFS(Acuses!$D$5:$D$3004,Acuses!$A$5:$A$3004,$A64,Acuses!$B$5:$B$3004,AK$4,Acuses!$C$5:$C$3004,AK$5),AK$8)&lt;Resumen!$C$4+30,"Caduca pronto","OK"))))))</f>
        <v/>
      </c>
      <c r="AL64" s="26" t="str">
        <f aca="false">IF(OR($A64="",AL$4=""),"",IF(NOT(OR(AL$6="Toda la plantilla",ISNUMBER(SEARCH(";"&amp;SUBSTITUTE($C64," ","")&amp;";",";"&amp;SUBSTITUTE(AL$7," ","")&amp;";")))),"—",IF(_xlfn.MAXIFS(Acuses!$C$5:$C$3004,Acuses!$A$5:$A$3004,$A64,Acuses!$B$5:$B$3004,AL$4)&lt;AL$5,"Pendiente",IF(AL$8=0,"OK",IF(EDATE(_xlfn.MAXIFS(Acuses!$D$5:$D$3004,Acuses!$A$5:$A$3004,$A64,Acuses!$B$5:$B$3004,AL$4,Acuses!$C$5:$C$3004,AL$5),AL$8)&lt;Resumen!$C$4,"Caducado",IF(EDATE(_xlfn.MAXIFS(Acuses!$D$5:$D$3004,Acuses!$A$5:$A$3004,$A64,Acuses!$B$5:$B$3004,AL$4,Acuses!$C$5:$C$3004,AL$5),AL$8)&lt;Resumen!$C$4+30,"Caduca pronto","OK"))))))</f>
        <v/>
      </c>
      <c r="AM64" s="26" t="str">
        <f aca="false">IF(OR($A64="",AM$4=""),"",IF(NOT(OR(AM$6="Toda la plantilla",ISNUMBER(SEARCH(";"&amp;SUBSTITUTE($C64," ","")&amp;";",";"&amp;SUBSTITUTE(AM$7," ","")&amp;";")))),"—",IF(_xlfn.MAXIFS(Acuses!$C$5:$C$3004,Acuses!$A$5:$A$3004,$A64,Acuses!$B$5:$B$3004,AM$4)&lt;AM$5,"Pendiente",IF(AM$8=0,"OK",IF(EDATE(_xlfn.MAXIFS(Acuses!$D$5:$D$3004,Acuses!$A$5:$A$3004,$A64,Acuses!$B$5:$B$3004,AM$4,Acuses!$C$5:$C$3004,AM$5),AM$8)&lt;Resumen!$C$4,"Caducado",IF(EDATE(_xlfn.MAXIFS(Acuses!$D$5:$D$3004,Acuses!$A$5:$A$3004,$A64,Acuses!$B$5:$B$3004,AM$4,Acuses!$C$5:$C$3004,AM$5),AM$8)&lt;Resumen!$C$4+30,"Caduca pronto","OK"))))))</f>
        <v/>
      </c>
      <c r="AN64" s="26" t="str">
        <f aca="false">IF(OR($A64="",AN$4=""),"",IF(NOT(OR(AN$6="Toda la plantilla",ISNUMBER(SEARCH(";"&amp;SUBSTITUTE($C64," ","")&amp;";",";"&amp;SUBSTITUTE(AN$7," ","")&amp;";")))),"—",IF(_xlfn.MAXIFS(Acuses!$C$5:$C$3004,Acuses!$A$5:$A$3004,$A64,Acuses!$B$5:$B$3004,AN$4)&lt;AN$5,"Pendiente",IF(AN$8=0,"OK",IF(EDATE(_xlfn.MAXIFS(Acuses!$D$5:$D$3004,Acuses!$A$5:$A$3004,$A64,Acuses!$B$5:$B$3004,AN$4,Acuses!$C$5:$C$3004,AN$5),AN$8)&lt;Resumen!$C$4,"Caducado",IF(EDATE(_xlfn.MAXIFS(Acuses!$D$5:$D$3004,Acuses!$A$5:$A$3004,$A64,Acuses!$B$5:$B$3004,AN$4,Acuses!$C$5:$C$3004,AN$5),AN$8)&lt;Resumen!$C$4+30,"Caduca pronto","OK"))))))</f>
        <v/>
      </c>
      <c r="AO64" s="26" t="str">
        <f aca="false">IF(OR($A64="",AO$4=""),"",IF(NOT(OR(AO$6="Toda la plantilla",ISNUMBER(SEARCH(";"&amp;SUBSTITUTE($C64," ","")&amp;";",";"&amp;SUBSTITUTE(AO$7," ","")&amp;";")))),"—",IF(_xlfn.MAXIFS(Acuses!$C$5:$C$3004,Acuses!$A$5:$A$3004,$A64,Acuses!$B$5:$B$3004,AO$4)&lt;AO$5,"Pendiente",IF(AO$8=0,"OK",IF(EDATE(_xlfn.MAXIFS(Acuses!$D$5:$D$3004,Acuses!$A$5:$A$3004,$A64,Acuses!$B$5:$B$3004,AO$4,Acuses!$C$5:$C$3004,AO$5),AO$8)&lt;Resumen!$C$4,"Caducado",IF(EDATE(_xlfn.MAXIFS(Acuses!$D$5:$D$3004,Acuses!$A$5:$A$3004,$A64,Acuses!$B$5:$B$3004,AO$4,Acuses!$C$5:$C$3004,AO$5),AO$8)&lt;Resumen!$C$4+30,"Caduca pronto","OK"))))))</f>
        <v/>
      </c>
      <c r="AP64" s="26" t="str">
        <f aca="false">IF(OR($A64="",AP$4=""),"",IF(NOT(OR(AP$6="Toda la plantilla",ISNUMBER(SEARCH(";"&amp;SUBSTITUTE($C64," ","")&amp;";",";"&amp;SUBSTITUTE(AP$7," ","")&amp;";")))),"—",IF(_xlfn.MAXIFS(Acuses!$C$5:$C$3004,Acuses!$A$5:$A$3004,$A64,Acuses!$B$5:$B$3004,AP$4)&lt;AP$5,"Pendiente",IF(AP$8=0,"OK",IF(EDATE(_xlfn.MAXIFS(Acuses!$D$5:$D$3004,Acuses!$A$5:$A$3004,$A64,Acuses!$B$5:$B$3004,AP$4,Acuses!$C$5:$C$3004,AP$5),AP$8)&lt;Resumen!$C$4,"Caducado",IF(EDATE(_xlfn.MAXIFS(Acuses!$D$5:$D$3004,Acuses!$A$5:$A$3004,$A64,Acuses!$B$5:$B$3004,AP$4,Acuses!$C$5:$C$3004,AP$5),AP$8)&lt;Resumen!$C$4+30,"Caduca pronto","OK"))))))</f>
        <v/>
      </c>
      <c r="AQ64" s="26" t="str">
        <f aca="false">IF(OR($A64="",AQ$4=""),"",IF(NOT(OR(AQ$6="Toda la plantilla",ISNUMBER(SEARCH(";"&amp;SUBSTITUTE($C64," ","")&amp;";",";"&amp;SUBSTITUTE(AQ$7," ","")&amp;";")))),"—",IF(_xlfn.MAXIFS(Acuses!$C$5:$C$3004,Acuses!$A$5:$A$3004,$A64,Acuses!$B$5:$B$3004,AQ$4)&lt;AQ$5,"Pendiente",IF(AQ$8=0,"OK",IF(EDATE(_xlfn.MAXIFS(Acuses!$D$5:$D$3004,Acuses!$A$5:$A$3004,$A64,Acuses!$B$5:$B$3004,AQ$4,Acuses!$C$5:$C$3004,AQ$5),AQ$8)&lt;Resumen!$C$4,"Caducado",IF(EDATE(_xlfn.MAXIFS(Acuses!$D$5:$D$3004,Acuses!$A$5:$A$3004,$A64,Acuses!$B$5:$B$3004,AQ$4,Acuses!$C$5:$C$3004,AQ$5),AQ$8)&lt;Resumen!$C$4+30,"Caduca pronto","OK"))))))</f>
        <v/>
      </c>
    </row>
    <row r="65" customFormat="false" ht="15" hidden="false" customHeight="false" outlineLevel="0" collapsed="false">
      <c r="A65" s="25" t="str">
        <f aca="false">IF(AND(Trabajadores!$A$60&lt;&gt;"",Trabajadores!$G$60&lt;&gt;"No"),Trabajadores!$A$60,"")</f>
        <v/>
      </c>
      <c r="B65" s="25" t="str">
        <f aca="false">IF($A65="","",Trabajadores!$B$60)</f>
        <v/>
      </c>
      <c r="C65" s="25" t="str">
        <f aca="false">IF($A65="","",Trabajadores!$C$60)</f>
        <v/>
      </c>
      <c r="D65" s="26" t="str">
        <f aca="false">IF(OR($A65="",D$4=""),"",IF(NOT(OR(D$6="Toda la plantilla",ISNUMBER(SEARCH(";"&amp;SUBSTITUTE($C65," ","")&amp;";",";"&amp;SUBSTITUTE(D$7," ","")&amp;";")))),"—",IF(_xlfn.MAXIFS(Acuses!$C$5:$C$3004,Acuses!$A$5:$A$3004,$A65,Acuses!$B$5:$B$3004,D$4)&lt;D$5,"Pendiente",IF(D$8=0,"OK",IF(EDATE(_xlfn.MAXIFS(Acuses!$D$5:$D$3004,Acuses!$A$5:$A$3004,$A65,Acuses!$B$5:$B$3004,D$4,Acuses!$C$5:$C$3004,D$5),D$8)&lt;Resumen!$C$4,"Caducado",IF(EDATE(_xlfn.MAXIFS(Acuses!$D$5:$D$3004,Acuses!$A$5:$A$3004,$A65,Acuses!$B$5:$B$3004,D$4,Acuses!$C$5:$C$3004,D$5),D$8)&lt;Resumen!$C$4+30,"Caduca pronto","OK"))))))</f>
        <v/>
      </c>
      <c r="E65" s="26" t="str">
        <f aca="false">IF(OR($A65="",E$4=""),"",IF(NOT(OR(E$6="Toda la plantilla",ISNUMBER(SEARCH(";"&amp;SUBSTITUTE($C65," ","")&amp;";",";"&amp;SUBSTITUTE(E$7," ","")&amp;";")))),"—",IF(_xlfn.MAXIFS(Acuses!$C$5:$C$3004,Acuses!$A$5:$A$3004,$A65,Acuses!$B$5:$B$3004,E$4)&lt;E$5,"Pendiente",IF(E$8=0,"OK",IF(EDATE(_xlfn.MAXIFS(Acuses!$D$5:$D$3004,Acuses!$A$5:$A$3004,$A65,Acuses!$B$5:$B$3004,E$4,Acuses!$C$5:$C$3004,E$5),E$8)&lt;Resumen!$C$4,"Caducado",IF(EDATE(_xlfn.MAXIFS(Acuses!$D$5:$D$3004,Acuses!$A$5:$A$3004,$A65,Acuses!$B$5:$B$3004,E$4,Acuses!$C$5:$C$3004,E$5),E$8)&lt;Resumen!$C$4+30,"Caduca pronto","OK"))))))</f>
        <v/>
      </c>
      <c r="F65" s="26" t="str">
        <f aca="false">IF(OR($A65="",F$4=""),"",IF(NOT(OR(F$6="Toda la plantilla",ISNUMBER(SEARCH(";"&amp;SUBSTITUTE($C65," ","")&amp;";",";"&amp;SUBSTITUTE(F$7," ","")&amp;";")))),"—",IF(_xlfn.MAXIFS(Acuses!$C$5:$C$3004,Acuses!$A$5:$A$3004,$A65,Acuses!$B$5:$B$3004,F$4)&lt;F$5,"Pendiente",IF(F$8=0,"OK",IF(EDATE(_xlfn.MAXIFS(Acuses!$D$5:$D$3004,Acuses!$A$5:$A$3004,$A65,Acuses!$B$5:$B$3004,F$4,Acuses!$C$5:$C$3004,F$5),F$8)&lt;Resumen!$C$4,"Caducado",IF(EDATE(_xlfn.MAXIFS(Acuses!$D$5:$D$3004,Acuses!$A$5:$A$3004,$A65,Acuses!$B$5:$B$3004,F$4,Acuses!$C$5:$C$3004,F$5),F$8)&lt;Resumen!$C$4+30,"Caduca pronto","OK"))))))</f>
        <v/>
      </c>
      <c r="G65" s="26" t="str">
        <f aca="false">IF(OR($A65="",G$4=""),"",IF(NOT(OR(G$6="Toda la plantilla",ISNUMBER(SEARCH(";"&amp;SUBSTITUTE($C65," ","")&amp;";",";"&amp;SUBSTITUTE(G$7," ","")&amp;";")))),"—",IF(_xlfn.MAXIFS(Acuses!$C$5:$C$3004,Acuses!$A$5:$A$3004,$A65,Acuses!$B$5:$B$3004,G$4)&lt;G$5,"Pendiente",IF(G$8=0,"OK",IF(EDATE(_xlfn.MAXIFS(Acuses!$D$5:$D$3004,Acuses!$A$5:$A$3004,$A65,Acuses!$B$5:$B$3004,G$4,Acuses!$C$5:$C$3004,G$5),G$8)&lt;Resumen!$C$4,"Caducado",IF(EDATE(_xlfn.MAXIFS(Acuses!$D$5:$D$3004,Acuses!$A$5:$A$3004,$A65,Acuses!$B$5:$B$3004,G$4,Acuses!$C$5:$C$3004,G$5),G$8)&lt;Resumen!$C$4+30,"Caduca pronto","OK"))))))</f>
        <v/>
      </c>
      <c r="H65" s="26" t="str">
        <f aca="false">IF(OR($A65="",H$4=""),"",IF(NOT(OR(H$6="Toda la plantilla",ISNUMBER(SEARCH(";"&amp;SUBSTITUTE($C65," ","")&amp;";",";"&amp;SUBSTITUTE(H$7," ","")&amp;";")))),"—",IF(_xlfn.MAXIFS(Acuses!$C$5:$C$3004,Acuses!$A$5:$A$3004,$A65,Acuses!$B$5:$B$3004,H$4)&lt;H$5,"Pendiente",IF(H$8=0,"OK",IF(EDATE(_xlfn.MAXIFS(Acuses!$D$5:$D$3004,Acuses!$A$5:$A$3004,$A65,Acuses!$B$5:$B$3004,H$4,Acuses!$C$5:$C$3004,H$5),H$8)&lt;Resumen!$C$4,"Caducado",IF(EDATE(_xlfn.MAXIFS(Acuses!$D$5:$D$3004,Acuses!$A$5:$A$3004,$A65,Acuses!$B$5:$B$3004,H$4,Acuses!$C$5:$C$3004,H$5),H$8)&lt;Resumen!$C$4+30,"Caduca pronto","OK"))))))</f>
        <v/>
      </c>
      <c r="I65" s="26" t="str">
        <f aca="false">IF(OR($A65="",I$4=""),"",IF(NOT(OR(I$6="Toda la plantilla",ISNUMBER(SEARCH(";"&amp;SUBSTITUTE($C65," ","")&amp;";",";"&amp;SUBSTITUTE(I$7," ","")&amp;";")))),"—",IF(_xlfn.MAXIFS(Acuses!$C$5:$C$3004,Acuses!$A$5:$A$3004,$A65,Acuses!$B$5:$B$3004,I$4)&lt;I$5,"Pendiente",IF(I$8=0,"OK",IF(EDATE(_xlfn.MAXIFS(Acuses!$D$5:$D$3004,Acuses!$A$5:$A$3004,$A65,Acuses!$B$5:$B$3004,I$4,Acuses!$C$5:$C$3004,I$5),I$8)&lt;Resumen!$C$4,"Caducado",IF(EDATE(_xlfn.MAXIFS(Acuses!$D$5:$D$3004,Acuses!$A$5:$A$3004,$A65,Acuses!$B$5:$B$3004,I$4,Acuses!$C$5:$C$3004,I$5),I$8)&lt;Resumen!$C$4+30,"Caduca pronto","OK"))))))</f>
        <v/>
      </c>
      <c r="J65" s="26" t="str">
        <f aca="false">IF(OR($A65="",J$4=""),"",IF(NOT(OR(J$6="Toda la plantilla",ISNUMBER(SEARCH(";"&amp;SUBSTITUTE($C65," ","")&amp;";",";"&amp;SUBSTITUTE(J$7," ","")&amp;";")))),"—",IF(_xlfn.MAXIFS(Acuses!$C$5:$C$3004,Acuses!$A$5:$A$3004,$A65,Acuses!$B$5:$B$3004,J$4)&lt;J$5,"Pendiente",IF(J$8=0,"OK",IF(EDATE(_xlfn.MAXIFS(Acuses!$D$5:$D$3004,Acuses!$A$5:$A$3004,$A65,Acuses!$B$5:$B$3004,J$4,Acuses!$C$5:$C$3004,J$5),J$8)&lt;Resumen!$C$4,"Caducado",IF(EDATE(_xlfn.MAXIFS(Acuses!$D$5:$D$3004,Acuses!$A$5:$A$3004,$A65,Acuses!$B$5:$B$3004,J$4,Acuses!$C$5:$C$3004,J$5),J$8)&lt;Resumen!$C$4+30,"Caduca pronto","OK"))))))</f>
        <v/>
      </c>
      <c r="K65" s="26" t="str">
        <f aca="false">IF(OR($A65="",K$4=""),"",IF(NOT(OR(K$6="Toda la plantilla",ISNUMBER(SEARCH(";"&amp;SUBSTITUTE($C65," ","")&amp;";",";"&amp;SUBSTITUTE(K$7," ","")&amp;";")))),"—",IF(_xlfn.MAXIFS(Acuses!$C$5:$C$3004,Acuses!$A$5:$A$3004,$A65,Acuses!$B$5:$B$3004,K$4)&lt;K$5,"Pendiente",IF(K$8=0,"OK",IF(EDATE(_xlfn.MAXIFS(Acuses!$D$5:$D$3004,Acuses!$A$5:$A$3004,$A65,Acuses!$B$5:$B$3004,K$4,Acuses!$C$5:$C$3004,K$5),K$8)&lt;Resumen!$C$4,"Caducado",IF(EDATE(_xlfn.MAXIFS(Acuses!$D$5:$D$3004,Acuses!$A$5:$A$3004,$A65,Acuses!$B$5:$B$3004,K$4,Acuses!$C$5:$C$3004,K$5),K$8)&lt;Resumen!$C$4+30,"Caduca pronto","OK"))))))</f>
        <v/>
      </c>
      <c r="L65" s="26" t="str">
        <f aca="false">IF(OR($A65="",L$4=""),"",IF(NOT(OR(L$6="Toda la plantilla",ISNUMBER(SEARCH(";"&amp;SUBSTITUTE($C65," ","")&amp;";",";"&amp;SUBSTITUTE(L$7," ","")&amp;";")))),"—",IF(_xlfn.MAXIFS(Acuses!$C$5:$C$3004,Acuses!$A$5:$A$3004,$A65,Acuses!$B$5:$B$3004,L$4)&lt;L$5,"Pendiente",IF(L$8=0,"OK",IF(EDATE(_xlfn.MAXIFS(Acuses!$D$5:$D$3004,Acuses!$A$5:$A$3004,$A65,Acuses!$B$5:$B$3004,L$4,Acuses!$C$5:$C$3004,L$5),L$8)&lt;Resumen!$C$4,"Caducado",IF(EDATE(_xlfn.MAXIFS(Acuses!$D$5:$D$3004,Acuses!$A$5:$A$3004,$A65,Acuses!$B$5:$B$3004,L$4,Acuses!$C$5:$C$3004,L$5),L$8)&lt;Resumen!$C$4+30,"Caduca pronto","OK"))))))</f>
        <v/>
      </c>
      <c r="M65" s="26" t="str">
        <f aca="false">IF(OR($A65="",M$4=""),"",IF(NOT(OR(M$6="Toda la plantilla",ISNUMBER(SEARCH(";"&amp;SUBSTITUTE($C65," ","")&amp;";",";"&amp;SUBSTITUTE(M$7," ","")&amp;";")))),"—",IF(_xlfn.MAXIFS(Acuses!$C$5:$C$3004,Acuses!$A$5:$A$3004,$A65,Acuses!$B$5:$B$3004,M$4)&lt;M$5,"Pendiente",IF(M$8=0,"OK",IF(EDATE(_xlfn.MAXIFS(Acuses!$D$5:$D$3004,Acuses!$A$5:$A$3004,$A65,Acuses!$B$5:$B$3004,M$4,Acuses!$C$5:$C$3004,M$5),M$8)&lt;Resumen!$C$4,"Caducado",IF(EDATE(_xlfn.MAXIFS(Acuses!$D$5:$D$3004,Acuses!$A$5:$A$3004,$A65,Acuses!$B$5:$B$3004,M$4,Acuses!$C$5:$C$3004,M$5),M$8)&lt;Resumen!$C$4+30,"Caduca pronto","OK"))))))</f>
        <v/>
      </c>
      <c r="N65" s="26" t="str">
        <f aca="false">IF(OR($A65="",N$4=""),"",IF(NOT(OR(N$6="Toda la plantilla",ISNUMBER(SEARCH(";"&amp;SUBSTITUTE($C65," ","")&amp;";",";"&amp;SUBSTITUTE(N$7," ","")&amp;";")))),"—",IF(_xlfn.MAXIFS(Acuses!$C$5:$C$3004,Acuses!$A$5:$A$3004,$A65,Acuses!$B$5:$B$3004,N$4)&lt;N$5,"Pendiente",IF(N$8=0,"OK",IF(EDATE(_xlfn.MAXIFS(Acuses!$D$5:$D$3004,Acuses!$A$5:$A$3004,$A65,Acuses!$B$5:$B$3004,N$4,Acuses!$C$5:$C$3004,N$5),N$8)&lt;Resumen!$C$4,"Caducado",IF(EDATE(_xlfn.MAXIFS(Acuses!$D$5:$D$3004,Acuses!$A$5:$A$3004,$A65,Acuses!$B$5:$B$3004,N$4,Acuses!$C$5:$C$3004,N$5),N$8)&lt;Resumen!$C$4+30,"Caduca pronto","OK"))))))</f>
        <v/>
      </c>
      <c r="O65" s="26" t="str">
        <f aca="false">IF(OR($A65="",O$4=""),"",IF(NOT(OR(O$6="Toda la plantilla",ISNUMBER(SEARCH(";"&amp;SUBSTITUTE($C65," ","")&amp;";",";"&amp;SUBSTITUTE(O$7," ","")&amp;";")))),"—",IF(_xlfn.MAXIFS(Acuses!$C$5:$C$3004,Acuses!$A$5:$A$3004,$A65,Acuses!$B$5:$B$3004,O$4)&lt;O$5,"Pendiente",IF(O$8=0,"OK",IF(EDATE(_xlfn.MAXIFS(Acuses!$D$5:$D$3004,Acuses!$A$5:$A$3004,$A65,Acuses!$B$5:$B$3004,O$4,Acuses!$C$5:$C$3004,O$5),O$8)&lt;Resumen!$C$4,"Caducado",IF(EDATE(_xlfn.MAXIFS(Acuses!$D$5:$D$3004,Acuses!$A$5:$A$3004,$A65,Acuses!$B$5:$B$3004,O$4,Acuses!$C$5:$C$3004,O$5),O$8)&lt;Resumen!$C$4+30,"Caduca pronto","OK"))))))</f>
        <v/>
      </c>
      <c r="P65" s="26" t="str">
        <f aca="false">IF(OR($A65="",P$4=""),"",IF(NOT(OR(P$6="Toda la plantilla",ISNUMBER(SEARCH(";"&amp;SUBSTITUTE($C65," ","")&amp;";",";"&amp;SUBSTITUTE(P$7," ","")&amp;";")))),"—",IF(_xlfn.MAXIFS(Acuses!$C$5:$C$3004,Acuses!$A$5:$A$3004,$A65,Acuses!$B$5:$B$3004,P$4)&lt;P$5,"Pendiente",IF(P$8=0,"OK",IF(EDATE(_xlfn.MAXIFS(Acuses!$D$5:$D$3004,Acuses!$A$5:$A$3004,$A65,Acuses!$B$5:$B$3004,P$4,Acuses!$C$5:$C$3004,P$5),P$8)&lt;Resumen!$C$4,"Caducado",IF(EDATE(_xlfn.MAXIFS(Acuses!$D$5:$D$3004,Acuses!$A$5:$A$3004,$A65,Acuses!$B$5:$B$3004,P$4,Acuses!$C$5:$C$3004,P$5),P$8)&lt;Resumen!$C$4+30,"Caduca pronto","OK"))))))</f>
        <v/>
      </c>
      <c r="Q65" s="26" t="str">
        <f aca="false">IF(OR($A65="",Q$4=""),"",IF(NOT(OR(Q$6="Toda la plantilla",ISNUMBER(SEARCH(";"&amp;SUBSTITUTE($C65," ","")&amp;";",";"&amp;SUBSTITUTE(Q$7," ","")&amp;";")))),"—",IF(_xlfn.MAXIFS(Acuses!$C$5:$C$3004,Acuses!$A$5:$A$3004,$A65,Acuses!$B$5:$B$3004,Q$4)&lt;Q$5,"Pendiente",IF(Q$8=0,"OK",IF(EDATE(_xlfn.MAXIFS(Acuses!$D$5:$D$3004,Acuses!$A$5:$A$3004,$A65,Acuses!$B$5:$B$3004,Q$4,Acuses!$C$5:$C$3004,Q$5),Q$8)&lt;Resumen!$C$4,"Caducado",IF(EDATE(_xlfn.MAXIFS(Acuses!$D$5:$D$3004,Acuses!$A$5:$A$3004,$A65,Acuses!$B$5:$B$3004,Q$4,Acuses!$C$5:$C$3004,Q$5),Q$8)&lt;Resumen!$C$4+30,"Caduca pronto","OK"))))))</f>
        <v/>
      </c>
      <c r="R65" s="26" t="str">
        <f aca="false">IF(OR($A65="",R$4=""),"",IF(NOT(OR(R$6="Toda la plantilla",ISNUMBER(SEARCH(";"&amp;SUBSTITUTE($C65," ","")&amp;";",";"&amp;SUBSTITUTE(R$7," ","")&amp;";")))),"—",IF(_xlfn.MAXIFS(Acuses!$C$5:$C$3004,Acuses!$A$5:$A$3004,$A65,Acuses!$B$5:$B$3004,R$4)&lt;R$5,"Pendiente",IF(R$8=0,"OK",IF(EDATE(_xlfn.MAXIFS(Acuses!$D$5:$D$3004,Acuses!$A$5:$A$3004,$A65,Acuses!$B$5:$B$3004,R$4,Acuses!$C$5:$C$3004,R$5),R$8)&lt;Resumen!$C$4,"Caducado",IF(EDATE(_xlfn.MAXIFS(Acuses!$D$5:$D$3004,Acuses!$A$5:$A$3004,$A65,Acuses!$B$5:$B$3004,R$4,Acuses!$C$5:$C$3004,R$5),R$8)&lt;Resumen!$C$4+30,"Caduca pronto","OK"))))))</f>
        <v/>
      </c>
      <c r="S65" s="26" t="str">
        <f aca="false">IF(OR($A65="",S$4=""),"",IF(NOT(OR(S$6="Toda la plantilla",ISNUMBER(SEARCH(";"&amp;SUBSTITUTE($C65," ","")&amp;";",";"&amp;SUBSTITUTE(S$7," ","")&amp;";")))),"—",IF(_xlfn.MAXIFS(Acuses!$C$5:$C$3004,Acuses!$A$5:$A$3004,$A65,Acuses!$B$5:$B$3004,S$4)&lt;S$5,"Pendiente",IF(S$8=0,"OK",IF(EDATE(_xlfn.MAXIFS(Acuses!$D$5:$D$3004,Acuses!$A$5:$A$3004,$A65,Acuses!$B$5:$B$3004,S$4,Acuses!$C$5:$C$3004,S$5),S$8)&lt;Resumen!$C$4,"Caducado",IF(EDATE(_xlfn.MAXIFS(Acuses!$D$5:$D$3004,Acuses!$A$5:$A$3004,$A65,Acuses!$B$5:$B$3004,S$4,Acuses!$C$5:$C$3004,S$5),S$8)&lt;Resumen!$C$4+30,"Caduca pronto","OK"))))))</f>
        <v/>
      </c>
      <c r="T65" s="26" t="str">
        <f aca="false">IF(OR($A65="",T$4=""),"",IF(NOT(OR(T$6="Toda la plantilla",ISNUMBER(SEARCH(";"&amp;SUBSTITUTE($C65," ","")&amp;";",";"&amp;SUBSTITUTE(T$7," ","")&amp;";")))),"—",IF(_xlfn.MAXIFS(Acuses!$C$5:$C$3004,Acuses!$A$5:$A$3004,$A65,Acuses!$B$5:$B$3004,T$4)&lt;T$5,"Pendiente",IF(T$8=0,"OK",IF(EDATE(_xlfn.MAXIFS(Acuses!$D$5:$D$3004,Acuses!$A$5:$A$3004,$A65,Acuses!$B$5:$B$3004,T$4,Acuses!$C$5:$C$3004,T$5),T$8)&lt;Resumen!$C$4,"Caducado",IF(EDATE(_xlfn.MAXIFS(Acuses!$D$5:$D$3004,Acuses!$A$5:$A$3004,$A65,Acuses!$B$5:$B$3004,T$4,Acuses!$C$5:$C$3004,T$5),T$8)&lt;Resumen!$C$4+30,"Caduca pronto","OK"))))))</f>
        <v/>
      </c>
      <c r="U65" s="26" t="str">
        <f aca="false">IF(OR($A65="",U$4=""),"",IF(NOT(OR(U$6="Toda la plantilla",ISNUMBER(SEARCH(";"&amp;SUBSTITUTE($C65," ","")&amp;";",";"&amp;SUBSTITUTE(U$7," ","")&amp;";")))),"—",IF(_xlfn.MAXIFS(Acuses!$C$5:$C$3004,Acuses!$A$5:$A$3004,$A65,Acuses!$B$5:$B$3004,U$4)&lt;U$5,"Pendiente",IF(U$8=0,"OK",IF(EDATE(_xlfn.MAXIFS(Acuses!$D$5:$D$3004,Acuses!$A$5:$A$3004,$A65,Acuses!$B$5:$B$3004,U$4,Acuses!$C$5:$C$3004,U$5),U$8)&lt;Resumen!$C$4,"Caducado",IF(EDATE(_xlfn.MAXIFS(Acuses!$D$5:$D$3004,Acuses!$A$5:$A$3004,$A65,Acuses!$B$5:$B$3004,U$4,Acuses!$C$5:$C$3004,U$5),U$8)&lt;Resumen!$C$4+30,"Caduca pronto","OK"))))))</f>
        <v/>
      </c>
      <c r="V65" s="26" t="str">
        <f aca="false">IF(OR($A65="",V$4=""),"",IF(NOT(OR(V$6="Toda la plantilla",ISNUMBER(SEARCH(";"&amp;SUBSTITUTE($C65," ","")&amp;";",";"&amp;SUBSTITUTE(V$7," ","")&amp;";")))),"—",IF(_xlfn.MAXIFS(Acuses!$C$5:$C$3004,Acuses!$A$5:$A$3004,$A65,Acuses!$B$5:$B$3004,V$4)&lt;V$5,"Pendiente",IF(V$8=0,"OK",IF(EDATE(_xlfn.MAXIFS(Acuses!$D$5:$D$3004,Acuses!$A$5:$A$3004,$A65,Acuses!$B$5:$B$3004,V$4,Acuses!$C$5:$C$3004,V$5),V$8)&lt;Resumen!$C$4,"Caducado",IF(EDATE(_xlfn.MAXIFS(Acuses!$D$5:$D$3004,Acuses!$A$5:$A$3004,$A65,Acuses!$B$5:$B$3004,V$4,Acuses!$C$5:$C$3004,V$5),V$8)&lt;Resumen!$C$4+30,"Caduca pronto","OK"))))))</f>
        <v/>
      </c>
      <c r="W65" s="26" t="str">
        <f aca="false">IF(OR($A65="",W$4=""),"",IF(NOT(OR(W$6="Toda la plantilla",ISNUMBER(SEARCH(";"&amp;SUBSTITUTE($C65," ","")&amp;";",";"&amp;SUBSTITUTE(W$7," ","")&amp;";")))),"—",IF(_xlfn.MAXIFS(Acuses!$C$5:$C$3004,Acuses!$A$5:$A$3004,$A65,Acuses!$B$5:$B$3004,W$4)&lt;W$5,"Pendiente",IF(W$8=0,"OK",IF(EDATE(_xlfn.MAXIFS(Acuses!$D$5:$D$3004,Acuses!$A$5:$A$3004,$A65,Acuses!$B$5:$B$3004,W$4,Acuses!$C$5:$C$3004,W$5),W$8)&lt;Resumen!$C$4,"Caducado",IF(EDATE(_xlfn.MAXIFS(Acuses!$D$5:$D$3004,Acuses!$A$5:$A$3004,$A65,Acuses!$B$5:$B$3004,W$4,Acuses!$C$5:$C$3004,W$5),W$8)&lt;Resumen!$C$4+30,"Caduca pronto","OK"))))))</f>
        <v/>
      </c>
      <c r="X65" s="26" t="str">
        <f aca="false">IF(OR($A65="",X$4=""),"",IF(NOT(OR(X$6="Toda la plantilla",ISNUMBER(SEARCH(";"&amp;SUBSTITUTE($C65," ","")&amp;";",";"&amp;SUBSTITUTE(X$7," ","")&amp;";")))),"—",IF(_xlfn.MAXIFS(Acuses!$C$5:$C$3004,Acuses!$A$5:$A$3004,$A65,Acuses!$B$5:$B$3004,X$4)&lt;X$5,"Pendiente",IF(X$8=0,"OK",IF(EDATE(_xlfn.MAXIFS(Acuses!$D$5:$D$3004,Acuses!$A$5:$A$3004,$A65,Acuses!$B$5:$B$3004,X$4,Acuses!$C$5:$C$3004,X$5),X$8)&lt;Resumen!$C$4,"Caducado",IF(EDATE(_xlfn.MAXIFS(Acuses!$D$5:$D$3004,Acuses!$A$5:$A$3004,$A65,Acuses!$B$5:$B$3004,X$4,Acuses!$C$5:$C$3004,X$5),X$8)&lt;Resumen!$C$4+30,"Caduca pronto","OK"))))))</f>
        <v/>
      </c>
      <c r="Y65" s="26" t="str">
        <f aca="false">IF(OR($A65="",Y$4=""),"",IF(NOT(OR(Y$6="Toda la plantilla",ISNUMBER(SEARCH(";"&amp;SUBSTITUTE($C65," ","")&amp;";",";"&amp;SUBSTITUTE(Y$7," ","")&amp;";")))),"—",IF(_xlfn.MAXIFS(Acuses!$C$5:$C$3004,Acuses!$A$5:$A$3004,$A65,Acuses!$B$5:$B$3004,Y$4)&lt;Y$5,"Pendiente",IF(Y$8=0,"OK",IF(EDATE(_xlfn.MAXIFS(Acuses!$D$5:$D$3004,Acuses!$A$5:$A$3004,$A65,Acuses!$B$5:$B$3004,Y$4,Acuses!$C$5:$C$3004,Y$5),Y$8)&lt;Resumen!$C$4,"Caducado",IF(EDATE(_xlfn.MAXIFS(Acuses!$D$5:$D$3004,Acuses!$A$5:$A$3004,$A65,Acuses!$B$5:$B$3004,Y$4,Acuses!$C$5:$C$3004,Y$5),Y$8)&lt;Resumen!$C$4+30,"Caduca pronto","OK"))))))</f>
        <v/>
      </c>
      <c r="Z65" s="26" t="str">
        <f aca="false">IF(OR($A65="",Z$4=""),"",IF(NOT(OR(Z$6="Toda la plantilla",ISNUMBER(SEARCH(";"&amp;SUBSTITUTE($C65," ","")&amp;";",";"&amp;SUBSTITUTE(Z$7," ","")&amp;";")))),"—",IF(_xlfn.MAXIFS(Acuses!$C$5:$C$3004,Acuses!$A$5:$A$3004,$A65,Acuses!$B$5:$B$3004,Z$4)&lt;Z$5,"Pendiente",IF(Z$8=0,"OK",IF(EDATE(_xlfn.MAXIFS(Acuses!$D$5:$D$3004,Acuses!$A$5:$A$3004,$A65,Acuses!$B$5:$B$3004,Z$4,Acuses!$C$5:$C$3004,Z$5),Z$8)&lt;Resumen!$C$4,"Caducado",IF(EDATE(_xlfn.MAXIFS(Acuses!$D$5:$D$3004,Acuses!$A$5:$A$3004,$A65,Acuses!$B$5:$B$3004,Z$4,Acuses!$C$5:$C$3004,Z$5),Z$8)&lt;Resumen!$C$4+30,"Caduca pronto","OK"))))))</f>
        <v/>
      </c>
      <c r="AA65" s="26" t="str">
        <f aca="false">IF(OR($A65="",AA$4=""),"",IF(NOT(OR(AA$6="Toda la plantilla",ISNUMBER(SEARCH(";"&amp;SUBSTITUTE($C65," ","")&amp;";",";"&amp;SUBSTITUTE(AA$7," ","")&amp;";")))),"—",IF(_xlfn.MAXIFS(Acuses!$C$5:$C$3004,Acuses!$A$5:$A$3004,$A65,Acuses!$B$5:$B$3004,AA$4)&lt;AA$5,"Pendiente",IF(AA$8=0,"OK",IF(EDATE(_xlfn.MAXIFS(Acuses!$D$5:$D$3004,Acuses!$A$5:$A$3004,$A65,Acuses!$B$5:$B$3004,AA$4,Acuses!$C$5:$C$3004,AA$5),AA$8)&lt;Resumen!$C$4,"Caducado",IF(EDATE(_xlfn.MAXIFS(Acuses!$D$5:$D$3004,Acuses!$A$5:$A$3004,$A65,Acuses!$B$5:$B$3004,AA$4,Acuses!$C$5:$C$3004,AA$5),AA$8)&lt;Resumen!$C$4+30,"Caduca pronto","OK"))))))</f>
        <v/>
      </c>
      <c r="AB65" s="26" t="str">
        <f aca="false">IF(OR($A65="",AB$4=""),"",IF(NOT(OR(AB$6="Toda la plantilla",ISNUMBER(SEARCH(";"&amp;SUBSTITUTE($C65," ","")&amp;";",";"&amp;SUBSTITUTE(AB$7," ","")&amp;";")))),"—",IF(_xlfn.MAXIFS(Acuses!$C$5:$C$3004,Acuses!$A$5:$A$3004,$A65,Acuses!$B$5:$B$3004,AB$4)&lt;AB$5,"Pendiente",IF(AB$8=0,"OK",IF(EDATE(_xlfn.MAXIFS(Acuses!$D$5:$D$3004,Acuses!$A$5:$A$3004,$A65,Acuses!$B$5:$B$3004,AB$4,Acuses!$C$5:$C$3004,AB$5),AB$8)&lt;Resumen!$C$4,"Caducado",IF(EDATE(_xlfn.MAXIFS(Acuses!$D$5:$D$3004,Acuses!$A$5:$A$3004,$A65,Acuses!$B$5:$B$3004,AB$4,Acuses!$C$5:$C$3004,AB$5),AB$8)&lt;Resumen!$C$4+30,"Caduca pronto","OK"))))))</f>
        <v/>
      </c>
      <c r="AC65" s="26" t="str">
        <f aca="false">IF(OR($A65="",AC$4=""),"",IF(NOT(OR(AC$6="Toda la plantilla",ISNUMBER(SEARCH(";"&amp;SUBSTITUTE($C65," ","")&amp;";",";"&amp;SUBSTITUTE(AC$7," ","")&amp;";")))),"—",IF(_xlfn.MAXIFS(Acuses!$C$5:$C$3004,Acuses!$A$5:$A$3004,$A65,Acuses!$B$5:$B$3004,AC$4)&lt;AC$5,"Pendiente",IF(AC$8=0,"OK",IF(EDATE(_xlfn.MAXIFS(Acuses!$D$5:$D$3004,Acuses!$A$5:$A$3004,$A65,Acuses!$B$5:$B$3004,AC$4,Acuses!$C$5:$C$3004,AC$5),AC$8)&lt;Resumen!$C$4,"Caducado",IF(EDATE(_xlfn.MAXIFS(Acuses!$D$5:$D$3004,Acuses!$A$5:$A$3004,$A65,Acuses!$B$5:$B$3004,AC$4,Acuses!$C$5:$C$3004,AC$5),AC$8)&lt;Resumen!$C$4+30,"Caduca pronto","OK"))))))</f>
        <v/>
      </c>
      <c r="AD65" s="26" t="str">
        <f aca="false">IF(OR($A65="",AD$4=""),"",IF(NOT(OR(AD$6="Toda la plantilla",ISNUMBER(SEARCH(";"&amp;SUBSTITUTE($C65," ","")&amp;";",";"&amp;SUBSTITUTE(AD$7," ","")&amp;";")))),"—",IF(_xlfn.MAXIFS(Acuses!$C$5:$C$3004,Acuses!$A$5:$A$3004,$A65,Acuses!$B$5:$B$3004,AD$4)&lt;AD$5,"Pendiente",IF(AD$8=0,"OK",IF(EDATE(_xlfn.MAXIFS(Acuses!$D$5:$D$3004,Acuses!$A$5:$A$3004,$A65,Acuses!$B$5:$B$3004,AD$4,Acuses!$C$5:$C$3004,AD$5),AD$8)&lt;Resumen!$C$4,"Caducado",IF(EDATE(_xlfn.MAXIFS(Acuses!$D$5:$D$3004,Acuses!$A$5:$A$3004,$A65,Acuses!$B$5:$B$3004,AD$4,Acuses!$C$5:$C$3004,AD$5),AD$8)&lt;Resumen!$C$4+30,"Caduca pronto","OK"))))))</f>
        <v/>
      </c>
      <c r="AE65" s="26" t="str">
        <f aca="false">IF(OR($A65="",AE$4=""),"",IF(NOT(OR(AE$6="Toda la plantilla",ISNUMBER(SEARCH(";"&amp;SUBSTITUTE($C65," ","")&amp;";",";"&amp;SUBSTITUTE(AE$7," ","")&amp;";")))),"—",IF(_xlfn.MAXIFS(Acuses!$C$5:$C$3004,Acuses!$A$5:$A$3004,$A65,Acuses!$B$5:$B$3004,AE$4)&lt;AE$5,"Pendiente",IF(AE$8=0,"OK",IF(EDATE(_xlfn.MAXIFS(Acuses!$D$5:$D$3004,Acuses!$A$5:$A$3004,$A65,Acuses!$B$5:$B$3004,AE$4,Acuses!$C$5:$C$3004,AE$5),AE$8)&lt;Resumen!$C$4,"Caducado",IF(EDATE(_xlfn.MAXIFS(Acuses!$D$5:$D$3004,Acuses!$A$5:$A$3004,$A65,Acuses!$B$5:$B$3004,AE$4,Acuses!$C$5:$C$3004,AE$5),AE$8)&lt;Resumen!$C$4+30,"Caduca pronto","OK"))))))</f>
        <v/>
      </c>
      <c r="AF65" s="26" t="str">
        <f aca="false">IF(OR($A65="",AF$4=""),"",IF(NOT(OR(AF$6="Toda la plantilla",ISNUMBER(SEARCH(";"&amp;SUBSTITUTE($C65," ","")&amp;";",";"&amp;SUBSTITUTE(AF$7," ","")&amp;";")))),"—",IF(_xlfn.MAXIFS(Acuses!$C$5:$C$3004,Acuses!$A$5:$A$3004,$A65,Acuses!$B$5:$B$3004,AF$4)&lt;AF$5,"Pendiente",IF(AF$8=0,"OK",IF(EDATE(_xlfn.MAXIFS(Acuses!$D$5:$D$3004,Acuses!$A$5:$A$3004,$A65,Acuses!$B$5:$B$3004,AF$4,Acuses!$C$5:$C$3004,AF$5),AF$8)&lt;Resumen!$C$4,"Caducado",IF(EDATE(_xlfn.MAXIFS(Acuses!$D$5:$D$3004,Acuses!$A$5:$A$3004,$A65,Acuses!$B$5:$B$3004,AF$4,Acuses!$C$5:$C$3004,AF$5),AF$8)&lt;Resumen!$C$4+30,"Caduca pronto","OK"))))))</f>
        <v/>
      </c>
      <c r="AG65" s="26" t="str">
        <f aca="false">IF(OR($A65="",AG$4=""),"",IF(NOT(OR(AG$6="Toda la plantilla",ISNUMBER(SEARCH(";"&amp;SUBSTITUTE($C65," ","")&amp;";",";"&amp;SUBSTITUTE(AG$7," ","")&amp;";")))),"—",IF(_xlfn.MAXIFS(Acuses!$C$5:$C$3004,Acuses!$A$5:$A$3004,$A65,Acuses!$B$5:$B$3004,AG$4)&lt;AG$5,"Pendiente",IF(AG$8=0,"OK",IF(EDATE(_xlfn.MAXIFS(Acuses!$D$5:$D$3004,Acuses!$A$5:$A$3004,$A65,Acuses!$B$5:$B$3004,AG$4,Acuses!$C$5:$C$3004,AG$5),AG$8)&lt;Resumen!$C$4,"Caducado",IF(EDATE(_xlfn.MAXIFS(Acuses!$D$5:$D$3004,Acuses!$A$5:$A$3004,$A65,Acuses!$B$5:$B$3004,AG$4,Acuses!$C$5:$C$3004,AG$5),AG$8)&lt;Resumen!$C$4+30,"Caduca pronto","OK"))))))</f>
        <v/>
      </c>
      <c r="AH65" s="26" t="str">
        <f aca="false">IF(OR($A65="",AH$4=""),"",IF(NOT(OR(AH$6="Toda la plantilla",ISNUMBER(SEARCH(";"&amp;SUBSTITUTE($C65," ","")&amp;";",";"&amp;SUBSTITUTE(AH$7," ","")&amp;";")))),"—",IF(_xlfn.MAXIFS(Acuses!$C$5:$C$3004,Acuses!$A$5:$A$3004,$A65,Acuses!$B$5:$B$3004,AH$4)&lt;AH$5,"Pendiente",IF(AH$8=0,"OK",IF(EDATE(_xlfn.MAXIFS(Acuses!$D$5:$D$3004,Acuses!$A$5:$A$3004,$A65,Acuses!$B$5:$B$3004,AH$4,Acuses!$C$5:$C$3004,AH$5),AH$8)&lt;Resumen!$C$4,"Caducado",IF(EDATE(_xlfn.MAXIFS(Acuses!$D$5:$D$3004,Acuses!$A$5:$A$3004,$A65,Acuses!$B$5:$B$3004,AH$4,Acuses!$C$5:$C$3004,AH$5),AH$8)&lt;Resumen!$C$4+30,"Caduca pronto","OK"))))))</f>
        <v/>
      </c>
      <c r="AI65" s="26" t="str">
        <f aca="false">IF(OR($A65="",AI$4=""),"",IF(NOT(OR(AI$6="Toda la plantilla",ISNUMBER(SEARCH(";"&amp;SUBSTITUTE($C65," ","")&amp;";",";"&amp;SUBSTITUTE(AI$7," ","")&amp;";")))),"—",IF(_xlfn.MAXIFS(Acuses!$C$5:$C$3004,Acuses!$A$5:$A$3004,$A65,Acuses!$B$5:$B$3004,AI$4)&lt;AI$5,"Pendiente",IF(AI$8=0,"OK",IF(EDATE(_xlfn.MAXIFS(Acuses!$D$5:$D$3004,Acuses!$A$5:$A$3004,$A65,Acuses!$B$5:$B$3004,AI$4,Acuses!$C$5:$C$3004,AI$5),AI$8)&lt;Resumen!$C$4,"Caducado",IF(EDATE(_xlfn.MAXIFS(Acuses!$D$5:$D$3004,Acuses!$A$5:$A$3004,$A65,Acuses!$B$5:$B$3004,AI$4,Acuses!$C$5:$C$3004,AI$5),AI$8)&lt;Resumen!$C$4+30,"Caduca pronto","OK"))))))</f>
        <v/>
      </c>
      <c r="AJ65" s="26" t="str">
        <f aca="false">IF(OR($A65="",AJ$4=""),"",IF(NOT(OR(AJ$6="Toda la plantilla",ISNUMBER(SEARCH(";"&amp;SUBSTITUTE($C65," ","")&amp;";",";"&amp;SUBSTITUTE(AJ$7," ","")&amp;";")))),"—",IF(_xlfn.MAXIFS(Acuses!$C$5:$C$3004,Acuses!$A$5:$A$3004,$A65,Acuses!$B$5:$B$3004,AJ$4)&lt;AJ$5,"Pendiente",IF(AJ$8=0,"OK",IF(EDATE(_xlfn.MAXIFS(Acuses!$D$5:$D$3004,Acuses!$A$5:$A$3004,$A65,Acuses!$B$5:$B$3004,AJ$4,Acuses!$C$5:$C$3004,AJ$5),AJ$8)&lt;Resumen!$C$4,"Caducado",IF(EDATE(_xlfn.MAXIFS(Acuses!$D$5:$D$3004,Acuses!$A$5:$A$3004,$A65,Acuses!$B$5:$B$3004,AJ$4,Acuses!$C$5:$C$3004,AJ$5),AJ$8)&lt;Resumen!$C$4+30,"Caduca pronto","OK"))))))</f>
        <v/>
      </c>
      <c r="AK65" s="26" t="str">
        <f aca="false">IF(OR($A65="",AK$4=""),"",IF(NOT(OR(AK$6="Toda la plantilla",ISNUMBER(SEARCH(";"&amp;SUBSTITUTE($C65," ","")&amp;";",";"&amp;SUBSTITUTE(AK$7," ","")&amp;";")))),"—",IF(_xlfn.MAXIFS(Acuses!$C$5:$C$3004,Acuses!$A$5:$A$3004,$A65,Acuses!$B$5:$B$3004,AK$4)&lt;AK$5,"Pendiente",IF(AK$8=0,"OK",IF(EDATE(_xlfn.MAXIFS(Acuses!$D$5:$D$3004,Acuses!$A$5:$A$3004,$A65,Acuses!$B$5:$B$3004,AK$4,Acuses!$C$5:$C$3004,AK$5),AK$8)&lt;Resumen!$C$4,"Caducado",IF(EDATE(_xlfn.MAXIFS(Acuses!$D$5:$D$3004,Acuses!$A$5:$A$3004,$A65,Acuses!$B$5:$B$3004,AK$4,Acuses!$C$5:$C$3004,AK$5),AK$8)&lt;Resumen!$C$4+30,"Caduca pronto","OK"))))))</f>
        <v/>
      </c>
      <c r="AL65" s="26" t="str">
        <f aca="false">IF(OR($A65="",AL$4=""),"",IF(NOT(OR(AL$6="Toda la plantilla",ISNUMBER(SEARCH(";"&amp;SUBSTITUTE($C65," ","")&amp;";",";"&amp;SUBSTITUTE(AL$7," ","")&amp;";")))),"—",IF(_xlfn.MAXIFS(Acuses!$C$5:$C$3004,Acuses!$A$5:$A$3004,$A65,Acuses!$B$5:$B$3004,AL$4)&lt;AL$5,"Pendiente",IF(AL$8=0,"OK",IF(EDATE(_xlfn.MAXIFS(Acuses!$D$5:$D$3004,Acuses!$A$5:$A$3004,$A65,Acuses!$B$5:$B$3004,AL$4,Acuses!$C$5:$C$3004,AL$5),AL$8)&lt;Resumen!$C$4,"Caducado",IF(EDATE(_xlfn.MAXIFS(Acuses!$D$5:$D$3004,Acuses!$A$5:$A$3004,$A65,Acuses!$B$5:$B$3004,AL$4,Acuses!$C$5:$C$3004,AL$5),AL$8)&lt;Resumen!$C$4+30,"Caduca pronto","OK"))))))</f>
        <v/>
      </c>
      <c r="AM65" s="26" t="str">
        <f aca="false">IF(OR($A65="",AM$4=""),"",IF(NOT(OR(AM$6="Toda la plantilla",ISNUMBER(SEARCH(";"&amp;SUBSTITUTE($C65," ","")&amp;";",";"&amp;SUBSTITUTE(AM$7," ","")&amp;";")))),"—",IF(_xlfn.MAXIFS(Acuses!$C$5:$C$3004,Acuses!$A$5:$A$3004,$A65,Acuses!$B$5:$B$3004,AM$4)&lt;AM$5,"Pendiente",IF(AM$8=0,"OK",IF(EDATE(_xlfn.MAXIFS(Acuses!$D$5:$D$3004,Acuses!$A$5:$A$3004,$A65,Acuses!$B$5:$B$3004,AM$4,Acuses!$C$5:$C$3004,AM$5),AM$8)&lt;Resumen!$C$4,"Caducado",IF(EDATE(_xlfn.MAXIFS(Acuses!$D$5:$D$3004,Acuses!$A$5:$A$3004,$A65,Acuses!$B$5:$B$3004,AM$4,Acuses!$C$5:$C$3004,AM$5),AM$8)&lt;Resumen!$C$4+30,"Caduca pronto","OK"))))))</f>
        <v/>
      </c>
      <c r="AN65" s="26" t="str">
        <f aca="false">IF(OR($A65="",AN$4=""),"",IF(NOT(OR(AN$6="Toda la plantilla",ISNUMBER(SEARCH(";"&amp;SUBSTITUTE($C65," ","")&amp;";",";"&amp;SUBSTITUTE(AN$7," ","")&amp;";")))),"—",IF(_xlfn.MAXIFS(Acuses!$C$5:$C$3004,Acuses!$A$5:$A$3004,$A65,Acuses!$B$5:$B$3004,AN$4)&lt;AN$5,"Pendiente",IF(AN$8=0,"OK",IF(EDATE(_xlfn.MAXIFS(Acuses!$D$5:$D$3004,Acuses!$A$5:$A$3004,$A65,Acuses!$B$5:$B$3004,AN$4,Acuses!$C$5:$C$3004,AN$5),AN$8)&lt;Resumen!$C$4,"Caducado",IF(EDATE(_xlfn.MAXIFS(Acuses!$D$5:$D$3004,Acuses!$A$5:$A$3004,$A65,Acuses!$B$5:$B$3004,AN$4,Acuses!$C$5:$C$3004,AN$5),AN$8)&lt;Resumen!$C$4+30,"Caduca pronto","OK"))))))</f>
        <v/>
      </c>
      <c r="AO65" s="26" t="str">
        <f aca="false">IF(OR($A65="",AO$4=""),"",IF(NOT(OR(AO$6="Toda la plantilla",ISNUMBER(SEARCH(";"&amp;SUBSTITUTE($C65," ","")&amp;";",";"&amp;SUBSTITUTE(AO$7," ","")&amp;";")))),"—",IF(_xlfn.MAXIFS(Acuses!$C$5:$C$3004,Acuses!$A$5:$A$3004,$A65,Acuses!$B$5:$B$3004,AO$4)&lt;AO$5,"Pendiente",IF(AO$8=0,"OK",IF(EDATE(_xlfn.MAXIFS(Acuses!$D$5:$D$3004,Acuses!$A$5:$A$3004,$A65,Acuses!$B$5:$B$3004,AO$4,Acuses!$C$5:$C$3004,AO$5),AO$8)&lt;Resumen!$C$4,"Caducado",IF(EDATE(_xlfn.MAXIFS(Acuses!$D$5:$D$3004,Acuses!$A$5:$A$3004,$A65,Acuses!$B$5:$B$3004,AO$4,Acuses!$C$5:$C$3004,AO$5),AO$8)&lt;Resumen!$C$4+30,"Caduca pronto","OK"))))))</f>
        <v/>
      </c>
      <c r="AP65" s="26" t="str">
        <f aca="false">IF(OR($A65="",AP$4=""),"",IF(NOT(OR(AP$6="Toda la plantilla",ISNUMBER(SEARCH(";"&amp;SUBSTITUTE($C65," ","")&amp;";",";"&amp;SUBSTITUTE(AP$7," ","")&amp;";")))),"—",IF(_xlfn.MAXIFS(Acuses!$C$5:$C$3004,Acuses!$A$5:$A$3004,$A65,Acuses!$B$5:$B$3004,AP$4)&lt;AP$5,"Pendiente",IF(AP$8=0,"OK",IF(EDATE(_xlfn.MAXIFS(Acuses!$D$5:$D$3004,Acuses!$A$5:$A$3004,$A65,Acuses!$B$5:$B$3004,AP$4,Acuses!$C$5:$C$3004,AP$5),AP$8)&lt;Resumen!$C$4,"Caducado",IF(EDATE(_xlfn.MAXIFS(Acuses!$D$5:$D$3004,Acuses!$A$5:$A$3004,$A65,Acuses!$B$5:$B$3004,AP$4,Acuses!$C$5:$C$3004,AP$5),AP$8)&lt;Resumen!$C$4+30,"Caduca pronto","OK"))))))</f>
        <v/>
      </c>
      <c r="AQ65" s="26" t="str">
        <f aca="false">IF(OR($A65="",AQ$4=""),"",IF(NOT(OR(AQ$6="Toda la plantilla",ISNUMBER(SEARCH(";"&amp;SUBSTITUTE($C65," ","")&amp;";",";"&amp;SUBSTITUTE(AQ$7," ","")&amp;";")))),"—",IF(_xlfn.MAXIFS(Acuses!$C$5:$C$3004,Acuses!$A$5:$A$3004,$A65,Acuses!$B$5:$B$3004,AQ$4)&lt;AQ$5,"Pendiente",IF(AQ$8=0,"OK",IF(EDATE(_xlfn.MAXIFS(Acuses!$D$5:$D$3004,Acuses!$A$5:$A$3004,$A65,Acuses!$B$5:$B$3004,AQ$4,Acuses!$C$5:$C$3004,AQ$5),AQ$8)&lt;Resumen!$C$4,"Caducado",IF(EDATE(_xlfn.MAXIFS(Acuses!$D$5:$D$3004,Acuses!$A$5:$A$3004,$A65,Acuses!$B$5:$B$3004,AQ$4,Acuses!$C$5:$C$3004,AQ$5),AQ$8)&lt;Resumen!$C$4+30,"Caduca pronto","OK"))))))</f>
        <v/>
      </c>
    </row>
    <row r="66" customFormat="false" ht="15" hidden="false" customHeight="false" outlineLevel="0" collapsed="false">
      <c r="A66" s="25" t="str">
        <f aca="false">IF(AND(Trabajadores!$A$61&lt;&gt;"",Trabajadores!$G$61&lt;&gt;"No"),Trabajadores!$A$61,"")</f>
        <v/>
      </c>
      <c r="B66" s="25" t="str">
        <f aca="false">IF($A66="","",Trabajadores!$B$61)</f>
        <v/>
      </c>
      <c r="C66" s="25" t="str">
        <f aca="false">IF($A66="","",Trabajadores!$C$61)</f>
        <v/>
      </c>
      <c r="D66" s="26" t="str">
        <f aca="false">IF(OR($A66="",D$4=""),"",IF(NOT(OR(D$6="Toda la plantilla",ISNUMBER(SEARCH(";"&amp;SUBSTITUTE($C66," ","")&amp;";",";"&amp;SUBSTITUTE(D$7," ","")&amp;";")))),"—",IF(_xlfn.MAXIFS(Acuses!$C$5:$C$3004,Acuses!$A$5:$A$3004,$A66,Acuses!$B$5:$B$3004,D$4)&lt;D$5,"Pendiente",IF(D$8=0,"OK",IF(EDATE(_xlfn.MAXIFS(Acuses!$D$5:$D$3004,Acuses!$A$5:$A$3004,$A66,Acuses!$B$5:$B$3004,D$4,Acuses!$C$5:$C$3004,D$5),D$8)&lt;Resumen!$C$4,"Caducado",IF(EDATE(_xlfn.MAXIFS(Acuses!$D$5:$D$3004,Acuses!$A$5:$A$3004,$A66,Acuses!$B$5:$B$3004,D$4,Acuses!$C$5:$C$3004,D$5),D$8)&lt;Resumen!$C$4+30,"Caduca pronto","OK"))))))</f>
        <v/>
      </c>
      <c r="E66" s="26" t="str">
        <f aca="false">IF(OR($A66="",E$4=""),"",IF(NOT(OR(E$6="Toda la plantilla",ISNUMBER(SEARCH(";"&amp;SUBSTITUTE($C66," ","")&amp;";",";"&amp;SUBSTITUTE(E$7," ","")&amp;";")))),"—",IF(_xlfn.MAXIFS(Acuses!$C$5:$C$3004,Acuses!$A$5:$A$3004,$A66,Acuses!$B$5:$B$3004,E$4)&lt;E$5,"Pendiente",IF(E$8=0,"OK",IF(EDATE(_xlfn.MAXIFS(Acuses!$D$5:$D$3004,Acuses!$A$5:$A$3004,$A66,Acuses!$B$5:$B$3004,E$4,Acuses!$C$5:$C$3004,E$5),E$8)&lt;Resumen!$C$4,"Caducado",IF(EDATE(_xlfn.MAXIFS(Acuses!$D$5:$D$3004,Acuses!$A$5:$A$3004,$A66,Acuses!$B$5:$B$3004,E$4,Acuses!$C$5:$C$3004,E$5),E$8)&lt;Resumen!$C$4+30,"Caduca pronto","OK"))))))</f>
        <v/>
      </c>
      <c r="F66" s="26" t="str">
        <f aca="false">IF(OR($A66="",F$4=""),"",IF(NOT(OR(F$6="Toda la plantilla",ISNUMBER(SEARCH(";"&amp;SUBSTITUTE($C66," ","")&amp;";",";"&amp;SUBSTITUTE(F$7," ","")&amp;";")))),"—",IF(_xlfn.MAXIFS(Acuses!$C$5:$C$3004,Acuses!$A$5:$A$3004,$A66,Acuses!$B$5:$B$3004,F$4)&lt;F$5,"Pendiente",IF(F$8=0,"OK",IF(EDATE(_xlfn.MAXIFS(Acuses!$D$5:$D$3004,Acuses!$A$5:$A$3004,$A66,Acuses!$B$5:$B$3004,F$4,Acuses!$C$5:$C$3004,F$5),F$8)&lt;Resumen!$C$4,"Caducado",IF(EDATE(_xlfn.MAXIFS(Acuses!$D$5:$D$3004,Acuses!$A$5:$A$3004,$A66,Acuses!$B$5:$B$3004,F$4,Acuses!$C$5:$C$3004,F$5),F$8)&lt;Resumen!$C$4+30,"Caduca pronto","OK"))))))</f>
        <v/>
      </c>
      <c r="G66" s="26" t="str">
        <f aca="false">IF(OR($A66="",G$4=""),"",IF(NOT(OR(G$6="Toda la plantilla",ISNUMBER(SEARCH(";"&amp;SUBSTITUTE($C66," ","")&amp;";",";"&amp;SUBSTITUTE(G$7," ","")&amp;";")))),"—",IF(_xlfn.MAXIFS(Acuses!$C$5:$C$3004,Acuses!$A$5:$A$3004,$A66,Acuses!$B$5:$B$3004,G$4)&lt;G$5,"Pendiente",IF(G$8=0,"OK",IF(EDATE(_xlfn.MAXIFS(Acuses!$D$5:$D$3004,Acuses!$A$5:$A$3004,$A66,Acuses!$B$5:$B$3004,G$4,Acuses!$C$5:$C$3004,G$5),G$8)&lt;Resumen!$C$4,"Caducado",IF(EDATE(_xlfn.MAXIFS(Acuses!$D$5:$D$3004,Acuses!$A$5:$A$3004,$A66,Acuses!$B$5:$B$3004,G$4,Acuses!$C$5:$C$3004,G$5),G$8)&lt;Resumen!$C$4+30,"Caduca pronto","OK"))))))</f>
        <v/>
      </c>
      <c r="H66" s="26" t="str">
        <f aca="false">IF(OR($A66="",H$4=""),"",IF(NOT(OR(H$6="Toda la plantilla",ISNUMBER(SEARCH(";"&amp;SUBSTITUTE($C66," ","")&amp;";",";"&amp;SUBSTITUTE(H$7," ","")&amp;";")))),"—",IF(_xlfn.MAXIFS(Acuses!$C$5:$C$3004,Acuses!$A$5:$A$3004,$A66,Acuses!$B$5:$B$3004,H$4)&lt;H$5,"Pendiente",IF(H$8=0,"OK",IF(EDATE(_xlfn.MAXIFS(Acuses!$D$5:$D$3004,Acuses!$A$5:$A$3004,$A66,Acuses!$B$5:$B$3004,H$4,Acuses!$C$5:$C$3004,H$5),H$8)&lt;Resumen!$C$4,"Caducado",IF(EDATE(_xlfn.MAXIFS(Acuses!$D$5:$D$3004,Acuses!$A$5:$A$3004,$A66,Acuses!$B$5:$B$3004,H$4,Acuses!$C$5:$C$3004,H$5),H$8)&lt;Resumen!$C$4+30,"Caduca pronto","OK"))))))</f>
        <v/>
      </c>
      <c r="I66" s="26" t="str">
        <f aca="false">IF(OR($A66="",I$4=""),"",IF(NOT(OR(I$6="Toda la plantilla",ISNUMBER(SEARCH(";"&amp;SUBSTITUTE($C66," ","")&amp;";",";"&amp;SUBSTITUTE(I$7," ","")&amp;";")))),"—",IF(_xlfn.MAXIFS(Acuses!$C$5:$C$3004,Acuses!$A$5:$A$3004,$A66,Acuses!$B$5:$B$3004,I$4)&lt;I$5,"Pendiente",IF(I$8=0,"OK",IF(EDATE(_xlfn.MAXIFS(Acuses!$D$5:$D$3004,Acuses!$A$5:$A$3004,$A66,Acuses!$B$5:$B$3004,I$4,Acuses!$C$5:$C$3004,I$5),I$8)&lt;Resumen!$C$4,"Caducado",IF(EDATE(_xlfn.MAXIFS(Acuses!$D$5:$D$3004,Acuses!$A$5:$A$3004,$A66,Acuses!$B$5:$B$3004,I$4,Acuses!$C$5:$C$3004,I$5),I$8)&lt;Resumen!$C$4+30,"Caduca pronto","OK"))))))</f>
        <v/>
      </c>
      <c r="J66" s="26" t="str">
        <f aca="false">IF(OR($A66="",J$4=""),"",IF(NOT(OR(J$6="Toda la plantilla",ISNUMBER(SEARCH(";"&amp;SUBSTITUTE($C66," ","")&amp;";",";"&amp;SUBSTITUTE(J$7," ","")&amp;";")))),"—",IF(_xlfn.MAXIFS(Acuses!$C$5:$C$3004,Acuses!$A$5:$A$3004,$A66,Acuses!$B$5:$B$3004,J$4)&lt;J$5,"Pendiente",IF(J$8=0,"OK",IF(EDATE(_xlfn.MAXIFS(Acuses!$D$5:$D$3004,Acuses!$A$5:$A$3004,$A66,Acuses!$B$5:$B$3004,J$4,Acuses!$C$5:$C$3004,J$5),J$8)&lt;Resumen!$C$4,"Caducado",IF(EDATE(_xlfn.MAXIFS(Acuses!$D$5:$D$3004,Acuses!$A$5:$A$3004,$A66,Acuses!$B$5:$B$3004,J$4,Acuses!$C$5:$C$3004,J$5),J$8)&lt;Resumen!$C$4+30,"Caduca pronto","OK"))))))</f>
        <v/>
      </c>
      <c r="K66" s="26" t="str">
        <f aca="false">IF(OR($A66="",K$4=""),"",IF(NOT(OR(K$6="Toda la plantilla",ISNUMBER(SEARCH(";"&amp;SUBSTITUTE($C66," ","")&amp;";",";"&amp;SUBSTITUTE(K$7," ","")&amp;";")))),"—",IF(_xlfn.MAXIFS(Acuses!$C$5:$C$3004,Acuses!$A$5:$A$3004,$A66,Acuses!$B$5:$B$3004,K$4)&lt;K$5,"Pendiente",IF(K$8=0,"OK",IF(EDATE(_xlfn.MAXIFS(Acuses!$D$5:$D$3004,Acuses!$A$5:$A$3004,$A66,Acuses!$B$5:$B$3004,K$4,Acuses!$C$5:$C$3004,K$5),K$8)&lt;Resumen!$C$4,"Caducado",IF(EDATE(_xlfn.MAXIFS(Acuses!$D$5:$D$3004,Acuses!$A$5:$A$3004,$A66,Acuses!$B$5:$B$3004,K$4,Acuses!$C$5:$C$3004,K$5),K$8)&lt;Resumen!$C$4+30,"Caduca pronto","OK"))))))</f>
        <v/>
      </c>
      <c r="L66" s="26" t="str">
        <f aca="false">IF(OR($A66="",L$4=""),"",IF(NOT(OR(L$6="Toda la plantilla",ISNUMBER(SEARCH(";"&amp;SUBSTITUTE($C66," ","")&amp;";",";"&amp;SUBSTITUTE(L$7," ","")&amp;";")))),"—",IF(_xlfn.MAXIFS(Acuses!$C$5:$C$3004,Acuses!$A$5:$A$3004,$A66,Acuses!$B$5:$B$3004,L$4)&lt;L$5,"Pendiente",IF(L$8=0,"OK",IF(EDATE(_xlfn.MAXIFS(Acuses!$D$5:$D$3004,Acuses!$A$5:$A$3004,$A66,Acuses!$B$5:$B$3004,L$4,Acuses!$C$5:$C$3004,L$5),L$8)&lt;Resumen!$C$4,"Caducado",IF(EDATE(_xlfn.MAXIFS(Acuses!$D$5:$D$3004,Acuses!$A$5:$A$3004,$A66,Acuses!$B$5:$B$3004,L$4,Acuses!$C$5:$C$3004,L$5),L$8)&lt;Resumen!$C$4+30,"Caduca pronto","OK"))))))</f>
        <v/>
      </c>
      <c r="M66" s="26" t="str">
        <f aca="false">IF(OR($A66="",M$4=""),"",IF(NOT(OR(M$6="Toda la plantilla",ISNUMBER(SEARCH(";"&amp;SUBSTITUTE($C66," ","")&amp;";",";"&amp;SUBSTITUTE(M$7," ","")&amp;";")))),"—",IF(_xlfn.MAXIFS(Acuses!$C$5:$C$3004,Acuses!$A$5:$A$3004,$A66,Acuses!$B$5:$B$3004,M$4)&lt;M$5,"Pendiente",IF(M$8=0,"OK",IF(EDATE(_xlfn.MAXIFS(Acuses!$D$5:$D$3004,Acuses!$A$5:$A$3004,$A66,Acuses!$B$5:$B$3004,M$4,Acuses!$C$5:$C$3004,M$5),M$8)&lt;Resumen!$C$4,"Caducado",IF(EDATE(_xlfn.MAXIFS(Acuses!$D$5:$D$3004,Acuses!$A$5:$A$3004,$A66,Acuses!$B$5:$B$3004,M$4,Acuses!$C$5:$C$3004,M$5),M$8)&lt;Resumen!$C$4+30,"Caduca pronto","OK"))))))</f>
        <v/>
      </c>
      <c r="N66" s="26" t="str">
        <f aca="false">IF(OR($A66="",N$4=""),"",IF(NOT(OR(N$6="Toda la plantilla",ISNUMBER(SEARCH(";"&amp;SUBSTITUTE($C66," ","")&amp;";",";"&amp;SUBSTITUTE(N$7," ","")&amp;";")))),"—",IF(_xlfn.MAXIFS(Acuses!$C$5:$C$3004,Acuses!$A$5:$A$3004,$A66,Acuses!$B$5:$B$3004,N$4)&lt;N$5,"Pendiente",IF(N$8=0,"OK",IF(EDATE(_xlfn.MAXIFS(Acuses!$D$5:$D$3004,Acuses!$A$5:$A$3004,$A66,Acuses!$B$5:$B$3004,N$4,Acuses!$C$5:$C$3004,N$5),N$8)&lt;Resumen!$C$4,"Caducado",IF(EDATE(_xlfn.MAXIFS(Acuses!$D$5:$D$3004,Acuses!$A$5:$A$3004,$A66,Acuses!$B$5:$B$3004,N$4,Acuses!$C$5:$C$3004,N$5),N$8)&lt;Resumen!$C$4+30,"Caduca pronto","OK"))))))</f>
        <v/>
      </c>
      <c r="O66" s="26" t="str">
        <f aca="false">IF(OR($A66="",O$4=""),"",IF(NOT(OR(O$6="Toda la plantilla",ISNUMBER(SEARCH(";"&amp;SUBSTITUTE($C66," ","")&amp;";",";"&amp;SUBSTITUTE(O$7," ","")&amp;";")))),"—",IF(_xlfn.MAXIFS(Acuses!$C$5:$C$3004,Acuses!$A$5:$A$3004,$A66,Acuses!$B$5:$B$3004,O$4)&lt;O$5,"Pendiente",IF(O$8=0,"OK",IF(EDATE(_xlfn.MAXIFS(Acuses!$D$5:$D$3004,Acuses!$A$5:$A$3004,$A66,Acuses!$B$5:$B$3004,O$4,Acuses!$C$5:$C$3004,O$5),O$8)&lt;Resumen!$C$4,"Caducado",IF(EDATE(_xlfn.MAXIFS(Acuses!$D$5:$D$3004,Acuses!$A$5:$A$3004,$A66,Acuses!$B$5:$B$3004,O$4,Acuses!$C$5:$C$3004,O$5),O$8)&lt;Resumen!$C$4+30,"Caduca pronto","OK"))))))</f>
        <v/>
      </c>
      <c r="P66" s="26" t="str">
        <f aca="false">IF(OR($A66="",P$4=""),"",IF(NOT(OR(P$6="Toda la plantilla",ISNUMBER(SEARCH(";"&amp;SUBSTITUTE($C66," ","")&amp;";",";"&amp;SUBSTITUTE(P$7," ","")&amp;";")))),"—",IF(_xlfn.MAXIFS(Acuses!$C$5:$C$3004,Acuses!$A$5:$A$3004,$A66,Acuses!$B$5:$B$3004,P$4)&lt;P$5,"Pendiente",IF(P$8=0,"OK",IF(EDATE(_xlfn.MAXIFS(Acuses!$D$5:$D$3004,Acuses!$A$5:$A$3004,$A66,Acuses!$B$5:$B$3004,P$4,Acuses!$C$5:$C$3004,P$5),P$8)&lt;Resumen!$C$4,"Caducado",IF(EDATE(_xlfn.MAXIFS(Acuses!$D$5:$D$3004,Acuses!$A$5:$A$3004,$A66,Acuses!$B$5:$B$3004,P$4,Acuses!$C$5:$C$3004,P$5),P$8)&lt;Resumen!$C$4+30,"Caduca pronto","OK"))))))</f>
        <v/>
      </c>
      <c r="Q66" s="26" t="str">
        <f aca="false">IF(OR($A66="",Q$4=""),"",IF(NOT(OR(Q$6="Toda la plantilla",ISNUMBER(SEARCH(";"&amp;SUBSTITUTE($C66," ","")&amp;";",";"&amp;SUBSTITUTE(Q$7," ","")&amp;";")))),"—",IF(_xlfn.MAXIFS(Acuses!$C$5:$C$3004,Acuses!$A$5:$A$3004,$A66,Acuses!$B$5:$B$3004,Q$4)&lt;Q$5,"Pendiente",IF(Q$8=0,"OK",IF(EDATE(_xlfn.MAXIFS(Acuses!$D$5:$D$3004,Acuses!$A$5:$A$3004,$A66,Acuses!$B$5:$B$3004,Q$4,Acuses!$C$5:$C$3004,Q$5),Q$8)&lt;Resumen!$C$4,"Caducado",IF(EDATE(_xlfn.MAXIFS(Acuses!$D$5:$D$3004,Acuses!$A$5:$A$3004,$A66,Acuses!$B$5:$B$3004,Q$4,Acuses!$C$5:$C$3004,Q$5),Q$8)&lt;Resumen!$C$4+30,"Caduca pronto","OK"))))))</f>
        <v/>
      </c>
      <c r="R66" s="26" t="str">
        <f aca="false">IF(OR($A66="",R$4=""),"",IF(NOT(OR(R$6="Toda la plantilla",ISNUMBER(SEARCH(";"&amp;SUBSTITUTE($C66," ","")&amp;";",";"&amp;SUBSTITUTE(R$7," ","")&amp;";")))),"—",IF(_xlfn.MAXIFS(Acuses!$C$5:$C$3004,Acuses!$A$5:$A$3004,$A66,Acuses!$B$5:$B$3004,R$4)&lt;R$5,"Pendiente",IF(R$8=0,"OK",IF(EDATE(_xlfn.MAXIFS(Acuses!$D$5:$D$3004,Acuses!$A$5:$A$3004,$A66,Acuses!$B$5:$B$3004,R$4,Acuses!$C$5:$C$3004,R$5),R$8)&lt;Resumen!$C$4,"Caducado",IF(EDATE(_xlfn.MAXIFS(Acuses!$D$5:$D$3004,Acuses!$A$5:$A$3004,$A66,Acuses!$B$5:$B$3004,R$4,Acuses!$C$5:$C$3004,R$5),R$8)&lt;Resumen!$C$4+30,"Caduca pronto","OK"))))))</f>
        <v/>
      </c>
      <c r="S66" s="26" t="str">
        <f aca="false">IF(OR($A66="",S$4=""),"",IF(NOT(OR(S$6="Toda la plantilla",ISNUMBER(SEARCH(";"&amp;SUBSTITUTE($C66," ","")&amp;";",";"&amp;SUBSTITUTE(S$7," ","")&amp;";")))),"—",IF(_xlfn.MAXIFS(Acuses!$C$5:$C$3004,Acuses!$A$5:$A$3004,$A66,Acuses!$B$5:$B$3004,S$4)&lt;S$5,"Pendiente",IF(S$8=0,"OK",IF(EDATE(_xlfn.MAXIFS(Acuses!$D$5:$D$3004,Acuses!$A$5:$A$3004,$A66,Acuses!$B$5:$B$3004,S$4,Acuses!$C$5:$C$3004,S$5),S$8)&lt;Resumen!$C$4,"Caducado",IF(EDATE(_xlfn.MAXIFS(Acuses!$D$5:$D$3004,Acuses!$A$5:$A$3004,$A66,Acuses!$B$5:$B$3004,S$4,Acuses!$C$5:$C$3004,S$5),S$8)&lt;Resumen!$C$4+30,"Caduca pronto","OK"))))))</f>
        <v/>
      </c>
      <c r="T66" s="26" t="str">
        <f aca="false">IF(OR($A66="",T$4=""),"",IF(NOT(OR(T$6="Toda la plantilla",ISNUMBER(SEARCH(";"&amp;SUBSTITUTE($C66," ","")&amp;";",";"&amp;SUBSTITUTE(T$7," ","")&amp;";")))),"—",IF(_xlfn.MAXIFS(Acuses!$C$5:$C$3004,Acuses!$A$5:$A$3004,$A66,Acuses!$B$5:$B$3004,T$4)&lt;T$5,"Pendiente",IF(T$8=0,"OK",IF(EDATE(_xlfn.MAXIFS(Acuses!$D$5:$D$3004,Acuses!$A$5:$A$3004,$A66,Acuses!$B$5:$B$3004,T$4,Acuses!$C$5:$C$3004,T$5),T$8)&lt;Resumen!$C$4,"Caducado",IF(EDATE(_xlfn.MAXIFS(Acuses!$D$5:$D$3004,Acuses!$A$5:$A$3004,$A66,Acuses!$B$5:$B$3004,T$4,Acuses!$C$5:$C$3004,T$5),T$8)&lt;Resumen!$C$4+30,"Caduca pronto","OK"))))))</f>
        <v/>
      </c>
      <c r="U66" s="26" t="str">
        <f aca="false">IF(OR($A66="",U$4=""),"",IF(NOT(OR(U$6="Toda la plantilla",ISNUMBER(SEARCH(";"&amp;SUBSTITUTE($C66," ","")&amp;";",";"&amp;SUBSTITUTE(U$7," ","")&amp;";")))),"—",IF(_xlfn.MAXIFS(Acuses!$C$5:$C$3004,Acuses!$A$5:$A$3004,$A66,Acuses!$B$5:$B$3004,U$4)&lt;U$5,"Pendiente",IF(U$8=0,"OK",IF(EDATE(_xlfn.MAXIFS(Acuses!$D$5:$D$3004,Acuses!$A$5:$A$3004,$A66,Acuses!$B$5:$B$3004,U$4,Acuses!$C$5:$C$3004,U$5),U$8)&lt;Resumen!$C$4,"Caducado",IF(EDATE(_xlfn.MAXIFS(Acuses!$D$5:$D$3004,Acuses!$A$5:$A$3004,$A66,Acuses!$B$5:$B$3004,U$4,Acuses!$C$5:$C$3004,U$5),U$8)&lt;Resumen!$C$4+30,"Caduca pronto","OK"))))))</f>
        <v/>
      </c>
      <c r="V66" s="26" t="str">
        <f aca="false">IF(OR($A66="",V$4=""),"",IF(NOT(OR(V$6="Toda la plantilla",ISNUMBER(SEARCH(";"&amp;SUBSTITUTE($C66," ","")&amp;";",";"&amp;SUBSTITUTE(V$7," ","")&amp;";")))),"—",IF(_xlfn.MAXIFS(Acuses!$C$5:$C$3004,Acuses!$A$5:$A$3004,$A66,Acuses!$B$5:$B$3004,V$4)&lt;V$5,"Pendiente",IF(V$8=0,"OK",IF(EDATE(_xlfn.MAXIFS(Acuses!$D$5:$D$3004,Acuses!$A$5:$A$3004,$A66,Acuses!$B$5:$B$3004,V$4,Acuses!$C$5:$C$3004,V$5),V$8)&lt;Resumen!$C$4,"Caducado",IF(EDATE(_xlfn.MAXIFS(Acuses!$D$5:$D$3004,Acuses!$A$5:$A$3004,$A66,Acuses!$B$5:$B$3004,V$4,Acuses!$C$5:$C$3004,V$5),V$8)&lt;Resumen!$C$4+30,"Caduca pronto","OK"))))))</f>
        <v/>
      </c>
      <c r="W66" s="26" t="str">
        <f aca="false">IF(OR($A66="",W$4=""),"",IF(NOT(OR(W$6="Toda la plantilla",ISNUMBER(SEARCH(";"&amp;SUBSTITUTE($C66," ","")&amp;";",";"&amp;SUBSTITUTE(W$7," ","")&amp;";")))),"—",IF(_xlfn.MAXIFS(Acuses!$C$5:$C$3004,Acuses!$A$5:$A$3004,$A66,Acuses!$B$5:$B$3004,W$4)&lt;W$5,"Pendiente",IF(W$8=0,"OK",IF(EDATE(_xlfn.MAXIFS(Acuses!$D$5:$D$3004,Acuses!$A$5:$A$3004,$A66,Acuses!$B$5:$B$3004,W$4,Acuses!$C$5:$C$3004,W$5),W$8)&lt;Resumen!$C$4,"Caducado",IF(EDATE(_xlfn.MAXIFS(Acuses!$D$5:$D$3004,Acuses!$A$5:$A$3004,$A66,Acuses!$B$5:$B$3004,W$4,Acuses!$C$5:$C$3004,W$5),W$8)&lt;Resumen!$C$4+30,"Caduca pronto","OK"))))))</f>
        <v/>
      </c>
      <c r="X66" s="26" t="str">
        <f aca="false">IF(OR($A66="",X$4=""),"",IF(NOT(OR(X$6="Toda la plantilla",ISNUMBER(SEARCH(";"&amp;SUBSTITUTE($C66," ","")&amp;";",";"&amp;SUBSTITUTE(X$7," ","")&amp;";")))),"—",IF(_xlfn.MAXIFS(Acuses!$C$5:$C$3004,Acuses!$A$5:$A$3004,$A66,Acuses!$B$5:$B$3004,X$4)&lt;X$5,"Pendiente",IF(X$8=0,"OK",IF(EDATE(_xlfn.MAXIFS(Acuses!$D$5:$D$3004,Acuses!$A$5:$A$3004,$A66,Acuses!$B$5:$B$3004,X$4,Acuses!$C$5:$C$3004,X$5),X$8)&lt;Resumen!$C$4,"Caducado",IF(EDATE(_xlfn.MAXIFS(Acuses!$D$5:$D$3004,Acuses!$A$5:$A$3004,$A66,Acuses!$B$5:$B$3004,X$4,Acuses!$C$5:$C$3004,X$5),X$8)&lt;Resumen!$C$4+30,"Caduca pronto","OK"))))))</f>
        <v/>
      </c>
      <c r="Y66" s="26" t="str">
        <f aca="false">IF(OR($A66="",Y$4=""),"",IF(NOT(OR(Y$6="Toda la plantilla",ISNUMBER(SEARCH(";"&amp;SUBSTITUTE($C66," ","")&amp;";",";"&amp;SUBSTITUTE(Y$7," ","")&amp;";")))),"—",IF(_xlfn.MAXIFS(Acuses!$C$5:$C$3004,Acuses!$A$5:$A$3004,$A66,Acuses!$B$5:$B$3004,Y$4)&lt;Y$5,"Pendiente",IF(Y$8=0,"OK",IF(EDATE(_xlfn.MAXIFS(Acuses!$D$5:$D$3004,Acuses!$A$5:$A$3004,$A66,Acuses!$B$5:$B$3004,Y$4,Acuses!$C$5:$C$3004,Y$5),Y$8)&lt;Resumen!$C$4,"Caducado",IF(EDATE(_xlfn.MAXIFS(Acuses!$D$5:$D$3004,Acuses!$A$5:$A$3004,$A66,Acuses!$B$5:$B$3004,Y$4,Acuses!$C$5:$C$3004,Y$5),Y$8)&lt;Resumen!$C$4+30,"Caduca pronto","OK"))))))</f>
        <v/>
      </c>
      <c r="Z66" s="26" t="str">
        <f aca="false">IF(OR($A66="",Z$4=""),"",IF(NOT(OR(Z$6="Toda la plantilla",ISNUMBER(SEARCH(";"&amp;SUBSTITUTE($C66," ","")&amp;";",";"&amp;SUBSTITUTE(Z$7," ","")&amp;";")))),"—",IF(_xlfn.MAXIFS(Acuses!$C$5:$C$3004,Acuses!$A$5:$A$3004,$A66,Acuses!$B$5:$B$3004,Z$4)&lt;Z$5,"Pendiente",IF(Z$8=0,"OK",IF(EDATE(_xlfn.MAXIFS(Acuses!$D$5:$D$3004,Acuses!$A$5:$A$3004,$A66,Acuses!$B$5:$B$3004,Z$4,Acuses!$C$5:$C$3004,Z$5),Z$8)&lt;Resumen!$C$4,"Caducado",IF(EDATE(_xlfn.MAXIFS(Acuses!$D$5:$D$3004,Acuses!$A$5:$A$3004,$A66,Acuses!$B$5:$B$3004,Z$4,Acuses!$C$5:$C$3004,Z$5),Z$8)&lt;Resumen!$C$4+30,"Caduca pronto","OK"))))))</f>
        <v/>
      </c>
      <c r="AA66" s="26" t="str">
        <f aca="false">IF(OR($A66="",AA$4=""),"",IF(NOT(OR(AA$6="Toda la plantilla",ISNUMBER(SEARCH(";"&amp;SUBSTITUTE($C66," ","")&amp;";",";"&amp;SUBSTITUTE(AA$7," ","")&amp;";")))),"—",IF(_xlfn.MAXIFS(Acuses!$C$5:$C$3004,Acuses!$A$5:$A$3004,$A66,Acuses!$B$5:$B$3004,AA$4)&lt;AA$5,"Pendiente",IF(AA$8=0,"OK",IF(EDATE(_xlfn.MAXIFS(Acuses!$D$5:$D$3004,Acuses!$A$5:$A$3004,$A66,Acuses!$B$5:$B$3004,AA$4,Acuses!$C$5:$C$3004,AA$5),AA$8)&lt;Resumen!$C$4,"Caducado",IF(EDATE(_xlfn.MAXIFS(Acuses!$D$5:$D$3004,Acuses!$A$5:$A$3004,$A66,Acuses!$B$5:$B$3004,AA$4,Acuses!$C$5:$C$3004,AA$5),AA$8)&lt;Resumen!$C$4+30,"Caduca pronto","OK"))))))</f>
        <v/>
      </c>
      <c r="AB66" s="26" t="str">
        <f aca="false">IF(OR($A66="",AB$4=""),"",IF(NOT(OR(AB$6="Toda la plantilla",ISNUMBER(SEARCH(";"&amp;SUBSTITUTE($C66," ","")&amp;";",";"&amp;SUBSTITUTE(AB$7," ","")&amp;";")))),"—",IF(_xlfn.MAXIFS(Acuses!$C$5:$C$3004,Acuses!$A$5:$A$3004,$A66,Acuses!$B$5:$B$3004,AB$4)&lt;AB$5,"Pendiente",IF(AB$8=0,"OK",IF(EDATE(_xlfn.MAXIFS(Acuses!$D$5:$D$3004,Acuses!$A$5:$A$3004,$A66,Acuses!$B$5:$B$3004,AB$4,Acuses!$C$5:$C$3004,AB$5),AB$8)&lt;Resumen!$C$4,"Caducado",IF(EDATE(_xlfn.MAXIFS(Acuses!$D$5:$D$3004,Acuses!$A$5:$A$3004,$A66,Acuses!$B$5:$B$3004,AB$4,Acuses!$C$5:$C$3004,AB$5),AB$8)&lt;Resumen!$C$4+30,"Caduca pronto","OK"))))))</f>
        <v/>
      </c>
      <c r="AC66" s="26" t="str">
        <f aca="false">IF(OR($A66="",AC$4=""),"",IF(NOT(OR(AC$6="Toda la plantilla",ISNUMBER(SEARCH(";"&amp;SUBSTITUTE($C66," ","")&amp;";",";"&amp;SUBSTITUTE(AC$7," ","")&amp;";")))),"—",IF(_xlfn.MAXIFS(Acuses!$C$5:$C$3004,Acuses!$A$5:$A$3004,$A66,Acuses!$B$5:$B$3004,AC$4)&lt;AC$5,"Pendiente",IF(AC$8=0,"OK",IF(EDATE(_xlfn.MAXIFS(Acuses!$D$5:$D$3004,Acuses!$A$5:$A$3004,$A66,Acuses!$B$5:$B$3004,AC$4,Acuses!$C$5:$C$3004,AC$5),AC$8)&lt;Resumen!$C$4,"Caducado",IF(EDATE(_xlfn.MAXIFS(Acuses!$D$5:$D$3004,Acuses!$A$5:$A$3004,$A66,Acuses!$B$5:$B$3004,AC$4,Acuses!$C$5:$C$3004,AC$5),AC$8)&lt;Resumen!$C$4+30,"Caduca pronto","OK"))))))</f>
        <v/>
      </c>
      <c r="AD66" s="26" t="str">
        <f aca="false">IF(OR($A66="",AD$4=""),"",IF(NOT(OR(AD$6="Toda la plantilla",ISNUMBER(SEARCH(";"&amp;SUBSTITUTE($C66," ","")&amp;";",";"&amp;SUBSTITUTE(AD$7," ","")&amp;";")))),"—",IF(_xlfn.MAXIFS(Acuses!$C$5:$C$3004,Acuses!$A$5:$A$3004,$A66,Acuses!$B$5:$B$3004,AD$4)&lt;AD$5,"Pendiente",IF(AD$8=0,"OK",IF(EDATE(_xlfn.MAXIFS(Acuses!$D$5:$D$3004,Acuses!$A$5:$A$3004,$A66,Acuses!$B$5:$B$3004,AD$4,Acuses!$C$5:$C$3004,AD$5),AD$8)&lt;Resumen!$C$4,"Caducado",IF(EDATE(_xlfn.MAXIFS(Acuses!$D$5:$D$3004,Acuses!$A$5:$A$3004,$A66,Acuses!$B$5:$B$3004,AD$4,Acuses!$C$5:$C$3004,AD$5),AD$8)&lt;Resumen!$C$4+30,"Caduca pronto","OK"))))))</f>
        <v/>
      </c>
      <c r="AE66" s="26" t="str">
        <f aca="false">IF(OR($A66="",AE$4=""),"",IF(NOT(OR(AE$6="Toda la plantilla",ISNUMBER(SEARCH(";"&amp;SUBSTITUTE($C66," ","")&amp;";",";"&amp;SUBSTITUTE(AE$7," ","")&amp;";")))),"—",IF(_xlfn.MAXIFS(Acuses!$C$5:$C$3004,Acuses!$A$5:$A$3004,$A66,Acuses!$B$5:$B$3004,AE$4)&lt;AE$5,"Pendiente",IF(AE$8=0,"OK",IF(EDATE(_xlfn.MAXIFS(Acuses!$D$5:$D$3004,Acuses!$A$5:$A$3004,$A66,Acuses!$B$5:$B$3004,AE$4,Acuses!$C$5:$C$3004,AE$5),AE$8)&lt;Resumen!$C$4,"Caducado",IF(EDATE(_xlfn.MAXIFS(Acuses!$D$5:$D$3004,Acuses!$A$5:$A$3004,$A66,Acuses!$B$5:$B$3004,AE$4,Acuses!$C$5:$C$3004,AE$5),AE$8)&lt;Resumen!$C$4+30,"Caduca pronto","OK"))))))</f>
        <v/>
      </c>
      <c r="AF66" s="26" t="str">
        <f aca="false">IF(OR($A66="",AF$4=""),"",IF(NOT(OR(AF$6="Toda la plantilla",ISNUMBER(SEARCH(";"&amp;SUBSTITUTE($C66," ","")&amp;";",";"&amp;SUBSTITUTE(AF$7," ","")&amp;";")))),"—",IF(_xlfn.MAXIFS(Acuses!$C$5:$C$3004,Acuses!$A$5:$A$3004,$A66,Acuses!$B$5:$B$3004,AF$4)&lt;AF$5,"Pendiente",IF(AF$8=0,"OK",IF(EDATE(_xlfn.MAXIFS(Acuses!$D$5:$D$3004,Acuses!$A$5:$A$3004,$A66,Acuses!$B$5:$B$3004,AF$4,Acuses!$C$5:$C$3004,AF$5),AF$8)&lt;Resumen!$C$4,"Caducado",IF(EDATE(_xlfn.MAXIFS(Acuses!$D$5:$D$3004,Acuses!$A$5:$A$3004,$A66,Acuses!$B$5:$B$3004,AF$4,Acuses!$C$5:$C$3004,AF$5),AF$8)&lt;Resumen!$C$4+30,"Caduca pronto","OK"))))))</f>
        <v/>
      </c>
      <c r="AG66" s="26" t="str">
        <f aca="false">IF(OR($A66="",AG$4=""),"",IF(NOT(OR(AG$6="Toda la plantilla",ISNUMBER(SEARCH(";"&amp;SUBSTITUTE($C66," ","")&amp;";",";"&amp;SUBSTITUTE(AG$7," ","")&amp;";")))),"—",IF(_xlfn.MAXIFS(Acuses!$C$5:$C$3004,Acuses!$A$5:$A$3004,$A66,Acuses!$B$5:$B$3004,AG$4)&lt;AG$5,"Pendiente",IF(AG$8=0,"OK",IF(EDATE(_xlfn.MAXIFS(Acuses!$D$5:$D$3004,Acuses!$A$5:$A$3004,$A66,Acuses!$B$5:$B$3004,AG$4,Acuses!$C$5:$C$3004,AG$5),AG$8)&lt;Resumen!$C$4,"Caducado",IF(EDATE(_xlfn.MAXIFS(Acuses!$D$5:$D$3004,Acuses!$A$5:$A$3004,$A66,Acuses!$B$5:$B$3004,AG$4,Acuses!$C$5:$C$3004,AG$5),AG$8)&lt;Resumen!$C$4+30,"Caduca pronto","OK"))))))</f>
        <v/>
      </c>
      <c r="AH66" s="26" t="str">
        <f aca="false">IF(OR($A66="",AH$4=""),"",IF(NOT(OR(AH$6="Toda la plantilla",ISNUMBER(SEARCH(";"&amp;SUBSTITUTE($C66," ","")&amp;";",";"&amp;SUBSTITUTE(AH$7," ","")&amp;";")))),"—",IF(_xlfn.MAXIFS(Acuses!$C$5:$C$3004,Acuses!$A$5:$A$3004,$A66,Acuses!$B$5:$B$3004,AH$4)&lt;AH$5,"Pendiente",IF(AH$8=0,"OK",IF(EDATE(_xlfn.MAXIFS(Acuses!$D$5:$D$3004,Acuses!$A$5:$A$3004,$A66,Acuses!$B$5:$B$3004,AH$4,Acuses!$C$5:$C$3004,AH$5),AH$8)&lt;Resumen!$C$4,"Caducado",IF(EDATE(_xlfn.MAXIFS(Acuses!$D$5:$D$3004,Acuses!$A$5:$A$3004,$A66,Acuses!$B$5:$B$3004,AH$4,Acuses!$C$5:$C$3004,AH$5),AH$8)&lt;Resumen!$C$4+30,"Caduca pronto","OK"))))))</f>
        <v/>
      </c>
      <c r="AI66" s="26" t="str">
        <f aca="false">IF(OR($A66="",AI$4=""),"",IF(NOT(OR(AI$6="Toda la plantilla",ISNUMBER(SEARCH(";"&amp;SUBSTITUTE($C66," ","")&amp;";",";"&amp;SUBSTITUTE(AI$7," ","")&amp;";")))),"—",IF(_xlfn.MAXIFS(Acuses!$C$5:$C$3004,Acuses!$A$5:$A$3004,$A66,Acuses!$B$5:$B$3004,AI$4)&lt;AI$5,"Pendiente",IF(AI$8=0,"OK",IF(EDATE(_xlfn.MAXIFS(Acuses!$D$5:$D$3004,Acuses!$A$5:$A$3004,$A66,Acuses!$B$5:$B$3004,AI$4,Acuses!$C$5:$C$3004,AI$5),AI$8)&lt;Resumen!$C$4,"Caducado",IF(EDATE(_xlfn.MAXIFS(Acuses!$D$5:$D$3004,Acuses!$A$5:$A$3004,$A66,Acuses!$B$5:$B$3004,AI$4,Acuses!$C$5:$C$3004,AI$5),AI$8)&lt;Resumen!$C$4+30,"Caduca pronto","OK"))))))</f>
        <v/>
      </c>
      <c r="AJ66" s="26" t="str">
        <f aca="false">IF(OR($A66="",AJ$4=""),"",IF(NOT(OR(AJ$6="Toda la plantilla",ISNUMBER(SEARCH(";"&amp;SUBSTITUTE($C66," ","")&amp;";",";"&amp;SUBSTITUTE(AJ$7," ","")&amp;";")))),"—",IF(_xlfn.MAXIFS(Acuses!$C$5:$C$3004,Acuses!$A$5:$A$3004,$A66,Acuses!$B$5:$B$3004,AJ$4)&lt;AJ$5,"Pendiente",IF(AJ$8=0,"OK",IF(EDATE(_xlfn.MAXIFS(Acuses!$D$5:$D$3004,Acuses!$A$5:$A$3004,$A66,Acuses!$B$5:$B$3004,AJ$4,Acuses!$C$5:$C$3004,AJ$5),AJ$8)&lt;Resumen!$C$4,"Caducado",IF(EDATE(_xlfn.MAXIFS(Acuses!$D$5:$D$3004,Acuses!$A$5:$A$3004,$A66,Acuses!$B$5:$B$3004,AJ$4,Acuses!$C$5:$C$3004,AJ$5),AJ$8)&lt;Resumen!$C$4+30,"Caduca pronto","OK"))))))</f>
        <v/>
      </c>
      <c r="AK66" s="26" t="str">
        <f aca="false">IF(OR($A66="",AK$4=""),"",IF(NOT(OR(AK$6="Toda la plantilla",ISNUMBER(SEARCH(";"&amp;SUBSTITUTE($C66," ","")&amp;";",";"&amp;SUBSTITUTE(AK$7," ","")&amp;";")))),"—",IF(_xlfn.MAXIFS(Acuses!$C$5:$C$3004,Acuses!$A$5:$A$3004,$A66,Acuses!$B$5:$B$3004,AK$4)&lt;AK$5,"Pendiente",IF(AK$8=0,"OK",IF(EDATE(_xlfn.MAXIFS(Acuses!$D$5:$D$3004,Acuses!$A$5:$A$3004,$A66,Acuses!$B$5:$B$3004,AK$4,Acuses!$C$5:$C$3004,AK$5),AK$8)&lt;Resumen!$C$4,"Caducado",IF(EDATE(_xlfn.MAXIFS(Acuses!$D$5:$D$3004,Acuses!$A$5:$A$3004,$A66,Acuses!$B$5:$B$3004,AK$4,Acuses!$C$5:$C$3004,AK$5),AK$8)&lt;Resumen!$C$4+30,"Caduca pronto","OK"))))))</f>
        <v/>
      </c>
      <c r="AL66" s="26" t="str">
        <f aca="false">IF(OR($A66="",AL$4=""),"",IF(NOT(OR(AL$6="Toda la plantilla",ISNUMBER(SEARCH(";"&amp;SUBSTITUTE($C66," ","")&amp;";",";"&amp;SUBSTITUTE(AL$7," ","")&amp;";")))),"—",IF(_xlfn.MAXIFS(Acuses!$C$5:$C$3004,Acuses!$A$5:$A$3004,$A66,Acuses!$B$5:$B$3004,AL$4)&lt;AL$5,"Pendiente",IF(AL$8=0,"OK",IF(EDATE(_xlfn.MAXIFS(Acuses!$D$5:$D$3004,Acuses!$A$5:$A$3004,$A66,Acuses!$B$5:$B$3004,AL$4,Acuses!$C$5:$C$3004,AL$5),AL$8)&lt;Resumen!$C$4,"Caducado",IF(EDATE(_xlfn.MAXIFS(Acuses!$D$5:$D$3004,Acuses!$A$5:$A$3004,$A66,Acuses!$B$5:$B$3004,AL$4,Acuses!$C$5:$C$3004,AL$5),AL$8)&lt;Resumen!$C$4+30,"Caduca pronto","OK"))))))</f>
        <v/>
      </c>
      <c r="AM66" s="26" t="str">
        <f aca="false">IF(OR($A66="",AM$4=""),"",IF(NOT(OR(AM$6="Toda la plantilla",ISNUMBER(SEARCH(";"&amp;SUBSTITUTE($C66," ","")&amp;";",";"&amp;SUBSTITUTE(AM$7," ","")&amp;";")))),"—",IF(_xlfn.MAXIFS(Acuses!$C$5:$C$3004,Acuses!$A$5:$A$3004,$A66,Acuses!$B$5:$B$3004,AM$4)&lt;AM$5,"Pendiente",IF(AM$8=0,"OK",IF(EDATE(_xlfn.MAXIFS(Acuses!$D$5:$D$3004,Acuses!$A$5:$A$3004,$A66,Acuses!$B$5:$B$3004,AM$4,Acuses!$C$5:$C$3004,AM$5),AM$8)&lt;Resumen!$C$4,"Caducado",IF(EDATE(_xlfn.MAXIFS(Acuses!$D$5:$D$3004,Acuses!$A$5:$A$3004,$A66,Acuses!$B$5:$B$3004,AM$4,Acuses!$C$5:$C$3004,AM$5),AM$8)&lt;Resumen!$C$4+30,"Caduca pronto","OK"))))))</f>
        <v/>
      </c>
      <c r="AN66" s="26" t="str">
        <f aca="false">IF(OR($A66="",AN$4=""),"",IF(NOT(OR(AN$6="Toda la plantilla",ISNUMBER(SEARCH(";"&amp;SUBSTITUTE($C66," ","")&amp;";",";"&amp;SUBSTITUTE(AN$7," ","")&amp;";")))),"—",IF(_xlfn.MAXIFS(Acuses!$C$5:$C$3004,Acuses!$A$5:$A$3004,$A66,Acuses!$B$5:$B$3004,AN$4)&lt;AN$5,"Pendiente",IF(AN$8=0,"OK",IF(EDATE(_xlfn.MAXIFS(Acuses!$D$5:$D$3004,Acuses!$A$5:$A$3004,$A66,Acuses!$B$5:$B$3004,AN$4,Acuses!$C$5:$C$3004,AN$5),AN$8)&lt;Resumen!$C$4,"Caducado",IF(EDATE(_xlfn.MAXIFS(Acuses!$D$5:$D$3004,Acuses!$A$5:$A$3004,$A66,Acuses!$B$5:$B$3004,AN$4,Acuses!$C$5:$C$3004,AN$5),AN$8)&lt;Resumen!$C$4+30,"Caduca pronto","OK"))))))</f>
        <v/>
      </c>
      <c r="AO66" s="26" t="str">
        <f aca="false">IF(OR($A66="",AO$4=""),"",IF(NOT(OR(AO$6="Toda la plantilla",ISNUMBER(SEARCH(";"&amp;SUBSTITUTE($C66," ","")&amp;";",";"&amp;SUBSTITUTE(AO$7," ","")&amp;";")))),"—",IF(_xlfn.MAXIFS(Acuses!$C$5:$C$3004,Acuses!$A$5:$A$3004,$A66,Acuses!$B$5:$B$3004,AO$4)&lt;AO$5,"Pendiente",IF(AO$8=0,"OK",IF(EDATE(_xlfn.MAXIFS(Acuses!$D$5:$D$3004,Acuses!$A$5:$A$3004,$A66,Acuses!$B$5:$B$3004,AO$4,Acuses!$C$5:$C$3004,AO$5),AO$8)&lt;Resumen!$C$4,"Caducado",IF(EDATE(_xlfn.MAXIFS(Acuses!$D$5:$D$3004,Acuses!$A$5:$A$3004,$A66,Acuses!$B$5:$B$3004,AO$4,Acuses!$C$5:$C$3004,AO$5),AO$8)&lt;Resumen!$C$4+30,"Caduca pronto","OK"))))))</f>
        <v/>
      </c>
      <c r="AP66" s="26" t="str">
        <f aca="false">IF(OR($A66="",AP$4=""),"",IF(NOT(OR(AP$6="Toda la plantilla",ISNUMBER(SEARCH(";"&amp;SUBSTITUTE($C66," ","")&amp;";",";"&amp;SUBSTITUTE(AP$7," ","")&amp;";")))),"—",IF(_xlfn.MAXIFS(Acuses!$C$5:$C$3004,Acuses!$A$5:$A$3004,$A66,Acuses!$B$5:$B$3004,AP$4)&lt;AP$5,"Pendiente",IF(AP$8=0,"OK",IF(EDATE(_xlfn.MAXIFS(Acuses!$D$5:$D$3004,Acuses!$A$5:$A$3004,$A66,Acuses!$B$5:$B$3004,AP$4,Acuses!$C$5:$C$3004,AP$5),AP$8)&lt;Resumen!$C$4,"Caducado",IF(EDATE(_xlfn.MAXIFS(Acuses!$D$5:$D$3004,Acuses!$A$5:$A$3004,$A66,Acuses!$B$5:$B$3004,AP$4,Acuses!$C$5:$C$3004,AP$5),AP$8)&lt;Resumen!$C$4+30,"Caduca pronto","OK"))))))</f>
        <v/>
      </c>
      <c r="AQ66" s="26" t="str">
        <f aca="false">IF(OR($A66="",AQ$4=""),"",IF(NOT(OR(AQ$6="Toda la plantilla",ISNUMBER(SEARCH(";"&amp;SUBSTITUTE($C66," ","")&amp;";",";"&amp;SUBSTITUTE(AQ$7," ","")&amp;";")))),"—",IF(_xlfn.MAXIFS(Acuses!$C$5:$C$3004,Acuses!$A$5:$A$3004,$A66,Acuses!$B$5:$B$3004,AQ$4)&lt;AQ$5,"Pendiente",IF(AQ$8=0,"OK",IF(EDATE(_xlfn.MAXIFS(Acuses!$D$5:$D$3004,Acuses!$A$5:$A$3004,$A66,Acuses!$B$5:$B$3004,AQ$4,Acuses!$C$5:$C$3004,AQ$5),AQ$8)&lt;Resumen!$C$4,"Caducado",IF(EDATE(_xlfn.MAXIFS(Acuses!$D$5:$D$3004,Acuses!$A$5:$A$3004,$A66,Acuses!$B$5:$B$3004,AQ$4,Acuses!$C$5:$C$3004,AQ$5),AQ$8)&lt;Resumen!$C$4+30,"Caduca pronto","OK"))))))</f>
        <v/>
      </c>
    </row>
    <row r="67" customFormat="false" ht="15" hidden="false" customHeight="false" outlineLevel="0" collapsed="false">
      <c r="A67" s="25" t="str">
        <f aca="false">IF(AND(Trabajadores!$A$62&lt;&gt;"",Trabajadores!$G$62&lt;&gt;"No"),Trabajadores!$A$62,"")</f>
        <v/>
      </c>
      <c r="B67" s="25" t="str">
        <f aca="false">IF($A67="","",Trabajadores!$B$62)</f>
        <v/>
      </c>
      <c r="C67" s="25" t="str">
        <f aca="false">IF($A67="","",Trabajadores!$C$62)</f>
        <v/>
      </c>
      <c r="D67" s="26" t="str">
        <f aca="false">IF(OR($A67="",D$4=""),"",IF(NOT(OR(D$6="Toda la plantilla",ISNUMBER(SEARCH(";"&amp;SUBSTITUTE($C67," ","")&amp;";",";"&amp;SUBSTITUTE(D$7," ","")&amp;";")))),"—",IF(_xlfn.MAXIFS(Acuses!$C$5:$C$3004,Acuses!$A$5:$A$3004,$A67,Acuses!$B$5:$B$3004,D$4)&lt;D$5,"Pendiente",IF(D$8=0,"OK",IF(EDATE(_xlfn.MAXIFS(Acuses!$D$5:$D$3004,Acuses!$A$5:$A$3004,$A67,Acuses!$B$5:$B$3004,D$4,Acuses!$C$5:$C$3004,D$5),D$8)&lt;Resumen!$C$4,"Caducado",IF(EDATE(_xlfn.MAXIFS(Acuses!$D$5:$D$3004,Acuses!$A$5:$A$3004,$A67,Acuses!$B$5:$B$3004,D$4,Acuses!$C$5:$C$3004,D$5),D$8)&lt;Resumen!$C$4+30,"Caduca pronto","OK"))))))</f>
        <v/>
      </c>
      <c r="E67" s="26" t="str">
        <f aca="false">IF(OR($A67="",E$4=""),"",IF(NOT(OR(E$6="Toda la plantilla",ISNUMBER(SEARCH(";"&amp;SUBSTITUTE($C67," ","")&amp;";",";"&amp;SUBSTITUTE(E$7," ","")&amp;";")))),"—",IF(_xlfn.MAXIFS(Acuses!$C$5:$C$3004,Acuses!$A$5:$A$3004,$A67,Acuses!$B$5:$B$3004,E$4)&lt;E$5,"Pendiente",IF(E$8=0,"OK",IF(EDATE(_xlfn.MAXIFS(Acuses!$D$5:$D$3004,Acuses!$A$5:$A$3004,$A67,Acuses!$B$5:$B$3004,E$4,Acuses!$C$5:$C$3004,E$5),E$8)&lt;Resumen!$C$4,"Caducado",IF(EDATE(_xlfn.MAXIFS(Acuses!$D$5:$D$3004,Acuses!$A$5:$A$3004,$A67,Acuses!$B$5:$B$3004,E$4,Acuses!$C$5:$C$3004,E$5),E$8)&lt;Resumen!$C$4+30,"Caduca pronto","OK"))))))</f>
        <v/>
      </c>
      <c r="F67" s="26" t="str">
        <f aca="false">IF(OR($A67="",F$4=""),"",IF(NOT(OR(F$6="Toda la plantilla",ISNUMBER(SEARCH(";"&amp;SUBSTITUTE($C67," ","")&amp;";",";"&amp;SUBSTITUTE(F$7," ","")&amp;";")))),"—",IF(_xlfn.MAXIFS(Acuses!$C$5:$C$3004,Acuses!$A$5:$A$3004,$A67,Acuses!$B$5:$B$3004,F$4)&lt;F$5,"Pendiente",IF(F$8=0,"OK",IF(EDATE(_xlfn.MAXIFS(Acuses!$D$5:$D$3004,Acuses!$A$5:$A$3004,$A67,Acuses!$B$5:$B$3004,F$4,Acuses!$C$5:$C$3004,F$5),F$8)&lt;Resumen!$C$4,"Caducado",IF(EDATE(_xlfn.MAXIFS(Acuses!$D$5:$D$3004,Acuses!$A$5:$A$3004,$A67,Acuses!$B$5:$B$3004,F$4,Acuses!$C$5:$C$3004,F$5),F$8)&lt;Resumen!$C$4+30,"Caduca pronto","OK"))))))</f>
        <v/>
      </c>
      <c r="G67" s="26" t="str">
        <f aca="false">IF(OR($A67="",G$4=""),"",IF(NOT(OR(G$6="Toda la plantilla",ISNUMBER(SEARCH(";"&amp;SUBSTITUTE($C67," ","")&amp;";",";"&amp;SUBSTITUTE(G$7," ","")&amp;";")))),"—",IF(_xlfn.MAXIFS(Acuses!$C$5:$C$3004,Acuses!$A$5:$A$3004,$A67,Acuses!$B$5:$B$3004,G$4)&lt;G$5,"Pendiente",IF(G$8=0,"OK",IF(EDATE(_xlfn.MAXIFS(Acuses!$D$5:$D$3004,Acuses!$A$5:$A$3004,$A67,Acuses!$B$5:$B$3004,G$4,Acuses!$C$5:$C$3004,G$5),G$8)&lt;Resumen!$C$4,"Caducado",IF(EDATE(_xlfn.MAXIFS(Acuses!$D$5:$D$3004,Acuses!$A$5:$A$3004,$A67,Acuses!$B$5:$B$3004,G$4,Acuses!$C$5:$C$3004,G$5),G$8)&lt;Resumen!$C$4+30,"Caduca pronto","OK"))))))</f>
        <v/>
      </c>
      <c r="H67" s="26" t="str">
        <f aca="false">IF(OR($A67="",H$4=""),"",IF(NOT(OR(H$6="Toda la plantilla",ISNUMBER(SEARCH(";"&amp;SUBSTITUTE($C67," ","")&amp;";",";"&amp;SUBSTITUTE(H$7," ","")&amp;";")))),"—",IF(_xlfn.MAXIFS(Acuses!$C$5:$C$3004,Acuses!$A$5:$A$3004,$A67,Acuses!$B$5:$B$3004,H$4)&lt;H$5,"Pendiente",IF(H$8=0,"OK",IF(EDATE(_xlfn.MAXIFS(Acuses!$D$5:$D$3004,Acuses!$A$5:$A$3004,$A67,Acuses!$B$5:$B$3004,H$4,Acuses!$C$5:$C$3004,H$5),H$8)&lt;Resumen!$C$4,"Caducado",IF(EDATE(_xlfn.MAXIFS(Acuses!$D$5:$D$3004,Acuses!$A$5:$A$3004,$A67,Acuses!$B$5:$B$3004,H$4,Acuses!$C$5:$C$3004,H$5),H$8)&lt;Resumen!$C$4+30,"Caduca pronto","OK"))))))</f>
        <v/>
      </c>
      <c r="I67" s="26" t="str">
        <f aca="false">IF(OR($A67="",I$4=""),"",IF(NOT(OR(I$6="Toda la plantilla",ISNUMBER(SEARCH(";"&amp;SUBSTITUTE($C67," ","")&amp;";",";"&amp;SUBSTITUTE(I$7," ","")&amp;";")))),"—",IF(_xlfn.MAXIFS(Acuses!$C$5:$C$3004,Acuses!$A$5:$A$3004,$A67,Acuses!$B$5:$B$3004,I$4)&lt;I$5,"Pendiente",IF(I$8=0,"OK",IF(EDATE(_xlfn.MAXIFS(Acuses!$D$5:$D$3004,Acuses!$A$5:$A$3004,$A67,Acuses!$B$5:$B$3004,I$4,Acuses!$C$5:$C$3004,I$5),I$8)&lt;Resumen!$C$4,"Caducado",IF(EDATE(_xlfn.MAXIFS(Acuses!$D$5:$D$3004,Acuses!$A$5:$A$3004,$A67,Acuses!$B$5:$B$3004,I$4,Acuses!$C$5:$C$3004,I$5),I$8)&lt;Resumen!$C$4+30,"Caduca pronto","OK"))))))</f>
        <v/>
      </c>
      <c r="J67" s="26" t="str">
        <f aca="false">IF(OR($A67="",J$4=""),"",IF(NOT(OR(J$6="Toda la plantilla",ISNUMBER(SEARCH(";"&amp;SUBSTITUTE($C67," ","")&amp;";",";"&amp;SUBSTITUTE(J$7," ","")&amp;";")))),"—",IF(_xlfn.MAXIFS(Acuses!$C$5:$C$3004,Acuses!$A$5:$A$3004,$A67,Acuses!$B$5:$B$3004,J$4)&lt;J$5,"Pendiente",IF(J$8=0,"OK",IF(EDATE(_xlfn.MAXIFS(Acuses!$D$5:$D$3004,Acuses!$A$5:$A$3004,$A67,Acuses!$B$5:$B$3004,J$4,Acuses!$C$5:$C$3004,J$5),J$8)&lt;Resumen!$C$4,"Caducado",IF(EDATE(_xlfn.MAXIFS(Acuses!$D$5:$D$3004,Acuses!$A$5:$A$3004,$A67,Acuses!$B$5:$B$3004,J$4,Acuses!$C$5:$C$3004,J$5),J$8)&lt;Resumen!$C$4+30,"Caduca pronto","OK"))))))</f>
        <v/>
      </c>
      <c r="K67" s="26" t="str">
        <f aca="false">IF(OR($A67="",K$4=""),"",IF(NOT(OR(K$6="Toda la plantilla",ISNUMBER(SEARCH(";"&amp;SUBSTITUTE($C67," ","")&amp;";",";"&amp;SUBSTITUTE(K$7," ","")&amp;";")))),"—",IF(_xlfn.MAXIFS(Acuses!$C$5:$C$3004,Acuses!$A$5:$A$3004,$A67,Acuses!$B$5:$B$3004,K$4)&lt;K$5,"Pendiente",IF(K$8=0,"OK",IF(EDATE(_xlfn.MAXIFS(Acuses!$D$5:$D$3004,Acuses!$A$5:$A$3004,$A67,Acuses!$B$5:$B$3004,K$4,Acuses!$C$5:$C$3004,K$5),K$8)&lt;Resumen!$C$4,"Caducado",IF(EDATE(_xlfn.MAXIFS(Acuses!$D$5:$D$3004,Acuses!$A$5:$A$3004,$A67,Acuses!$B$5:$B$3004,K$4,Acuses!$C$5:$C$3004,K$5),K$8)&lt;Resumen!$C$4+30,"Caduca pronto","OK"))))))</f>
        <v/>
      </c>
      <c r="L67" s="26" t="str">
        <f aca="false">IF(OR($A67="",L$4=""),"",IF(NOT(OR(L$6="Toda la plantilla",ISNUMBER(SEARCH(";"&amp;SUBSTITUTE($C67," ","")&amp;";",";"&amp;SUBSTITUTE(L$7," ","")&amp;";")))),"—",IF(_xlfn.MAXIFS(Acuses!$C$5:$C$3004,Acuses!$A$5:$A$3004,$A67,Acuses!$B$5:$B$3004,L$4)&lt;L$5,"Pendiente",IF(L$8=0,"OK",IF(EDATE(_xlfn.MAXIFS(Acuses!$D$5:$D$3004,Acuses!$A$5:$A$3004,$A67,Acuses!$B$5:$B$3004,L$4,Acuses!$C$5:$C$3004,L$5),L$8)&lt;Resumen!$C$4,"Caducado",IF(EDATE(_xlfn.MAXIFS(Acuses!$D$5:$D$3004,Acuses!$A$5:$A$3004,$A67,Acuses!$B$5:$B$3004,L$4,Acuses!$C$5:$C$3004,L$5),L$8)&lt;Resumen!$C$4+30,"Caduca pronto","OK"))))))</f>
        <v/>
      </c>
      <c r="M67" s="26" t="str">
        <f aca="false">IF(OR($A67="",M$4=""),"",IF(NOT(OR(M$6="Toda la plantilla",ISNUMBER(SEARCH(";"&amp;SUBSTITUTE($C67," ","")&amp;";",";"&amp;SUBSTITUTE(M$7," ","")&amp;";")))),"—",IF(_xlfn.MAXIFS(Acuses!$C$5:$C$3004,Acuses!$A$5:$A$3004,$A67,Acuses!$B$5:$B$3004,M$4)&lt;M$5,"Pendiente",IF(M$8=0,"OK",IF(EDATE(_xlfn.MAXIFS(Acuses!$D$5:$D$3004,Acuses!$A$5:$A$3004,$A67,Acuses!$B$5:$B$3004,M$4,Acuses!$C$5:$C$3004,M$5),M$8)&lt;Resumen!$C$4,"Caducado",IF(EDATE(_xlfn.MAXIFS(Acuses!$D$5:$D$3004,Acuses!$A$5:$A$3004,$A67,Acuses!$B$5:$B$3004,M$4,Acuses!$C$5:$C$3004,M$5),M$8)&lt;Resumen!$C$4+30,"Caduca pronto","OK"))))))</f>
        <v/>
      </c>
      <c r="N67" s="26" t="str">
        <f aca="false">IF(OR($A67="",N$4=""),"",IF(NOT(OR(N$6="Toda la plantilla",ISNUMBER(SEARCH(";"&amp;SUBSTITUTE($C67," ","")&amp;";",";"&amp;SUBSTITUTE(N$7," ","")&amp;";")))),"—",IF(_xlfn.MAXIFS(Acuses!$C$5:$C$3004,Acuses!$A$5:$A$3004,$A67,Acuses!$B$5:$B$3004,N$4)&lt;N$5,"Pendiente",IF(N$8=0,"OK",IF(EDATE(_xlfn.MAXIFS(Acuses!$D$5:$D$3004,Acuses!$A$5:$A$3004,$A67,Acuses!$B$5:$B$3004,N$4,Acuses!$C$5:$C$3004,N$5),N$8)&lt;Resumen!$C$4,"Caducado",IF(EDATE(_xlfn.MAXIFS(Acuses!$D$5:$D$3004,Acuses!$A$5:$A$3004,$A67,Acuses!$B$5:$B$3004,N$4,Acuses!$C$5:$C$3004,N$5),N$8)&lt;Resumen!$C$4+30,"Caduca pronto","OK"))))))</f>
        <v/>
      </c>
      <c r="O67" s="26" t="str">
        <f aca="false">IF(OR($A67="",O$4=""),"",IF(NOT(OR(O$6="Toda la plantilla",ISNUMBER(SEARCH(";"&amp;SUBSTITUTE($C67," ","")&amp;";",";"&amp;SUBSTITUTE(O$7," ","")&amp;";")))),"—",IF(_xlfn.MAXIFS(Acuses!$C$5:$C$3004,Acuses!$A$5:$A$3004,$A67,Acuses!$B$5:$B$3004,O$4)&lt;O$5,"Pendiente",IF(O$8=0,"OK",IF(EDATE(_xlfn.MAXIFS(Acuses!$D$5:$D$3004,Acuses!$A$5:$A$3004,$A67,Acuses!$B$5:$B$3004,O$4,Acuses!$C$5:$C$3004,O$5),O$8)&lt;Resumen!$C$4,"Caducado",IF(EDATE(_xlfn.MAXIFS(Acuses!$D$5:$D$3004,Acuses!$A$5:$A$3004,$A67,Acuses!$B$5:$B$3004,O$4,Acuses!$C$5:$C$3004,O$5),O$8)&lt;Resumen!$C$4+30,"Caduca pronto","OK"))))))</f>
        <v/>
      </c>
      <c r="P67" s="26" t="str">
        <f aca="false">IF(OR($A67="",P$4=""),"",IF(NOT(OR(P$6="Toda la plantilla",ISNUMBER(SEARCH(";"&amp;SUBSTITUTE($C67," ","")&amp;";",";"&amp;SUBSTITUTE(P$7," ","")&amp;";")))),"—",IF(_xlfn.MAXIFS(Acuses!$C$5:$C$3004,Acuses!$A$5:$A$3004,$A67,Acuses!$B$5:$B$3004,P$4)&lt;P$5,"Pendiente",IF(P$8=0,"OK",IF(EDATE(_xlfn.MAXIFS(Acuses!$D$5:$D$3004,Acuses!$A$5:$A$3004,$A67,Acuses!$B$5:$B$3004,P$4,Acuses!$C$5:$C$3004,P$5),P$8)&lt;Resumen!$C$4,"Caducado",IF(EDATE(_xlfn.MAXIFS(Acuses!$D$5:$D$3004,Acuses!$A$5:$A$3004,$A67,Acuses!$B$5:$B$3004,P$4,Acuses!$C$5:$C$3004,P$5),P$8)&lt;Resumen!$C$4+30,"Caduca pronto","OK"))))))</f>
        <v/>
      </c>
      <c r="Q67" s="26" t="str">
        <f aca="false">IF(OR($A67="",Q$4=""),"",IF(NOT(OR(Q$6="Toda la plantilla",ISNUMBER(SEARCH(";"&amp;SUBSTITUTE($C67," ","")&amp;";",";"&amp;SUBSTITUTE(Q$7," ","")&amp;";")))),"—",IF(_xlfn.MAXIFS(Acuses!$C$5:$C$3004,Acuses!$A$5:$A$3004,$A67,Acuses!$B$5:$B$3004,Q$4)&lt;Q$5,"Pendiente",IF(Q$8=0,"OK",IF(EDATE(_xlfn.MAXIFS(Acuses!$D$5:$D$3004,Acuses!$A$5:$A$3004,$A67,Acuses!$B$5:$B$3004,Q$4,Acuses!$C$5:$C$3004,Q$5),Q$8)&lt;Resumen!$C$4,"Caducado",IF(EDATE(_xlfn.MAXIFS(Acuses!$D$5:$D$3004,Acuses!$A$5:$A$3004,$A67,Acuses!$B$5:$B$3004,Q$4,Acuses!$C$5:$C$3004,Q$5),Q$8)&lt;Resumen!$C$4+30,"Caduca pronto","OK"))))))</f>
        <v/>
      </c>
      <c r="R67" s="26" t="str">
        <f aca="false">IF(OR($A67="",R$4=""),"",IF(NOT(OR(R$6="Toda la plantilla",ISNUMBER(SEARCH(";"&amp;SUBSTITUTE($C67," ","")&amp;";",";"&amp;SUBSTITUTE(R$7," ","")&amp;";")))),"—",IF(_xlfn.MAXIFS(Acuses!$C$5:$C$3004,Acuses!$A$5:$A$3004,$A67,Acuses!$B$5:$B$3004,R$4)&lt;R$5,"Pendiente",IF(R$8=0,"OK",IF(EDATE(_xlfn.MAXIFS(Acuses!$D$5:$D$3004,Acuses!$A$5:$A$3004,$A67,Acuses!$B$5:$B$3004,R$4,Acuses!$C$5:$C$3004,R$5),R$8)&lt;Resumen!$C$4,"Caducado",IF(EDATE(_xlfn.MAXIFS(Acuses!$D$5:$D$3004,Acuses!$A$5:$A$3004,$A67,Acuses!$B$5:$B$3004,R$4,Acuses!$C$5:$C$3004,R$5),R$8)&lt;Resumen!$C$4+30,"Caduca pronto","OK"))))))</f>
        <v/>
      </c>
      <c r="S67" s="26" t="str">
        <f aca="false">IF(OR($A67="",S$4=""),"",IF(NOT(OR(S$6="Toda la plantilla",ISNUMBER(SEARCH(";"&amp;SUBSTITUTE($C67," ","")&amp;";",";"&amp;SUBSTITUTE(S$7," ","")&amp;";")))),"—",IF(_xlfn.MAXIFS(Acuses!$C$5:$C$3004,Acuses!$A$5:$A$3004,$A67,Acuses!$B$5:$B$3004,S$4)&lt;S$5,"Pendiente",IF(S$8=0,"OK",IF(EDATE(_xlfn.MAXIFS(Acuses!$D$5:$D$3004,Acuses!$A$5:$A$3004,$A67,Acuses!$B$5:$B$3004,S$4,Acuses!$C$5:$C$3004,S$5),S$8)&lt;Resumen!$C$4,"Caducado",IF(EDATE(_xlfn.MAXIFS(Acuses!$D$5:$D$3004,Acuses!$A$5:$A$3004,$A67,Acuses!$B$5:$B$3004,S$4,Acuses!$C$5:$C$3004,S$5),S$8)&lt;Resumen!$C$4+30,"Caduca pronto","OK"))))))</f>
        <v/>
      </c>
      <c r="T67" s="26" t="str">
        <f aca="false">IF(OR($A67="",T$4=""),"",IF(NOT(OR(T$6="Toda la plantilla",ISNUMBER(SEARCH(";"&amp;SUBSTITUTE($C67," ","")&amp;";",";"&amp;SUBSTITUTE(T$7," ","")&amp;";")))),"—",IF(_xlfn.MAXIFS(Acuses!$C$5:$C$3004,Acuses!$A$5:$A$3004,$A67,Acuses!$B$5:$B$3004,T$4)&lt;T$5,"Pendiente",IF(T$8=0,"OK",IF(EDATE(_xlfn.MAXIFS(Acuses!$D$5:$D$3004,Acuses!$A$5:$A$3004,$A67,Acuses!$B$5:$B$3004,T$4,Acuses!$C$5:$C$3004,T$5),T$8)&lt;Resumen!$C$4,"Caducado",IF(EDATE(_xlfn.MAXIFS(Acuses!$D$5:$D$3004,Acuses!$A$5:$A$3004,$A67,Acuses!$B$5:$B$3004,T$4,Acuses!$C$5:$C$3004,T$5),T$8)&lt;Resumen!$C$4+30,"Caduca pronto","OK"))))))</f>
        <v/>
      </c>
      <c r="U67" s="26" t="str">
        <f aca="false">IF(OR($A67="",U$4=""),"",IF(NOT(OR(U$6="Toda la plantilla",ISNUMBER(SEARCH(";"&amp;SUBSTITUTE($C67," ","")&amp;";",";"&amp;SUBSTITUTE(U$7," ","")&amp;";")))),"—",IF(_xlfn.MAXIFS(Acuses!$C$5:$C$3004,Acuses!$A$5:$A$3004,$A67,Acuses!$B$5:$B$3004,U$4)&lt;U$5,"Pendiente",IF(U$8=0,"OK",IF(EDATE(_xlfn.MAXIFS(Acuses!$D$5:$D$3004,Acuses!$A$5:$A$3004,$A67,Acuses!$B$5:$B$3004,U$4,Acuses!$C$5:$C$3004,U$5),U$8)&lt;Resumen!$C$4,"Caducado",IF(EDATE(_xlfn.MAXIFS(Acuses!$D$5:$D$3004,Acuses!$A$5:$A$3004,$A67,Acuses!$B$5:$B$3004,U$4,Acuses!$C$5:$C$3004,U$5),U$8)&lt;Resumen!$C$4+30,"Caduca pronto","OK"))))))</f>
        <v/>
      </c>
      <c r="V67" s="26" t="str">
        <f aca="false">IF(OR($A67="",V$4=""),"",IF(NOT(OR(V$6="Toda la plantilla",ISNUMBER(SEARCH(";"&amp;SUBSTITUTE($C67," ","")&amp;";",";"&amp;SUBSTITUTE(V$7," ","")&amp;";")))),"—",IF(_xlfn.MAXIFS(Acuses!$C$5:$C$3004,Acuses!$A$5:$A$3004,$A67,Acuses!$B$5:$B$3004,V$4)&lt;V$5,"Pendiente",IF(V$8=0,"OK",IF(EDATE(_xlfn.MAXIFS(Acuses!$D$5:$D$3004,Acuses!$A$5:$A$3004,$A67,Acuses!$B$5:$B$3004,V$4,Acuses!$C$5:$C$3004,V$5),V$8)&lt;Resumen!$C$4,"Caducado",IF(EDATE(_xlfn.MAXIFS(Acuses!$D$5:$D$3004,Acuses!$A$5:$A$3004,$A67,Acuses!$B$5:$B$3004,V$4,Acuses!$C$5:$C$3004,V$5),V$8)&lt;Resumen!$C$4+30,"Caduca pronto","OK"))))))</f>
        <v/>
      </c>
      <c r="W67" s="26" t="str">
        <f aca="false">IF(OR($A67="",W$4=""),"",IF(NOT(OR(W$6="Toda la plantilla",ISNUMBER(SEARCH(";"&amp;SUBSTITUTE($C67," ","")&amp;";",";"&amp;SUBSTITUTE(W$7," ","")&amp;";")))),"—",IF(_xlfn.MAXIFS(Acuses!$C$5:$C$3004,Acuses!$A$5:$A$3004,$A67,Acuses!$B$5:$B$3004,W$4)&lt;W$5,"Pendiente",IF(W$8=0,"OK",IF(EDATE(_xlfn.MAXIFS(Acuses!$D$5:$D$3004,Acuses!$A$5:$A$3004,$A67,Acuses!$B$5:$B$3004,W$4,Acuses!$C$5:$C$3004,W$5),W$8)&lt;Resumen!$C$4,"Caducado",IF(EDATE(_xlfn.MAXIFS(Acuses!$D$5:$D$3004,Acuses!$A$5:$A$3004,$A67,Acuses!$B$5:$B$3004,W$4,Acuses!$C$5:$C$3004,W$5),W$8)&lt;Resumen!$C$4+30,"Caduca pronto","OK"))))))</f>
        <v/>
      </c>
      <c r="X67" s="26" t="str">
        <f aca="false">IF(OR($A67="",X$4=""),"",IF(NOT(OR(X$6="Toda la plantilla",ISNUMBER(SEARCH(";"&amp;SUBSTITUTE($C67," ","")&amp;";",";"&amp;SUBSTITUTE(X$7," ","")&amp;";")))),"—",IF(_xlfn.MAXIFS(Acuses!$C$5:$C$3004,Acuses!$A$5:$A$3004,$A67,Acuses!$B$5:$B$3004,X$4)&lt;X$5,"Pendiente",IF(X$8=0,"OK",IF(EDATE(_xlfn.MAXIFS(Acuses!$D$5:$D$3004,Acuses!$A$5:$A$3004,$A67,Acuses!$B$5:$B$3004,X$4,Acuses!$C$5:$C$3004,X$5),X$8)&lt;Resumen!$C$4,"Caducado",IF(EDATE(_xlfn.MAXIFS(Acuses!$D$5:$D$3004,Acuses!$A$5:$A$3004,$A67,Acuses!$B$5:$B$3004,X$4,Acuses!$C$5:$C$3004,X$5),X$8)&lt;Resumen!$C$4+30,"Caduca pronto","OK"))))))</f>
        <v/>
      </c>
      <c r="Y67" s="26" t="str">
        <f aca="false">IF(OR($A67="",Y$4=""),"",IF(NOT(OR(Y$6="Toda la plantilla",ISNUMBER(SEARCH(";"&amp;SUBSTITUTE($C67," ","")&amp;";",";"&amp;SUBSTITUTE(Y$7," ","")&amp;";")))),"—",IF(_xlfn.MAXIFS(Acuses!$C$5:$C$3004,Acuses!$A$5:$A$3004,$A67,Acuses!$B$5:$B$3004,Y$4)&lt;Y$5,"Pendiente",IF(Y$8=0,"OK",IF(EDATE(_xlfn.MAXIFS(Acuses!$D$5:$D$3004,Acuses!$A$5:$A$3004,$A67,Acuses!$B$5:$B$3004,Y$4,Acuses!$C$5:$C$3004,Y$5),Y$8)&lt;Resumen!$C$4,"Caducado",IF(EDATE(_xlfn.MAXIFS(Acuses!$D$5:$D$3004,Acuses!$A$5:$A$3004,$A67,Acuses!$B$5:$B$3004,Y$4,Acuses!$C$5:$C$3004,Y$5),Y$8)&lt;Resumen!$C$4+30,"Caduca pronto","OK"))))))</f>
        <v/>
      </c>
      <c r="Z67" s="26" t="str">
        <f aca="false">IF(OR($A67="",Z$4=""),"",IF(NOT(OR(Z$6="Toda la plantilla",ISNUMBER(SEARCH(";"&amp;SUBSTITUTE($C67," ","")&amp;";",";"&amp;SUBSTITUTE(Z$7," ","")&amp;";")))),"—",IF(_xlfn.MAXIFS(Acuses!$C$5:$C$3004,Acuses!$A$5:$A$3004,$A67,Acuses!$B$5:$B$3004,Z$4)&lt;Z$5,"Pendiente",IF(Z$8=0,"OK",IF(EDATE(_xlfn.MAXIFS(Acuses!$D$5:$D$3004,Acuses!$A$5:$A$3004,$A67,Acuses!$B$5:$B$3004,Z$4,Acuses!$C$5:$C$3004,Z$5),Z$8)&lt;Resumen!$C$4,"Caducado",IF(EDATE(_xlfn.MAXIFS(Acuses!$D$5:$D$3004,Acuses!$A$5:$A$3004,$A67,Acuses!$B$5:$B$3004,Z$4,Acuses!$C$5:$C$3004,Z$5),Z$8)&lt;Resumen!$C$4+30,"Caduca pronto","OK"))))))</f>
        <v/>
      </c>
      <c r="AA67" s="26" t="str">
        <f aca="false">IF(OR($A67="",AA$4=""),"",IF(NOT(OR(AA$6="Toda la plantilla",ISNUMBER(SEARCH(";"&amp;SUBSTITUTE($C67," ","")&amp;";",";"&amp;SUBSTITUTE(AA$7," ","")&amp;";")))),"—",IF(_xlfn.MAXIFS(Acuses!$C$5:$C$3004,Acuses!$A$5:$A$3004,$A67,Acuses!$B$5:$B$3004,AA$4)&lt;AA$5,"Pendiente",IF(AA$8=0,"OK",IF(EDATE(_xlfn.MAXIFS(Acuses!$D$5:$D$3004,Acuses!$A$5:$A$3004,$A67,Acuses!$B$5:$B$3004,AA$4,Acuses!$C$5:$C$3004,AA$5),AA$8)&lt;Resumen!$C$4,"Caducado",IF(EDATE(_xlfn.MAXIFS(Acuses!$D$5:$D$3004,Acuses!$A$5:$A$3004,$A67,Acuses!$B$5:$B$3004,AA$4,Acuses!$C$5:$C$3004,AA$5),AA$8)&lt;Resumen!$C$4+30,"Caduca pronto","OK"))))))</f>
        <v/>
      </c>
      <c r="AB67" s="26" t="str">
        <f aca="false">IF(OR($A67="",AB$4=""),"",IF(NOT(OR(AB$6="Toda la plantilla",ISNUMBER(SEARCH(";"&amp;SUBSTITUTE($C67," ","")&amp;";",";"&amp;SUBSTITUTE(AB$7," ","")&amp;";")))),"—",IF(_xlfn.MAXIFS(Acuses!$C$5:$C$3004,Acuses!$A$5:$A$3004,$A67,Acuses!$B$5:$B$3004,AB$4)&lt;AB$5,"Pendiente",IF(AB$8=0,"OK",IF(EDATE(_xlfn.MAXIFS(Acuses!$D$5:$D$3004,Acuses!$A$5:$A$3004,$A67,Acuses!$B$5:$B$3004,AB$4,Acuses!$C$5:$C$3004,AB$5),AB$8)&lt;Resumen!$C$4,"Caducado",IF(EDATE(_xlfn.MAXIFS(Acuses!$D$5:$D$3004,Acuses!$A$5:$A$3004,$A67,Acuses!$B$5:$B$3004,AB$4,Acuses!$C$5:$C$3004,AB$5),AB$8)&lt;Resumen!$C$4+30,"Caduca pronto","OK"))))))</f>
        <v/>
      </c>
      <c r="AC67" s="26" t="str">
        <f aca="false">IF(OR($A67="",AC$4=""),"",IF(NOT(OR(AC$6="Toda la plantilla",ISNUMBER(SEARCH(";"&amp;SUBSTITUTE($C67," ","")&amp;";",";"&amp;SUBSTITUTE(AC$7," ","")&amp;";")))),"—",IF(_xlfn.MAXIFS(Acuses!$C$5:$C$3004,Acuses!$A$5:$A$3004,$A67,Acuses!$B$5:$B$3004,AC$4)&lt;AC$5,"Pendiente",IF(AC$8=0,"OK",IF(EDATE(_xlfn.MAXIFS(Acuses!$D$5:$D$3004,Acuses!$A$5:$A$3004,$A67,Acuses!$B$5:$B$3004,AC$4,Acuses!$C$5:$C$3004,AC$5),AC$8)&lt;Resumen!$C$4,"Caducado",IF(EDATE(_xlfn.MAXIFS(Acuses!$D$5:$D$3004,Acuses!$A$5:$A$3004,$A67,Acuses!$B$5:$B$3004,AC$4,Acuses!$C$5:$C$3004,AC$5),AC$8)&lt;Resumen!$C$4+30,"Caduca pronto","OK"))))))</f>
        <v/>
      </c>
      <c r="AD67" s="26" t="str">
        <f aca="false">IF(OR($A67="",AD$4=""),"",IF(NOT(OR(AD$6="Toda la plantilla",ISNUMBER(SEARCH(";"&amp;SUBSTITUTE($C67," ","")&amp;";",";"&amp;SUBSTITUTE(AD$7," ","")&amp;";")))),"—",IF(_xlfn.MAXIFS(Acuses!$C$5:$C$3004,Acuses!$A$5:$A$3004,$A67,Acuses!$B$5:$B$3004,AD$4)&lt;AD$5,"Pendiente",IF(AD$8=0,"OK",IF(EDATE(_xlfn.MAXIFS(Acuses!$D$5:$D$3004,Acuses!$A$5:$A$3004,$A67,Acuses!$B$5:$B$3004,AD$4,Acuses!$C$5:$C$3004,AD$5),AD$8)&lt;Resumen!$C$4,"Caducado",IF(EDATE(_xlfn.MAXIFS(Acuses!$D$5:$D$3004,Acuses!$A$5:$A$3004,$A67,Acuses!$B$5:$B$3004,AD$4,Acuses!$C$5:$C$3004,AD$5),AD$8)&lt;Resumen!$C$4+30,"Caduca pronto","OK"))))))</f>
        <v/>
      </c>
      <c r="AE67" s="26" t="str">
        <f aca="false">IF(OR($A67="",AE$4=""),"",IF(NOT(OR(AE$6="Toda la plantilla",ISNUMBER(SEARCH(";"&amp;SUBSTITUTE($C67," ","")&amp;";",";"&amp;SUBSTITUTE(AE$7," ","")&amp;";")))),"—",IF(_xlfn.MAXIFS(Acuses!$C$5:$C$3004,Acuses!$A$5:$A$3004,$A67,Acuses!$B$5:$B$3004,AE$4)&lt;AE$5,"Pendiente",IF(AE$8=0,"OK",IF(EDATE(_xlfn.MAXIFS(Acuses!$D$5:$D$3004,Acuses!$A$5:$A$3004,$A67,Acuses!$B$5:$B$3004,AE$4,Acuses!$C$5:$C$3004,AE$5),AE$8)&lt;Resumen!$C$4,"Caducado",IF(EDATE(_xlfn.MAXIFS(Acuses!$D$5:$D$3004,Acuses!$A$5:$A$3004,$A67,Acuses!$B$5:$B$3004,AE$4,Acuses!$C$5:$C$3004,AE$5),AE$8)&lt;Resumen!$C$4+30,"Caduca pronto","OK"))))))</f>
        <v/>
      </c>
      <c r="AF67" s="26" t="str">
        <f aca="false">IF(OR($A67="",AF$4=""),"",IF(NOT(OR(AF$6="Toda la plantilla",ISNUMBER(SEARCH(";"&amp;SUBSTITUTE($C67," ","")&amp;";",";"&amp;SUBSTITUTE(AF$7," ","")&amp;";")))),"—",IF(_xlfn.MAXIFS(Acuses!$C$5:$C$3004,Acuses!$A$5:$A$3004,$A67,Acuses!$B$5:$B$3004,AF$4)&lt;AF$5,"Pendiente",IF(AF$8=0,"OK",IF(EDATE(_xlfn.MAXIFS(Acuses!$D$5:$D$3004,Acuses!$A$5:$A$3004,$A67,Acuses!$B$5:$B$3004,AF$4,Acuses!$C$5:$C$3004,AF$5),AF$8)&lt;Resumen!$C$4,"Caducado",IF(EDATE(_xlfn.MAXIFS(Acuses!$D$5:$D$3004,Acuses!$A$5:$A$3004,$A67,Acuses!$B$5:$B$3004,AF$4,Acuses!$C$5:$C$3004,AF$5),AF$8)&lt;Resumen!$C$4+30,"Caduca pronto","OK"))))))</f>
        <v/>
      </c>
      <c r="AG67" s="26" t="str">
        <f aca="false">IF(OR($A67="",AG$4=""),"",IF(NOT(OR(AG$6="Toda la plantilla",ISNUMBER(SEARCH(";"&amp;SUBSTITUTE($C67," ","")&amp;";",";"&amp;SUBSTITUTE(AG$7," ","")&amp;";")))),"—",IF(_xlfn.MAXIFS(Acuses!$C$5:$C$3004,Acuses!$A$5:$A$3004,$A67,Acuses!$B$5:$B$3004,AG$4)&lt;AG$5,"Pendiente",IF(AG$8=0,"OK",IF(EDATE(_xlfn.MAXIFS(Acuses!$D$5:$D$3004,Acuses!$A$5:$A$3004,$A67,Acuses!$B$5:$B$3004,AG$4,Acuses!$C$5:$C$3004,AG$5),AG$8)&lt;Resumen!$C$4,"Caducado",IF(EDATE(_xlfn.MAXIFS(Acuses!$D$5:$D$3004,Acuses!$A$5:$A$3004,$A67,Acuses!$B$5:$B$3004,AG$4,Acuses!$C$5:$C$3004,AG$5),AG$8)&lt;Resumen!$C$4+30,"Caduca pronto","OK"))))))</f>
        <v/>
      </c>
      <c r="AH67" s="26" t="str">
        <f aca="false">IF(OR($A67="",AH$4=""),"",IF(NOT(OR(AH$6="Toda la plantilla",ISNUMBER(SEARCH(";"&amp;SUBSTITUTE($C67," ","")&amp;";",";"&amp;SUBSTITUTE(AH$7," ","")&amp;";")))),"—",IF(_xlfn.MAXIFS(Acuses!$C$5:$C$3004,Acuses!$A$5:$A$3004,$A67,Acuses!$B$5:$B$3004,AH$4)&lt;AH$5,"Pendiente",IF(AH$8=0,"OK",IF(EDATE(_xlfn.MAXIFS(Acuses!$D$5:$D$3004,Acuses!$A$5:$A$3004,$A67,Acuses!$B$5:$B$3004,AH$4,Acuses!$C$5:$C$3004,AH$5),AH$8)&lt;Resumen!$C$4,"Caducado",IF(EDATE(_xlfn.MAXIFS(Acuses!$D$5:$D$3004,Acuses!$A$5:$A$3004,$A67,Acuses!$B$5:$B$3004,AH$4,Acuses!$C$5:$C$3004,AH$5),AH$8)&lt;Resumen!$C$4+30,"Caduca pronto","OK"))))))</f>
        <v/>
      </c>
      <c r="AI67" s="26" t="str">
        <f aca="false">IF(OR($A67="",AI$4=""),"",IF(NOT(OR(AI$6="Toda la plantilla",ISNUMBER(SEARCH(";"&amp;SUBSTITUTE($C67," ","")&amp;";",";"&amp;SUBSTITUTE(AI$7," ","")&amp;";")))),"—",IF(_xlfn.MAXIFS(Acuses!$C$5:$C$3004,Acuses!$A$5:$A$3004,$A67,Acuses!$B$5:$B$3004,AI$4)&lt;AI$5,"Pendiente",IF(AI$8=0,"OK",IF(EDATE(_xlfn.MAXIFS(Acuses!$D$5:$D$3004,Acuses!$A$5:$A$3004,$A67,Acuses!$B$5:$B$3004,AI$4,Acuses!$C$5:$C$3004,AI$5),AI$8)&lt;Resumen!$C$4,"Caducado",IF(EDATE(_xlfn.MAXIFS(Acuses!$D$5:$D$3004,Acuses!$A$5:$A$3004,$A67,Acuses!$B$5:$B$3004,AI$4,Acuses!$C$5:$C$3004,AI$5),AI$8)&lt;Resumen!$C$4+30,"Caduca pronto","OK"))))))</f>
        <v/>
      </c>
      <c r="AJ67" s="26" t="str">
        <f aca="false">IF(OR($A67="",AJ$4=""),"",IF(NOT(OR(AJ$6="Toda la plantilla",ISNUMBER(SEARCH(";"&amp;SUBSTITUTE($C67," ","")&amp;";",";"&amp;SUBSTITUTE(AJ$7," ","")&amp;";")))),"—",IF(_xlfn.MAXIFS(Acuses!$C$5:$C$3004,Acuses!$A$5:$A$3004,$A67,Acuses!$B$5:$B$3004,AJ$4)&lt;AJ$5,"Pendiente",IF(AJ$8=0,"OK",IF(EDATE(_xlfn.MAXIFS(Acuses!$D$5:$D$3004,Acuses!$A$5:$A$3004,$A67,Acuses!$B$5:$B$3004,AJ$4,Acuses!$C$5:$C$3004,AJ$5),AJ$8)&lt;Resumen!$C$4,"Caducado",IF(EDATE(_xlfn.MAXIFS(Acuses!$D$5:$D$3004,Acuses!$A$5:$A$3004,$A67,Acuses!$B$5:$B$3004,AJ$4,Acuses!$C$5:$C$3004,AJ$5),AJ$8)&lt;Resumen!$C$4+30,"Caduca pronto","OK"))))))</f>
        <v/>
      </c>
      <c r="AK67" s="26" t="str">
        <f aca="false">IF(OR($A67="",AK$4=""),"",IF(NOT(OR(AK$6="Toda la plantilla",ISNUMBER(SEARCH(";"&amp;SUBSTITUTE($C67," ","")&amp;";",";"&amp;SUBSTITUTE(AK$7," ","")&amp;";")))),"—",IF(_xlfn.MAXIFS(Acuses!$C$5:$C$3004,Acuses!$A$5:$A$3004,$A67,Acuses!$B$5:$B$3004,AK$4)&lt;AK$5,"Pendiente",IF(AK$8=0,"OK",IF(EDATE(_xlfn.MAXIFS(Acuses!$D$5:$D$3004,Acuses!$A$5:$A$3004,$A67,Acuses!$B$5:$B$3004,AK$4,Acuses!$C$5:$C$3004,AK$5),AK$8)&lt;Resumen!$C$4,"Caducado",IF(EDATE(_xlfn.MAXIFS(Acuses!$D$5:$D$3004,Acuses!$A$5:$A$3004,$A67,Acuses!$B$5:$B$3004,AK$4,Acuses!$C$5:$C$3004,AK$5),AK$8)&lt;Resumen!$C$4+30,"Caduca pronto","OK"))))))</f>
        <v/>
      </c>
      <c r="AL67" s="26" t="str">
        <f aca="false">IF(OR($A67="",AL$4=""),"",IF(NOT(OR(AL$6="Toda la plantilla",ISNUMBER(SEARCH(";"&amp;SUBSTITUTE($C67," ","")&amp;";",";"&amp;SUBSTITUTE(AL$7," ","")&amp;";")))),"—",IF(_xlfn.MAXIFS(Acuses!$C$5:$C$3004,Acuses!$A$5:$A$3004,$A67,Acuses!$B$5:$B$3004,AL$4)&lt;AL$5,"Pendiente",IF(AL$8=0,"OK",IF(EDATE(_xlfn.MAXIFS(Acuses!$D$5:$D$3004,Acuses!$A$5:$A$3004,$A67,Acuses!$B$5:$B$3004,AL$4,Acuses!$C$5:$C$3004,AL$5),AL$8)&lt;Resumen!$C$4,"Caducado",IF(EDATE(_xlfn.MAXIFS(Acuses!$D$5:$D$3004,Acuses!$A$5:$A$3004,$A67,Acuses!$B$5:$B$3004,AL$4,Acuses!$C$5:$C$3004,AL$5),AL$8)&lt;Resumen!$C$4+30,"Caduca pronto","OK"))))))</f>
        <v/>
      </c>
      <c r="AM67" s="26" t="str">
        <f aca="false">IF(OR($A67="",AM$4=""),"",IF(NOT(OR(AM$6="Toda la plantilla",ISNUMBER(SEARCH(";"&amp;SUBSTITUTE($C67," ","")&amp;";",";"&amp;SUBSTITUTE(AM$7," ","")&amp;";")))),"—",IF(_xlfn.MAXIFS(Acuses!$C$5:$C$3004,Acuses!$A$5:$A$3004,$A67,Acuses!$B$5:$B$3004,AM$4)&lt;AM$5,"Pendiente",IF(AM$8=0,"OK",IF(EDATE(_xlfn.MAXIFS(Acuses!$D$5:$D$3004,Acuses!$A$5:$A$3004,$A67,Acuses!$B$5:$B$3004,AM$4,Acuses!$C$5:$C$3004,AM$5),AM$8)&lt;Resumen!$C$4,"Caducado",IF(EDATE(_xlfn.MAXIFS(Acuses!$D$5:$D$3004,Acuses!$A$5:$A$3004,$A67,Acuses!$B$5:$B$3004,AM$4,Acuses!$C$5:$C$3004,AM$5),AM$8)&lt;Resumen!$C$4+30,"Caduca pronto","OK"))))))</f>
        <v/>
      </c>
      <c r="AN67" s="26" t="str">
        <f aca="false">IF(OR($A67="",AN$4=""),"",IF(NOT(OR(AN$6="Toda la plantilla",ISNUMBER(SEARCH(";"&amp;SUBSTITUTE($C67," ","")&amp;";",";"&amp;SUBSTITUTE(AN$7," ","")&amp;";")))),"—",IF(_xlfn.MAXIFS(Acuses!$C$5:$C$3004,Acuses!$A$5:$A$3004,$A67,Acuses!$B$5:$B$3004,AN$4)&lt;AN$5,"Pendiente",IF(AN$8=0,"OK",IF(EDATE(_xlfn.MAXIFS(Acuses!$D$5:$D$3004,Acuses!$A$5:$A$3004,$A67,Acuses!$B$5:$B$3004,AN$4,Acuses!$C$5:$C$3004,AN$5),AN$8)&lt;Resumen!$C$4,"Caducado",IF(EDATE(_xlfn.MAXIFS(Acuses!$D$5:$D$3004,Acuses!$A$5:$A$3004,$A67,Acuses!$B$5:$B$3004,AN$4,Acuses!$C$5:$C$3004,AN$5),AN$8)&lt;Resumen!$C$4+30,"Caduca pronto","OK"))))))</f>
        <v/>
      </c>
      <c r="AO67" s="26" t="str">
        <f aca="false">IF(OR($A67="",AO$4=""),"",IF(NOT(OR(AO$6="Toda la plantilla",ISNUMBER(SEARCH(";"&amp;SUBSTITUTE($C67," ","")&amp;";",";"&amp;SUBSTITUTE(AO$7," ","")&amp;";")))),"—",IF(_xlfn.MAXIFS(Acuses!$C$5:$C$3004,Acuses!$A$5:$A$3004,$A67,Acuses!$B$5:$B$3004,AO$4)&lt;AO$5,"Pendiente",IF(AO$8=0,"OK",IF(EDATE(_xlfn.MAXIFS(Acuses!$D$5:$D$3004,Acuses!$A$5:$A$3004,$A67,Acuses!$B$5:$B$3004,AO$4,Acuses!$C$5:$C$3004,AO$5),AO$8)&lt;Resumen!$C$4,"Caducado",IF(EDATE(_xlfn.MAXIFS(Acuses!$D$5:$D$3004,Acuses!$A$5:$A$3004,$A67,Acuses!$B$5:$B$3004,AO$4,Acuses!$C$5:$C$3004,AO$5),AO$8)&lt;Resumen!$C$4+30,"Caduca pronto","OK"))))))</f>
        <v/>
      </c>
      <c r="AP67" s="26" t="str">
        <f aca="false">IF(OR($A67="",AP$4=""),"",IF(NOT(OR(AP$6="Toda la plantilla",ISNUMBER(SEARCH(";"&amp;SUBSTITUTE($C67," ","")&amp;";",";"&amp;SUBSTITUTE(AP$7," ","")&amp;";")))),"—",IF(_xlfn.MAXIFS(Acuses!$C$5:$C$3004,Acuses!$A$5:$A$3004,$A67,Acuses!$B$5:$B$3004,AP$4)&lt;AP$5,"Pendiente",IF(AP$8=0,"OK",IF(EDATE(_xlfn.MAXIFS(Acuses!$D$5:$D$3004,Acuses!$A$5:$A$3004,$A67,Acuses!$B$5:$B$3004,AP$4,Acuses!$C$5:$C$3004,AP$5),AP$8)&lt;Resumen!$C$4,"Caducado",IF(EDATE(_xlfn.MAXIFS(Acuses!$D$5:$D$3004,Acuses!$A$5:$A$3004,$A67,Acuses!$B$5:$B$3004,AP$4,Acuses!$C$5:$C$3004,AP$5),AP$8)&lt;Resumen!$C$4+30,"Caduca pronto","OK"))))))</f>
        <v/>
      </c>
      <c r="AQ67" s="26" t="str">
        <f aca="false">IF(OR($A67="",AQ$4=""),"",IF(NOT(OR(AQ$6="Toda la plantilla",ISNUMBER(SEARCH(";"&amp;SUBSTITUTE($C67," ","")&amp;";",";"&amp;SUBSTITUTE(AQ$7," ","")&amp;";")))),"—",IF(_xlfn.MAXIFS(Acuses!$C$5:$C$3004,Acuses!$A$5:$A$3004,$A67,Acuses!$B$5:$B$3004,AQ$4)&lt;AQ$5,"Pendiente",IF(AQ$8=0,"OK",IF(EDATE(_xlfn.MAXIFS(Acuses!$D$5:$D$3004,Acuses!$A$5:$A$3004,$A67,Acuses!$B$5:$B$3004,AQ$4,Acuses!$C$5:$C$3004,AQ$5),AQ$8)&lt;Resumen!$C$4,"Caducado",IF(EDATE(_xlfn.MAXIFS(Acuses!$D$5:$D$3004,Acuses!$A$5:$A$3004,$A67,Acuses!$B$5:$B$3004,AQ$4,Acuses!$C$5:$C$3004,AQ$5),AQ$8)&lt;Resumen!$C$4+30,"Caduca pronto","OK"))))))</f>
        <v/>
      </c>
    </row>
    <row r="68" customFormat="false" ht="15" hidden="false" customHeight="false" outlineLevel="0" collapsed="false">
      <c r="A68" s="25" t="str">
        <f aca="false">IF(AND(Trabajadores!$A$63&lt;&gt;"",Trabajadores!$G$63&lt;&gt;"No"),Trabajadores!$A$63,"")</f>
        <v/>
      </c>
      <c r="B68" s="25" t="str">
        <f aca="false">IF($A68="","",Trabajadores!$B$63)</f>
        <v/>
      </c>
      <c r="C68" s="25" t="str">
        <f aca="false">IF($A68="","",Trabajadores!$C$63)</f>
        <v/>
      </c>
      <c r="D68" s="26" t="str">
        <f aca="false">IF(OR($A68="",D$4=""),"",IF(NOT(OR(D$6="Toda la plantilla",ISNUMBER(SEARCH(";"&amp;SUBSTITUTE($C68," ","")&amp;";",";"&amp;SUBSTITUTE(D$7," ","")&amp;";")))),"—",IF(_xlfn.MAXIFS(Acuses!$C$5:$C$3004,Acuses!$A$5:$A$3004,$A68,Acuses!$B$5:$B$3004,D$4)&lt;D$5,"Pendiente",IF(D$8=0,"OK",IF(EDATE(_xlfn.MAXIFS(Acuses!$D$5:$D$3004,Acuses!$A$5:$A$3004,$A68,Acuses!$B$5:$B$3004,D$4,Acuses!$C$5:$C$3004,D$5),D$8)&lt;Resumen!$C$4,"Caducado",IF(EDATE(_xlfn.MAXIFS(Acuses!$D$5:$D$3004,Acuses!$A$5:$A$3004,$A68,Acuses!$B$5:$B$3004,D$4,Acuses!$C$5:$C$3004,D$5),D$8)&lt;Resumen!$C$4+30,"Caduca pronto","OK"))))))</f>
        <v/>
      </c>
      <c r="E68" s="26" t="str">
        <f aca="false">IF(OR($A68="",E$4=""),"",IF(NOT(OR(E$6="Toda la plantilla",ISNUMBER(SEARCH(";"&amp;SUBSTITUTE($C68," ","")&amp;";",";"&amp;SUBSTITUTE(E$7," ","")&amp;";")))),"—",IF(_xlfn.MAXIFS(Acuses!$C$5:$C$3004,Acuses!$A$5:$A$3004,$A68,Acuses!$B$5:$B$3004,E$4)&lt;E$5,"Pendiente",IF(E$8=0,"OK",IF(EDATE(_xlfn.MAXIFS(Acuses!$D$5:$D$3004,Acuses!$A$5:$A$3004,$A68,Acuses!$B$5:$B$3004,E$4,Acuses!$C$5:$C$3004,E$5),E$8)&lt;Resumen!$C$4,"Caducado",IF(EDATE(_xlfn.MAXIFS(Acuses!$D$5:$D$3004,Acuses!$A$5:$A$3004,$A68,Acuses!$B$5:$B$3004,E$4,Acuses!$C$5:$C$3004,E$5),E$8)&lt;Resumen!$C$4+30,"Caduca pronto","OK"))))))</f>
        <v/>
      </c>
      <c r="F68" s="26" t="str">
        <f aca="false">IF(OR($A68="",F$4=""),"",IF(NOT(OR(F$6="Toda la plantilla",ISNUMBER(SEARCH(";"&amp;SUBSTITUTE($C68," ","")&amp;";",";"&amp;SUBSTITUTE(F$7," ","")&amp;";")))),"—",IF(_xlfn.MAXIFS(Acuses!$C$5:$C$3004,Acuses!$A$5:$A$3004,$A68,Acuses!$B$5:$B$3004,F$4)&lt;F$5,"Pendiente",IF(F$8=0,"OK",IF(EDATE(_xlfn.MAXIFS(Acuses!$D$5:$D$3004,Acuses!$A$5:$A$3004,$A68,Acuses!$B$5:$B$3004,F$4,Acuses!$C$5:$C$3004,F$5),F$8)&lt;Resumen!$C$4,"Caducado",IF(EDATE(_xlfn.MAXIFS(Acuses!$D$5:$D$3004,Acuses!$A$5:$A$3004,$A68,Acuses!$B$5:$B$3004,F$4,Acuses!$C$5:$C$3004,F$5),F$8)&lt;Resumen!$C$4+30,"Caduca pronto","OK"))))))</f>
        <v/>
      </c>
      <c r="G68" s="26" t="str">
        <f aca="false">IF(OR($A68="",G$4=""),"",IF(NOT(OR(G$6="Toda la plantilla",ISNUMBER(SEARCH(";"&amp;SUBSTITUTE($C68," ","")&amp;";",";"&amp;SUBSTITUTE(G$7," ","")&amp;";")))),"—",IF(_xlfn.MAXIFS(Acuses!$C$5:$C$3004,Acuses!$A$5:$A$3004,$A68,Acuses!$B$5:$B$3004,G$4)&lt;G$5,"Pendiente",IF(G$8=0,"OK",IF(EDATE(_xlfn.MAXIFS(Acuses!$D$5:$D$3004,Acuses!$A$5:$A$3004,$A68,Acuses!$B$5:$B$3004,G$4,Acuses!$C$5:$C$3004,G$5),G$8)&lt;Resumen!$C$4,"Caducado",IF(EDATE(_xlfn.MAXIFS(Acuses!$D$5:$D$3004,Acuses!$A$5:$A$3004,$A68,Acuses!$B$5:$B$3004,G$4,Acuses!$C$5:$C$3004,G$5),G$8)&lt;Resumen!$C$4+30,"Caduca pronto","OK"))))))</f>
        <v/>
      </c>
      <c r="H68" s="26" t="str">
        <f aca="false">IF(OR($A68="",H$4=""),"",IF(NOT(OR(H$6="Toda la plantilla",ISNUMBER(SEARCH(";"&amp;SUBSTITUTE($C68," ","")&amp;";",";"&amp;SUBSTITUTE(H$7," ","")&amp;";")))),"—",IF(_xlfn.MAXIFS(Acuses!$C$5:$C$3004,Acuses!$A$5:$A$3004,$A68,Acuses!$B$5:$B$3004,H$4)&lt;H$5,"Pendiente",IF(H$8=0,"OK",IF(EDATE(_xlfn.MAXIFS(Acuses!$D$5:$D$3004,Acuses!$A$5:$A$3004,$A68,Acuses!$B$5:$B$3004,H$4,Acuses!$C$5:$C$3004,H$5),H$8)&lt;Resumen!$C$4,"Caducado",IF(EDATE(_xlfn.MAXIFS(Acuses!$D$5:$D$3004,Acuses!$A$5:$A$3004,$A68,Acuses!$B$5:$B$3004,H$4,Acuses!$C$5:$C$3004,H$5),H$8)&lt;Resumen!$C$4+30,"Caduca pronto","OK"))))))</f>
        <v/>
      </c>
      <c r="I68" s="26" t="str">
        <f aca="false">IF(OR($A68="",I$4=""),"",IF(NOT(OR(I$6="Toda la plantilla",ISNUMBER(SEARCH(";"&amp;SUBSTITUTE($C68," ","")&amp;";",";"&amp;SUBSTITUTE(I$7," ","")&amp;";")))),"—",IF(_xlfn.MAXIFS(Acuses!$C$5:$C$3004,Acuses!$A$5:$A$3004,$A68,Acuses!$B$5:$B$3004,I$4)&lt;I$5,"Pendiente",IF(I$8=0,"OK",IF(EDATE(_xlfn.MAXIFS(Acuses!$D$5:$D$3004,Acuses!$A$5:$A$3004,$A68,Acuses!$B$5:$B$3004,I$4,Acuses!$C$5:$C$3004,I$5),I$8)&lt;Resumen!$C$4,"Caducado",IF(EDATE(_xlfn.MAXIFS(Acuses!$D$5:$D$3004,Acuses!$A$5:$A$3004,$A68,Acuses!$B$5:$B$3004,I$4,Acuses!$C$5:$C$3004,I$5),I$8)&lt;Resumen!$C$4+30,"Caduca pronto","OK"))))))</f>
        <v/>
      </c>
      <c r="J68" s="26" t="str">
        <f aca="false">IF(OR($A68="",J$4=""),"",IF(NOT(OR(J$6="Toda la plantilla",ISNUMBER(SEARCH(";"&amp;SUBSTITUTE($C68," ","")&amp;";",";"&amp;SUBSTITUTE(J$7," ","")&amp;";")))),"—",IF(_xlfn.MAXIFS(Acuses!$C$5:$C$3004,Acuses!$A$5:$A$3004,$A68,Acuses!$B$5:$B$3004,J$4)&lt;J$5,"Pendiente",IF(J$8=0,"OK",IF(EDATE(_xlfn.MAXIFS(Acuses!$D$5:$D$3004,Acuses!$A$5:$A$3004,$A68,Acuses!$B$5:$B$3004,J$4,Acuses!$C$5:$C$3004,J$5),J$8)&lt;Resumen!$C$4,"Caducado",IF(EDATE(_xlfn.MAXIFS(Acuses!$D$5:$D$3004,Acuses!$A$5:$A$3004,$A68,Acuses!$B$5:$B$3004,J$4,Acuses!$C$5:$C$3004,J$5),J$8)&lt;Resumen!$C$4+30,"Caduca pronto","OK"))))))</f>
        <v/>
      </c>
      <c r="K68" s="26" t="str">
        <f aca="false">IF(OR($A68="",K$4=""),"",IF(NOT(OR(K$6="Toda la plantilla",ISNUMBER(SEARCH(";"&amp;SUBSTITUTE($C68," ","")&amp;";",";"&amp;SUBSTITUTE(K$7," ","")&amp;";")))),"—",IF(_xlfn.MAXIFS(Acuses!$C$5:$C$3004,Acuses!$A$5:$A$3004,$A68,Acuses!$B$5:$B$3004,K$4)&lt;K$5,"Pendiente",IF(K$8=0,"OK",IF(EDATE(_xlfn.MAXIFS(Acuses!$D$5:$D$3004,Acuses!$A$5:$A$3004,$A68,Acuses!$B$5:$B$3004,K$4,Acuses!$C$5:$C$3004,K$5),K$8)&lt;Resumen!$C$4,"Caducado",IF(EDATE(_xlfn.MAXIFS(Acuses!$D$5:$D$3004,Acuses!$A$5:$A$3004,$A68,Acuses!$B$5:$B$3004,K$4,Acuses!$C$5:$C$3004,K$5),K$8)&lt;Resumen!$C$4+30,"Caduca pronto","OK"))))))</f>
        <v/>
      </c>
      <c r="L68" s="26" t="str">
        <f aca="false">IF(OR($A68="",L$4=""),"",IF(NOT(OR(L$6="Toda la plantilla",ISNUMBER(SEARCH(";"&amp;SUBSTITUTE($C68," ","")&amp;";",";"&amp;SUBSTITUTE(L$7," ","")&amp;";")))),"—",IF(_xlfn.MAXIFS(Acuses!$C$5:$C$3004,Acuses!$A$5:$A$3004,$A68,Acuses!$B$5:$B$3004,L$4)&lt;L$5,"Pendiente",IF(L$8=0,"OK",IF(EDATE(_xlfn.MAXIFS(Acuses!$D$5:$D$3004,Acuses!$A$5:$A$3004,$A68,Acuses!$B$5:$B$3004,L$4,Acuses!$C$5:$C$3004,L$5),L$8)&lt;Resumen!$C$4,"Caducado",IF(EDATE(_xlfn.MAXIFS(Acuses!$D$5:$D$3004,Acuses!$A$5:$A$3004,$A68,Acuses!$B$5:$B$3004,L$4,Acuses!$C$5:$C$3004,L$5),L$8)&lt;Resumen!$C$4+30,"Caduca pronto","OK"))))))</f>
        <v/>
      </c>
      <c r="M68" s="26" t="str">
        <f aca="false">IF(OR($A68="",M$4=""),"",IF(NOT(OR(M$6="Toda la plantilla",ISNUMBER(SEARCH(";"&amp;SUBSTITUTE($C68," ","")&amp;";",";"&amp;SUBSTITUTE(M$7," ","")&amp;";")))),"—",IF(_xlfn.MAXIFS(Acuses!$C$5:$C$3004,Acuses!$A$5:$A$3004,$A68,Acuses!$B$5:$B$3004,M$4)&lt;M$5,"Pendiente",IF(M$8=0,"OK",IF(EDATE(_xlfn.MAXIFS(Acuses!$D$5:$D$3004,Acuses!$A$5:$A$3004,$A68,Acuses!$B$5:$B$3004,M$4,Acuses!$C$5:$C$3004,M$5),M$8)&lt;Resumen!$C$4,"Caducado",IF(EDATE(_xlfn.MAXIFS(Acuses!$D$5:$D$3004,Acuses!$A$5:$A$3004,$A68,Acuses!$B$5:$B$3004,M$4,Acuses!$C$5:$C$3004,M$5),M$8)&lt;Resumen!$C$4+30,"Caduca pronto","OK"))))))</f>
        <v/>
      </c>
      <c r="N68" s="26" t="str">
        <f aca="false">IF(OR($A68="",N$4=""),"",IF(NOT(OR(N$6="Toda la plantilla",ISNUMBER(SEARCH(";"&amp;SUBSTITUTE($C68," ","")&amp;";",";"&amp;SUBSTITUTE(N$7," ","")&amp;";")))),"—",IF(_xlfn.MAXIFS(Acuses!$C$5:$C$3004,Acuses!$A$5:$A$3004,$A68,Acuses!$B$5:$B$3004,N$4)&lt;N$5,"Pendiente",IF(N$8=0,"OK",IF(EDATE(_xlfn.MAXIFS(Acuses!$D$5:$D$3004,Acuses!$A$5:$A$3004,$A68,Acuses!$B$5:$B$3004,N$4,Acuses!$C$5:$C$3004,N$5),N$8)&lt;Resumen!$C$4,"Caducado",IF(EDATE(_xlfn.MAXIFS(Acuses!$D$5:$D$3004,Acuses!$A$5:$A$3004,$A68,Acuses!$B$5:$B$3004,N$4,Acuses!$C$5:$C$3004,N$5),N$8)&lt;Resumen!$C$4+30,"Caduca pronto","OK"))))))</f>
        <v/>
      </c>
      <c r="O68" s="26" t="str">
        <f aca="false">IF(OR($A68="",O$4=""),"",IF(NOT(OR(O$6="Toda la plantilla",ISNUMBER(SEARCH(";"&amp;SUBSTITUTE($C68," ","")&amp;";",";"&amp;SUBSTITUTE(O$7," ","")&amp;";")))),"—",IF(_xlfn.MAXIFS(Acuses!$C$5:$C$3004,Acuses!$A$5:$A$3004,$A68,Acuses!$B$5:$B$3004,O$4)&lt;O$5,"Pendiente",IF(O$8=0,"OK",IF(EDATE(_xlfn.MAXIFS(Acuses!$D$5:$D$3004,Acuses!$A$5:$A$3004,$A68,Acuses!$B$5:$B$3004,O$4,Acuses!$C$5:$C$3004,O$5),O$8)&lt;Resumen!$C$4,"Caducado",IF(EDATE(_xlfn.MAXIFS(Acuses!$D$5:$D$3004,Acuses!$A$5:$A$3004,$A68,Acuses!$B$5:$B$3004,O$4,Acuses!$C$5:$C$3004,O$5),O$8)&lt;Resumen!$C$4+30,"Caduca pronto","OK"))))))</f>
        <v/>
      </c>
      <c r="P68" s="26" t="str">
        <f aca="false">IF(OR($A68="",P$4=""),"",IF(NOT(OR(P$6="Toda la plantilla",ISNUMBER(SEARCH(";"&amp;SUBSTITUTE($C68," ","")&amp;";",";"&amp;SUBSTITUTE(P$7," ","")&amp;";")))),"—",IF(_xlfn.MAXIFS(Acuses!$C$5:$C$3004,Acuses!$A$5:$A$3004,$A68,Acuses!$B$5:$B$3004,P$4)&lt;P$5,"Pendiente",IF(P$8=0,"OK",IF(EDATE(_xlfn.MAXIFS(Acuses!$D$5:$D$3004,Acuses!$A$5:$A$3004,$A68,Acuses!$B$5:$B$3004,P$4,Acuses!$C$5:$C$3004,P$5),P$8)&lt;Resumen!$C$4,"Caducado",IF(EDATE(_xlfn.MAXIFS(Acuses!$D$5:$D$3004,Acuses!$A$5:$A$3004,$A68,Acuses!$B$5:$B$3004,P$4,Acuses!$C$5:$C$3004,P$5),P$8)&lt;Resumen!$C$4+30,"Caduca pronto","OK"))))))</f>
        <v/>
      </c>
      <c r="Q68" s="26" t="str">
        <f aca="false">IF(OR($A68="",Q$4=""),"",IF(NOT(OR(Q$6="Toda la plantilla",ISNUMBER(SEARCH(";"&amp;SUBSTITUTE($C68," ","")&amp;";",";"&amp;SUBSTITUTE(Q$7," ","")&amp;";")))),"—",IF(_xlfn.MAXIFS(Acuses!$C$5:$C$3004,Acuses!$A$5:$A$3004,$A68,Acuses!$B$5:$B$3004,Q$4)&lt;Q$5,"Pendiente",IF(Q$8=0,"OK",IF(EDATE(_xlfn.MAXIFS(Acuses!$D$5:$D$3004,Acuses!$A$5:$A$3004,$A68,Acuses!$B$5:$B$3004,Q$4,Acuses!$C$5:$C$3004,Q$5),Q$8)&lt;Resumen!$C$4,"Caducado",IF(EDATE(_xlfn.MAXIFS(Acuses!$D$5:$D$3004,Acuses!$A$5:$A$3004,$A68,Acuses!$B$5:$B$3004,Q$4,Acuses!$C$5:$C$3004,Q$5),Q$8)&lt;Resumen!$C$4+30,"Caduca pronto","OK"))))))</f>
        <v/>
      </c>
      <c r="R68" s="26" t="str">
        <f aca="false">IF(OR($A68="",R$4=""),"",IF(NOT(OR(R$6="Toda la plantilla",ISNUMBER(SEARCH(";"&amp;SUBSTITUTE($C68," ","")&amp;";",";"&amp;SUBSTITUTE(R$7," ","")&amp;";")))),"—",IF(_xlfn.MAXIFS(Acuses!$C$5:$C$3004,Acuses!$A$5:$A$3004,$A68,Acuses!$B$5:$B$3004,R$4)&lt;R$5,"Pendiente",IF(R$8=0,"OK",IF(EDATE(_xlfn.MAXIFS(Acuses!$D$5:$D$3004,Acuses!$A$5:$A$3004,$A68,Acuses!$B$5:$B$3004,R$4,Acuses!$C$5:$C$3004,R$5),R$8)&lt;Resumen!$C$4,"Caducado",IF(EDATE(_xlfn.MAXIFS(Acuses!$D$5:$D$3004,Acuses!$A$5:$A$3004,$A68,Acuses!$B$5:$B$3004,R$4,Acuses!$C$5:$C$3004,R$5),R$8)&lt;Resumen!$C$4+30,"Caduca pronto","OK"))))))</f>
        <v/>
      </c>
      <c r="S68" s="26" t="str">
        <f aca="false">IF(OR($A68="",S$4=""),"",IF(NOT(OR(S$6="Toda la plantilla",ISNUMBER(SEARCH(";"&amp;SUBSTITUTE($C68," ","")&amp;";",";"&amp;SUBSTITUTE(S$7," ","")&amp;";")))),"—",IF(_xlfn.MAXIFS(Acuses!$C$5:$C$3004,Acuses!$A$5:$A$3004,$A68,Acuses!$B$5:$B$3004,S$4)&lt;S$5,"Pendiente",IF(S$8=0,"OK",IF(EDATE(_xlfn.MAXIFS(Acuses!$D$5:$D$3004,Acuses!$A$5:$A$3004,$A68,Acuses!$B$5:$B$3004,S$4,Acuses!$C$5:$C$3004,S$5),S$8)&lt;Resumen!$C$4,"Caducado",IF(EDATE(_xlfn.MAXIFS(Acuses!$D$5:$D$3004,Acuses!$A$5:$A$3004,$A68,Acuses!$B$5:$B$3004,S$4,Acuses!$C$5:$C$3004,S$5),S$8)&lt;Resumen!$C$4+30,"Caduca pronto","OK"))))))</f>
        <v/>
      </c>
      <c r="T68" s="26" t="str">
        <f aca="false">IF(OR($A68="",T$4=""),"",IF(NOT(OR(T$6="Toda la plantilla",ISNUMBER(SEARCH(";"&amp;SUBSTITUTE($C68," ","")&amp;";",";"&amp;SUBSTITUTE(T$7," ","")&amp;";")))),"—",IF(_xlfn.MAXIFS(Acuses!$C$5:$C$3004,Acuses!$A$5:$A$3004,$A68,Acuses!$B$5:$B$3004,T$4)&lt;T$5,"Pendiente",IF(T$8=0,"OK",IF(EDATE(_xlfn.MAXIFS(Acuses!$D$5:$D$3004,Acuses!$A$5:$A$3004,$A68,Acuses!$B$5:$B$3004,T$4,Acuses!$C$5:$C$3004,T$5),T$8)&lt;Resumen!$C$4,"Caducado",IF(EDATE(_xlfn.MAXIFS(Acuses!$D$5:$D$3004,Acuses!$A$5:$A$3004,$A68,Acuses!$B$5:$B$3004,T$4,Acuses!$C$5:$C$3004,T$5),T$8)&lt;Resumen!$C$4+30,"Caduca pronto","OK"))))))</f>
        <v/>
      </c>
      <c r="U68" s="26" t="str">
        <f aca="false">IF(OR($A68="",U$4=""),"",IF(NOT(OR(U$6="Toda la plantilla",ISNUMBER(SEARCH(";"&amp;SUBSTITUTE($C68," ","")&amp;";",";"&amp;SUBSTITUTE(U$7," ","")&amp;";")))),"—",IF(_xlfn.MAXIFS(Acuses!$C$5:$C$3004,Acuses!$A$5:$A$3004,$A68,Acuses!$B$5:$B$3004,U$4)&lt;U$5,"Pendiente",IF(U$8=0,"OK",IF(EDATE(_xlfn.MAXIFS(Acuses!$D$5:$D$3004,Acuses!$A$5:$A$3004,$A68,Acuses!$B$5:$B$3004,U$4,Acuses!$C$5:$C$3004,U$5),U$8)&lt;Resumen!$C$4,"Caducado",IF(EDATE(_xlfn.MAXIFS(Acuses!$D$5:$D$3004,Acuses!$A$5:$A$3004,$A68,Acuses!$B$5:$B$3004,U$4,Acuses!$C$5:$C$3004,U$5),U$8)&lt;Resumen!$C$4+30,"Caduca pronto","OK"))))))</f>
        <v/>
      </c>
      <c r="V68" s="26" t="str">
        <f aca="false">IF(OR($A68="",V$4=""),"",IF(NOT(OR(V$6="Toda la plantilla",ISNUMBER(SEARCH(";"&amp;SUBSTITUTE($C68," ","")&amp;";",";"&amp;SUBSTITUTE(V$7," ","")&amp;";")))),"—",IF(_xlfn.MAXIFS(Acuses!$C$5:$C$3004,Acuses!$A$5:$A$3004,$A68,Acuses!$B$5:$B$3004,V$4)&lt;V$5,"Pendiente",IF(V$8=0,"OK",IF(EDATE(_xlfn.MAXIFS(Acuses!$D$5:$D$3004,Acuses!$A$5:$A$3004,$A68,Acuses!$B$5:$B$3004,V$4,Acuses!$C$5:$C$3004,V$5),V$8)&lt;Resumen!$C$4,"Caducado",IF(EDATE(_xlfn.MAXIFS(Acuses!$D$5:$D$3004,Acuses!$A$5:$A$3004,$A68,Acuses!$B$5:$B$3004,V$4,Acuses!$C$5:$C$3004,V$5),V$8)&lt;Resumen!$C$4+30,"Caduca pronto","OK"))))))</f>
        <v/>
      </c>
      <c r="W68" s="26" t="str">
        <f aca="false">IF(OR($A68="",W$4=""),"",IF(NOT(OR(W$6="Toda la plantilla",ISNUMBER(SEARCH(";"&amp;SUBSTITUTE($C68," ","")&amp;";",";"&amp;SUBSTITUTE(W$7," ","")&amp;";")))),"—",IF(_xlfn.MAXIFS(Acuses!$C$5:$C$3004,Acuses!$A$5:$A$3004,$A68,Acuses!$B$5:$B$3004,W$4)&lt;W$5,"Pendiente",IF(W$8=0,"OK",IF(EDATE(_xlfn.MAXIFS(Acuses!$D$5:$D$3004,Acuses!$A$5:$A$3004,$A68,Acuses!$B$5:$B$3004,W$4,Acuses!$C$5:$C$3004,W$5),W$8)&lt;Resumen!$C$4,"Caducado",IF(EDATE(_xlfn.MAXIFS(Acuses!$D$5:$D$3004,Acuses!$A$5:$A$3004,$A68,Acuses!$B$5:$B$3004,W$4,Acuses!$C$5:$C$3004,W$5),W$8)&lt;Resumen!$C$4+30,"Caduca pronto","OK"))))))</f>
        <v/>
      </c>
      <c r="X68" s="26" t="str">
        <f aca="false">IF(OR($A68="",X$4=""),"",IF(NOT(OR(X$6="Toda la plantilla",ISNUMBER(SEARCH(";"&amp;SUBSTITUTE($C68," ","")&amp;";",";"&amp;SUBSTITUTE(X$7," ","")&amp;";")))),"—",IF(_xlfn.MAXIFS(Acuses!$C$5:$C$3004,Acuses!$A$5:$A$3004,$A68,Acuses!$B$5:$B$3004,X$4)&lt;X$5,"Pendiente",IF(X$8=0,"OK",IF(EDATE(_xlfn.MAXIFS(Acuses!$D$5:$D$3004,Acuses!$A$5:$A$3004,$A68,Acuses!$B$5:$B$3004,X$4,Acuses!$C$5:$C$3004,X$5),X$8)&lt;Resumen!$C$4,"Caducado",IF(EDATE(_xlfn.MAXIFS(Acuses!$D$5:$D$3004,Acuses!$A$5:$A$3004,$A68,Acuses!$B$5:$B$3004,X$4,Acuses!$C$5:$C$3004,X$5),X$8)&lt;Resumen!$C$4+30,"Caduca pronto","OK"))))))</f>
        <v/>
      </c>
      <c r="Y68" s="26" t="str">
        <f aca="false">IF(OR($A68="",Y$4=""),"",IF(NOT(OR(Y$6="Toda la plantilla",ISNUMBER(SEARCH(";"&amp;SUBSTITUTE($C68," ","")&amp;";",";"&amp;SUBSTITUTE(Y$7," ","")&amp;";")))),"—",IF(_xlfn.MAXIFS(Acuses!$C$5:$C$3004,Acuses!$A$5:$A$3004,$A68,Acuses!$B$5:$B$3004,Y$4)&lt;Y$5,"Pendiente",IF(Y$8=0,"OK",IF(EDATE(_xlfn.MAXIFS(Acuses!$D$5:$D$3004,Acuses!$A$5:$A$3004,$A68,Acuses!$B$5:$B$3004,Y$4,Acuses!$C$5:$C$3004,Y$5),Y$8)&lt;Resumen!$C$4,"Caducado",IF(EDATE(_xlfn.MAXIFS(Acuses!$D$5:$D$3004,Acuses!$A$5:$A$3004,$A68,Acuses!$B$5:$B$3004,Y$4,Acuses!$C$5:$C$3004,Y$5),Y$8)&lt;Resumen!$C$4+30,"Caduca pronto","OK"))))))</f>
        <v/>
      </c>
      <c r="Z68" s="26" t="str">
        <f aca="false">IF(OR($A68="",Z$4=""),"",IF(NOT(OR(Z$6="Toda la plantilla",ISNUMBER(SEARCH(";"&amp;SUBSTITUTE($C68," ","")&amp;";",";"&amp;SUBSTITUTE(Z$7," ","")&amp;";")))),"—",IF(_xlfn.MAXIFS(Acuses!$C$5:$C$3004,Acuses!$A$5:$A$3004,$A68,Acuses!$B$5:$B$3004,Z$4)&lt;Z$5,"Pendiente",IF(Z$8=0,"OK",IF(EDATE(_xlfn.MAXIFS(Acuses!$D$5:$D$3004,Acuses!$A$5:$A$3004,$A68,Acuses!$B$5:$B$3004,Z$4,Acuses!$C$5:$C$3004,Z$5),Z$8)&lt;Resumen!$C$4,"Caducado",IF(EDATE(_xlfn.MAXIFS(Acuses!$D$5:$D$3004,Acuses!$A$5:$A$3004,$A68,Acuses!$B$5:$B$3004,Z$4,Acuses!$C$5:$C$3004,Z$5),Z$8)&lt;Resumen!$C$4+30,"Caduca pronto","OK"))))))</f>
        <v/>
      </c>
      <c r="AA68" s="26" t="str">
        <f aca="false">IF(OR($A68="",AA$4=""),"",IF(NOT(OR(AA$6="Toda la plantilla",ISNUMBER(SEARCH(";"&amp;SUBSTITUTE($C68," ","")&amp;";",";"&amp;SUBSTITUTE(AA$7," ","")&amp;";")))),"—",IF(_xlfn.MAXIFS(Acuses!$C$5:$C$3004,Acuses!$A$5:$A$3004,$A68,Acuses!$B$5:$B$3004,AA$4)&lt;AA$5,"Pendiente",IF(AA$8=0,"OK",IF(EDATE(_xlfn.MAXIFS(Acuses!$D$5:$D$3004,Acuses!$A$5:$A$3004,$A68,Acuses!$B$5:$B$3004,AA$4,Acuses!$C$5:$C$3004,AA$5),AA$8)&lt;Resumen!$C$4,"Caducado",IF(EDATE(_xlfn.MAXIFS(Acuses!$D$5:$D$3004,Acuses!$A$5:$A$3004,$A68,Acuses!$B$5:$B$3004,AA$4,Acuses!$C$5:$C$3004,AA$5),AA$8)&lt;Resumen!$C$4+30,"Caduca pronto","OK"))))))</f>
        <v/>
      </c>
      <c r="AB68" s="26" t="str">
        <f aca="false">IF(OR($A68="",AB$4=""),"",IF(NOT(OR(AB$6="Toda la plantilla",ISNUMBER(SEARCH(";"&amp;SUBSTITUTE($C68," ","")&amp;";",";"&amp;SUBSTITUTE(AB$7," ","")&amp;";")))),"—",IF(_xlfn.MAXIFS(Acuses!$C$5:$C$3004,Acuses!$A$5:$A$3004,$A68,Acuses!$B$5:$B$3004,AB$4)&lt;AB$5,"Pendiente",IF(AB$8=0,"OK",IF(EDATE(_xlfn.MAXIFS(Acuses!$D$5:$D$3004,Acuses!$A$5:$A$3004,$A68,Acuses!$B$5:$B$3004,AB$4,Acuses!$C$5:$C$3004,AB$5),AB$8)&lt;Resumen!$C$4,"Caducado",IF(EDATE(_xlfn.MAXIFS(Acuses!$D$5:$D$3004,Acuses!$A$5:$A$3004,$A68,Acuses!$B$5:$B$3004,AB$4,Acuses!$C$5:$C$3004,AB$5),AB$8)&lt;Resumen!$C$4+30,"Caduca pronto","OK"))))))</f>
        <v/>
      </c>
      <c r="AC68" s="26" t="str">
        <f aca="false">IF(OR($A68="",AC$4=""),"",IF(NOT(OR(AC$6="Toda la plantilla",ISNUMBER(SEARCH(";"&amp;SUBSTITUTE($C68," ","")&amp;";",";"&amp;SUBSTITUTE(AC$7," ","")&amp;";")))),"—",IF(_xlfn.MAXIFS(Acuses!$C$5:$C$3004,Acuses!$A$5:$A$3004,$A68,Acuses!$B$5:$B$3004,AC$4)&lt;AC$5,"Pendiente",IF(AC$8=0,"OK",IF(EDATE(_xlfn.MAXIFS(Acuses!$D$5:$D$3004,Acuses!$A$5:$A$3004,$A68,Acuses!$B$5:$B$3004,AC$4,Acuses!$C$5:$C$3004,AC$5),AC$8)&lt;Resumen!$C$4,"Caducado",IF(EDATE(_xlfn.MAXIFS(Acuses!$D$5:$D$3004,Acuses!$A$5:$A$3004,$A68,Acuses!$B$5:$B$3004,AC$4,Acuses!$C$5:$C$3004,AC$5),AC$8)&lt;Resumen!$C$4+30,"Caduca pronto","OK"))))))</f>
        <v/>
      </c>
      <c r="AD68" s="26" t="str">
        <f aca="false">IF(OR($A68="",AD$4=""),"",IF(NOT(OR(AD$6="Toda la plantilla",ISNUMBER(SEARCH(";"&amp;SUBSTITUTE($C68," ","")&amp;";",";"&amp;SUBSTITUTE(AD$7," ","")&amp;";")))),"—",IF(_xlfn.MAXIFS(Acuses!$C$5:$C$3004,Acuses!$A$5:$A$3004,$A68,Acuses!$B$5:$B$3004,AD$4)&lt;AD$5,"Pendiente",IF(AD$8=0,"OK",IF(EDATE(_xlfn.MAXIFS(Acuses!$D$5:$D$3004,Acuses!$A$5:$A$3004,$A68,Acuses!$B$5:$B$3004,AD$4,Acuses!$C$5:$C$3004,AD$5),AD$8)&lt;Resumen!$C$4,"Caducado",IF(EDATE(_xlfn.MAXIFS(Acuses!$D$5:$D$3004,Acuses!$A$5:$A$3004,$A68,Acuses!$B$5:$B$3004,AD$4,Acuses!$C$5:$C$3004,AD$5),AD$8)&lt;Resumen!$C$4+30,"Caduca pronto","OK"))))))</f>
        <v/>
      </c>
      <c r="AE68" s="26" t="str">
        <f aca="false">IF(OR($A68="",AE$4=""),"",IF(NOT(OR(AE$6="Toda la plantilla",ISNUMBER(SEARCH(";"&amp;SUBSTITUTE($C68," ","")&amp;";",";"&amp;SUBSTITUTE(AE$7," ","")&amp;";")))),"—",IF(_xlfn.MAXIFS(Acuses!$C$5:$C$3004,Acuses!$A$5:$A$3004,$A68,Acuses!$B$5:$B$3004,AE$4)&lt;AE$5,"Pendiente",IF(AE$8=0,"OK",IF(EDATE(_xlfn.MAXIFS(Acuses!$D$5:$D$3004,Acuses!$A$5:$A$3004,$A68,Acuses!$B$5:$B$3004,AE$4,Acuses!$C$5:$C$3004,AE$5),AE$8)&lt;Resumen!$C$4,"Caducado",IF(EDATE(_xlfn.MAXIFS(Acuses!$D$5:$D$3004,Acuses!$A$5:$A$3004,$A68,Acuses!$B$5:$B$3004,AE$4,Acuses!$C$5:$C$3004,AE$5),AE$8)&lt;Resumen!$C$4+30,"Caduca pronto","OK"))))))</f>
        <v/>
      </c>
      <c r="AF68" s="26" t="str">
        <f aca="false">IF(OR($A68="",AF$4=""),"",IF(NOT(OR(AF$6="Toda la plantilla",ISNUMBER(SEARCH(";"&amp;SUBSTITUTE($C68," ","")&amp;";",";"&amp;SUBSTITUTE(AF$7," ","")&amp;";")))),"—",IF(_xlfn.MAXIFS(Acuses!$C$5:$C$3004,Acuses!$A$5:$A$3004,$A68,Acuses!$B$5:$B$3004,AF$4)&lt;AF$5,"Pendiente",IF(AF$8=0,"OK",IF(EDATE(_xlfn.MAXIFS(Acuses!$D$5:$D$3004,Acuses!$A$5:$A$3004,$A68,Acuses!$B$5:$B$3004,AF$4,Acuses!$C$5:$C$3004,AF$5),AF$8)&lt;Resumen!$C$4,"Caducado",IF(EDATE(_xlfn.MAXIFS(Acuses!$D$5:$D$3004,Acuses!$A$5:$A$3004,$A68,Acuses!$B$5:$B$3004,AF$4,Acuses!$C$5:$C$3004,AF$5),AF$8)&lt;Resumen!$C$4+30,"Caduca pronto","OK"))))))</f>
        <v/>
      </c>
      <c r="AG68" s="26" t="str">
        <f aca="false">IF(OR($A68="",AG$4=""),"",IF(NOT(OR(AG$6="Toda la plantilla",ISNUMBER(SEARCH(";"&amp;SUBSTITUTE($C68," ","")&amp;";",";"&amp;SUBSTITUTE(AG$7," ","")&amp;";")))),"—",IF(_xlfn.MAXIFS(Acuses!$C$5:$C$3004,Acuses!$A$5:$A$3004,$A68,Acuses!$B$5:$B$3004,AG$4)&lt;AG$5,"Pendiente",IF(AG$8=0,"OK",IF(EDATE(_xlfn.MAXIFS(Acuses!$D$5:$D$3004,Acuses!$A$5:$A$3004,$A68,Acuses!$B$5:$B$3004,AG$4,Acuses!$C$5:$C$3004,AG$5),AG$8)&lt;Resumen!$C$4,"Caducado",IF(EDATE(_xlfn.MAXIFS(Acuses!$D$5:$D$3004,Acuses!$A$5:$A$3004,$A68,Acuses!$B$5:$B$3004,AG$4,Acuses!$C$5:$C$3004,AG$5),AG$8)&lt;Resumen!$C$4+30,"Caduca pronto","OK"))))))</f>
        <v/>
      </c>
      <c r="AH68" s="26" t="str">
        <f aca="false">IF(OR($A68="",AH$4=""),"",IF(NOT(OR(AH$6="Toda la plantilla",ISNUMBER(SEARCH(";"&amp;SUBSTITUTE($C68," ","")&amp;";",";"&amp;SUBSTITUTE(AH$7," ","")&amp;";")))),"—",IF(_xlfn.MAXIFS(Acuses!$C$5:$C$3004,Acuses!$A$5:$A$3004,$A68,Acuses!$B$5:$B$3004,AH$4)&lt;AH$5,"Pendiente",IF(AH$8=0,"OK",IF(EDATE(_xlfn.MAXIFS(Acuses!$D$5:$D$3004,Acuses!$A$5:$A$3004,$A68,Acuses!$B$5:$B$3004,AH$4,Acuses!$C$5:$C$3004,AH$5),AH$8)&lt;Resumen!$C$4,"Caducado",IF(EDATE(_xlfn.MAXIFS(Acuses!$D$5:$D$3004,Acuses!$A$5:$A$3004,$A68,Acuses!$B$5:$B$3004,AH$4,Acuses!$C$5:$C$3004,AH$5),AH$8)&lt;Resumen!$C$4+30,"Caduca pronto","OK"))))))</f>
        <v/>
      </c>
      <c r="AI68" s="26" t="str">
        <f aca="false">IF(OR($A68="",AI$4=""),"",IF(NOT(OR(AI$6="Toda la plantilla",ISNUMBER(SEARCH(";"&amp;SUBSTITUTE($C68," ","")&amp;";",";"&amp;SUBSTITUTE(AI$7," ","")&amp;";")))),"—",IF(_xlfn.MAXIFS(Acuses!$C$5:$C$3004,Acuses!$A$5:$A$3004,$A68,Acuses!$B$5:$B$3004,AI$4)&lt;AI$5,"Pendiente",IF(AI$8=0,"OK",IF(EDATE(_xlfn.MAXIFS(Acuses!$D$5:$D$3004,Acuses!$A$5:$A$3004,$A68,Acuses!$B$5:$B$3004,AI$4,Acuses!$C$5:$C$3004,AI$5),AI$8)&lt;Resumen!$C$4,"Caducado",IF(EDATE(_xlfn.MAXIFS(Acuses!$D$5:$D$3004,Acuses!$A$5:$A$3004,$A68,Acuses!$B$5:$B$3004,AI$4,Acuses!$C$5:$C$3004,AI$5),AI$8)&lt;Resumen!$C$4+30,"Caduca pronto","OK"))))))</f>
        <v/>
      </c>
      <c r="AJ68" s="26" t="str">
        <f aca="false">IF(OR($A68="",AJ$4=""),"",IF(NOT(OR(AJ$6="Toda la plantilla",ISNUMBER(SEARCH(";"&amp;SUBSTITUTE($C68," ","")&amp;";",";"&amp;SUBSTITUTE(AJ$7," ","")&amp;";")))),"—",IF(_xlfn.MAXIFS(Acuses!$C$5:$C$3004,Acuses!$A$5:$A$3004,$A68,Acuses!$B$5:$B$3004,AJ$4)&lt;AJ$5,"Pendiente",IF(AJ$8=0,"OK",IF(EDATE(_xlfn.MAXIFS(Acuses!$D$5:$D$3004,Acuses!$A$5:$A$3004,$A68,Acuses!$B$5:$B$3004,AJ$4,Acuses!$C$5:$C$3004,AJ$5),AJ$8)&lt;Resumen!$C$4,"Caducado",IF(EDATE(_xlfn.MAXIFS(Acuses!$D$5:$D$3004,Acuses!$A$5:$A$3004,$A68,Acuses!$B$5:$B$3004,AJ$4,Acuses!$C$5:$C$3004,AJ$5),AJ$8)&lt;Resumen!$C$4+30,"Caduca pronto","OK"))))))</f>
        <v/>
      </c>
      <c r="AK68" s="26" t="str">
        <f aca="false">IF(OR($A68="",AK$4=""),"",IF(NOT(OR(AK$6="Toda la plantilla",ISNUMBER(SEARCH(";"&amp;SUBSTITUTE($C68," ","")&amp;";",";"&amp;SUBSTITUTE(AK$7," ","")&amp;";")))),"—",IF(_xlfn.MAXIFS(Acuses!$C$5:$C$3004,Acuses!$A$5:$A$3004,$A68,Acuses!$B$5:$B$3004,AK$4)&lt;AK$5,"Pendiente",IF(AK$8=0,"OK",IF(EDATE(_xlfn.MAXIFS(Acuses!$D$5:$D$3004,Acuses!$A$5:$A$3004,$A68,Acuses!$B$5:$B$3004,AK$4,Acuses!$C$5:$C$3004,AK$5),AK$8)&lt;Resumen!$C$4,"Caducado",IF(EDATE(_xlfn.MAXIFS(Acuses!$D$5:$D$3004,Acuses!$A$5:$A$3004,$A68,Acuses!$B$5:$B$3004,AK$4,Acuses!$C$5:$C$3004,AK$5),AK$8)&lt;Resumen!$C$4+30,"Caduca pronto","OK"))))))</f>
        <v/>
      </c>
      <c r="AL68" s="26" t="str">
        <f aca="false">IF(OR($A68="",AL$4=""),"",IF(NOT(OR(AL$6="Toda la plantilla",ISNUMBER(SEARCH(";"&amp;SUBSTITUTE($C68," ","")&amp;";",";"&amp;SUBSTITUTE(AL$7," ","")&amp;";")))),"—",IF(_xlfn.MAXIFS(Acuses!$C$5:$C$3004,Acuses!$A$5:$A$3004,$A68,Acuses!$B$5:$B$3004,AL$4)&lt;AL$5,"Pendiente",IF(AL$8=0,"OK",IF(EDATE(_xlfn.MAXIFS(Acuses!$D$5:$D$3004,Acuses!$A$5:$A$3004,$A68,Acuses!$B$5:$B$3004,AL$4,Acuses!$C$5:$C$3004,AL$5),AL$8)&lt;Resumen!$C$4,"Caducado",IF(EDATE(_xlfn.MAXIFS(Acuses!$D$5:$D$3004,Acuses!$A$5:$A$3004,$A68,Acuses!$B$5:$B$3004,AL$4,Acuses!$C$5:$C$3004,AL$5),AL$8)&lt;Resumen!$C$4+30,"Caduca pronto","OK"))))))</f>
        <v/>
      </c>
      <c r="AM68" s="26" t="str">
        <f aca="false">IF(OR($A68="",AM$4=""),"",IF(NOT(OR(AM$6="Toda la plantilla",ISNUMBER(SEARCH(";"&amp;SUBSTITUTE($C68," ","")&amp;";",";"&amp;SUBSTITUTE(AM$7," ","")&amp;";")))),"—",IF(_xlfn.MAXIFS(Acuses!$C$5:$C$3004,Acuses!$A$5:$A$3004,$A68,Acuses!$B$5:$B$3004,AM$4)&lt;AM$5,"Pendiente",IF(AM$8=0,"OK",IF(EDATE(_xlfn.MAXIFS(Acuses!$D$5:$D$3004,Acuses!$A$5:$A$3004,$A68,Acuses!$B$5:$B$3004,AM$4,Acuses!$C$5:$C$3004,AM$5),AM$8)&lt;Resumen!$C$4,"Caducado",IF(EDATE(_xlfn.MAXIFS(Acuses!$D$5:$D$3004,Acuses!$A$5:$A$3004,$A68,Acuses!$B$5:$B$3004,AM$4,Acuses!$C$5:$C$3004,AM$5),AM$8)&lt;Resumen!$C$4+30,"Caduca pronto","OK"))))))</f>
        <v/>
      </c>
      <c r="AN68" s="26" t="str">
        <f aca="false">IF(OR($A68="",AN$4=""),"",IF(NOT(OR(AN$6="Toda la plantilla",ISNUMBER(SEARCH(";"&amp;SUBSTITUTE($C68," ","")&amp;";",";"&amp;SUBSTITUTE(AN$7," ","")&amp;";")))),"—",IF(_xlfn.MAXIFS(Acuses!$C$5:$C$3004,Acuses!$A$5:$A$3004,$A68,Acuses!$B$5:$B$3004,AN$4)&lt;AN$5,"Pendiente",IF(AN$8=0,"OK",IF(EDATE(_xlfn.MAXIFS(Acuses!$D$5:$D$3004,Acuses!$A$5:$A$3004,$A68,Acuses!$B$5:$B$3004,AN$4,Acuses!$C$5:$C$3004,AN$5),AN$8)&lt;Resumen!$C$4,"Caducado",IF(EDATE(_xlfn.MAXIFS(Acuses!$D$5:$D$3004,Acuses!$A$5:$A$3004,$A68,Acuses!$B$5:$B$3004,AN$4,Acuses!$C$5:$C$3004,AN$5),AN$8)&lt;Resumen!$C$4+30,"Caduca pronto","OK"))))))</f>
        <v/>
      </c>
      <c r="AO68" s="26" t="str">
        <f aca="false">IF(OR($A68="",AO$4=""),"",IF(NOT(OR(AO$6="Toda la plantilla",ISNUMBER(SEARCH(";"&amp;SUBSTITUTE($C68," ","")&amp;";",";"&amp;SUBSTITUTE(AO$7," ","")&amp;";")))),"—",IF(_xlfn.MAXIFS(Acuses!$C$5:$C$3004,Acuses!$A$5:$A$3004,$A68,Acuses!$B$5:$B$3004,AO$4)&lt;AO$5,"Pendiente",IF(AO$8=0,"OK",IF(EDATE(_xlfn.MAXIFS(Acuses!$D$5:$D$3004,Acuses!$A$5:$A$3004,$A68,Acuses!$B$5:$B$3004,AO$4,Acuses!$C$5:$C$3004,AO$5),AO$8)&lt;Resumen!$C$4,"Caducado",IF(EDATE(_xlfn.MAXIFS(Acuses!$D$5:$D$3004,Acuses!$A$5:$A$3004,$A68,Acuses!$B$5:$B$3004,AO$4,Acuses!$C$5:$C$3004,AO$5),AO$8)&lt;Resumen!$C$4+30,"Caduca pronto","OK"))))))</f>
        <v/>
      </c>
      <c r="AP68" s="26" t="str">
        <f aca="false">IF(OR($A68="",AP$4=""),"",IF(NOT(OR(AP$6="Toda la plantilla",ISNUMBER(SEARCH(";"&amp;SUBSTITUTE($C68," ","")&amp;";",";"&amp;SUBSTITUTE(AP$7," ","")&amp;";")))),"—",IF(_xlfn.MAXIFS(Acuses!$C$5:$C$3004,Acuses!$A$5:$A$3004,$A68,Acuses!$B$5:$B$3004,AP$4)&lt;AP$5,"Pendiente",IF(AP$8=0,"OK",IF(EDATE(_xlfn.MAXIFS(Acuses!$D$5:$D$3004,Acuses!$A$5:$A$3004,$A68,Acuses!$B$5:$B$3004,AP$4,Acuses!$C$5:$C$3004,AP$5),AP$8)&lt;Resumen!$C$4,"Caducado",IF(EDATE(_xlfn.MAXIFS(Acuses!$D$5:$D$3004,Acuses!$A$5:$A$3004,$A68,Acuses!$B$5:$B$3004,AP$4,Acuses!$C$5:$C$3004,AP$5),AP$8)&lt;Resumen!$C$4+30,"Caduca pronto","OK"))))))</f>
        <v/>
      </c>
      <c r="AQ68" s="26" t="str">
        <f aca="false">IF(OR($A68="",AQ$4=""),"",IF(NOT(OR(AQ$6="Toda la plantilla",ISNUMBER(SEARCH(";"&amp;SUBSTITUTE($C68," ","")&amp;";",";"&amp;SUBSTITUTE(AQ$7," ","")&amp;";")))),"—",IF(_xlfn.MAXIFS(Acuses!$C$5:$C$3004,Acuses!$A$5:$A$3004,$A68,Acuses!$B$5:$B$3004,AQ$4)&lt;AQ$5,"Pendiente",IF(AQ$8=0,"OK",IF(EDATE(_xlfn.MAXIFS(Acuses!$D$5:$D$3004,Acuses!$A$5:$A$3004,$A68,Acuses!$B$5:$B$3004,AQ$4,Acuses!$C$5:$C$3004,AQ$5),AQ$8)&lt;Resumen!$C$4,"Caducado",IF(EDATE(_xlfn.MAXIFS(Acuses!$D$5:$D$3004,Acuses!$A$5:$A$3004,$A68,Acuses!$B$5:$B$3004,AQ$4,Acuses!$C$5:$C$3004,AQ$5),AQ$8)&lt;Resumen!$C$4+30,"Caduca pronto","OK"))))))</f>
        <v/>
      </c>
    </row>
    <row r="69" customFormat="false" ht="15" hidden="false" customHeight="false" outlineLevel="0" collapsed="false">
      <c r="A69" s="25" t="str">
        <f aca="false">IF(AND(Trabajadores!$A$64&lt;&gt;"",Trabajadores!$G$64&lt;&gt;"No"),Trabajadores!$A$64,"")</f>
        <v/>
      </c>
      <c r="B69" s="25" t="str">
        <f aca="false">IF($A69="","",Trabajadores!$B$64)</f>
        <v/>
      </c>
      <c r="C69" s="25" t="str">
        <f aca="false">IF($A69="","",Trabajadores!$C$64)</f>
        <v/>
      </c>
      <c r="D69" s="26" t="str">
        <f aca="false">IF(OR($A69="",D$4=""),"",IF(NOT(OR(D$6="Toda la plantilla",ISNUMBER(SEARCH(";"&amp;SUBSTITUTE($C69," ","")&amp;";",";"&amp;SUBSTITUTE(D$7," ","")&amp;";")))),"—",IF(_xlfn.MAXIFS(Acuses!$C$5:$C$3004,Acuses!$A$5:$A$3004,$A69,Acuses!$B$5:$B$3004,D$4)&lt;D$5,"Pendiente",IF(D$8=0,"OK",IF(EDATE(_xlfn.MAXIFS(Acuses!$D$5:$D$3004,Acuses!$A$5:$A$3004,$A69,Acuses!$B$5:$B$3004,D$4,Acuses!$C$5:$C$3004,D$5),D$8)&lt;Resumen!$C$4,"Caducado",IF(EDATE(_xlfn.MAXIFS(Acuses!$D$5:$D$3004,Acuses!$A$5:$A$3004,$A69,Acuses!$B$5:$B$3004,D$4,Acuses!$C$5:$C$3004,D$5),D$8)&lt;Resumen!$C$4+30,"Caduca pronto","OK"))))))</f>
        <v/>
      </c>
      <c r="E69" s="26" t="str">
        <f aca="false">IF(OR($A69="",E$4=""),"",IF(NOT(OR(E$6="Toda la plantilla",ISNUMBER(SEARCH(";"&amp;SUBSTITUTE($C69," ","")&amp;";",";"&amp;SUBSTITUTE(E$7," ","")&amp;";")))),"—",IF(_xlfn.MAXIFS(Acuses!$C$5:$C$3004,Acuses!$A$5:$A$3004,$A69,Acuses!$B$5:$B$3004,E$4)&lt;E$5,"Pendiente",IF(E$8=0,"OK",IF(EDATE(_xlfn.MAXIFS(Acuses!$D$5:$D$3004,Acuses!$A$5:$A$3004,$A69,Acuses!$B$5:$B$3004,E$4,Acuses!$C$5:$C$3004,E$5),E$8)&lt;Resumen!$C$4,"Caducado",IF(EDATE(_xlfn.MAXIFS(Acuses!$D$5:$D$3004,Acuses!$A$5:$A$3004,$A69,Acuses!$B$5:$B$3004,E$4,Acuses!$C$5:$C$3004,E$5),E$8)&lt;Resumen!$C$4+30,"Caduca pronto","OK"))))))</f>
        <v/>
      </c>
      <c r="F69" s="26" t="str">
        <f aca="false">IF(OR($A69="",F$4=""),"",IF(NOT(OR(F$6="Toda la plantilla",ISNUMBER(SEARCH(";"&amp;SUBSTITUTE($C69," ","")&amp;";",";"&amp;SUBSTITUTE(F$7," ","")&amp;";")))),"—",IF(_xlfn.MAXIFS(Acuses!$C$5:$C$3004,Acuses!$A$5:$A$3004,$A69,Acuses!$B$5:$B$3004,F$4)&lt;F$5,"Pendiente",IF(F$8=0,"OK",IF(EDATE(_xlfn.MAXIFS(Acuses!$D$5:$D$3004,Acuses!$A$5:$A$3004,$A69,Acuses!$B$5:$B$3004,F$4,Acuses!$C$5:$C$3004,F$5),F$8)&lt;Resumen!$C$4,"Caducado",IF(EDATE(_xlfn.MAXIFS(Acuses!$D$5:$D$3004,Acuses!$A$5:$A$3004,$A69,Acuses!$B$5:$B$3004,F$4,Acuses!$C$5:$C$3004,F$5),F$8)&lt;Resumen!$C$4+30,"Caduca pronto","OK"))))))</f>
        <v/>
      </c>
      <c r="G69" s="26" t="str">
        <f aca="false">IF(OR($A69="",G$4=""),"",IF(NOT(OR(G$6="Toda la plantilla",ISNUMBER(SEARCH(";"&amp;SUBSTITUTE($C69," ","")&amp;";",";"&amp;SUBSTITUTE(G$7," ","")&amp;";")))),"—",IF(_xlfn.MAXIFS(Acuses!$C$5:$C$3004,Acuses!$A$5:$A$3004,$A69,Acuses!$B$5:$B$3004,G$4)&lt;G$5,"Pendiente",IF(G$8=0,"OK",IF(EDATE(_xlfn.MAXIFS(Acuses!$D$5:$D$3004,Acuses!$A$5:$A$3004,$A69,Acuses!$B$5:$B$3004,G$4,Acuses!$C$5:$C$3004,G$5),G$8)&lt;Resumen!$C$4,"Caducado",IF(EDATE(_xlfn.MAXIFS(Acuses!$D$5:$D$3004,Acuses!$A$5:$A$3004,$A69,Acuses!$B$5:$B$3004,G$4,Acuses!$C$5:$C$3004,G$5),G$8)&lt;Resumen!$C$4+30,"Caduca pronto","OK"))))))</f>
        <v/>
      </c>
      <c r="H69" s="26" t="str">
        <f aca="false">IF(OR($A69="",H$4=""),"",IF(NOT(OR(H$6="Toda la plantilla",ISNUMBER(SEARCH(";"&amp;SUBSTITUTE($C69," ","")&amp;";",";"&amp;SUBSTITUTE(H$7," ","")&amp;";")))),"—",IF(_xlfn.MAXIFS(Acuses!$C$5:$C$3004,Acuses!$A$5:$A$3004,$A69,Acuses!$B$5:$B$3004,H$4)&lt;H$5,"Pendiente",IF(H$8=0,"OK",IF(EDATE(_xlfn.MAXIFS(Acuses!$D$5:$D$3004,Acuses!$A$5:$A$3004,$A69,Acuses!$B$5:$B$3004,H$4,Acuses!$C$5:$C$3004,H$5),H$8)&lt;Resumen!$C$4,"Caducado",IF(EDATE(_xlfn.MAXIFS(Acuses!$D$5:$D$3004,Acuses!$A$5:$A$3004,$A69,Acuses!$B$5:$B$3004,H$4,Acuses!$C$5:$C$3004,H$5),H$8)&lt;Resumen!$C$4+30,"Caduca pronto","OK"))))))</f>
        <v/>
      </c>
      <c r="I69" s="26" t="str">
        <f aca="false">IF(OR($A69="",I$4=""),"",IF(NOT(OR(I$6="Toda la plantilla",ISNUMBER(SEARCH(";"&amp;SUBSTITUTE($C69," ","")&amp;";",";"&amp;SUBSTITUTE(I$7," ","")&amp;";")))),"—",IF(_xlfn.MAXIFS(Acuses!$C$5:$C$3004,Acuses!$A$5:$A$3004,$A69,Acuses!$B$5:$B$3004,I$4)&lt;I$5,"Pendiente",IF(I$8=0,"OK",IF(EDATE(_xlfn.MAXIFS(Acuses!$D$5:$D$3004,Acuses!$A$5:$A$3004,$A69,Acuses!$B$5:$B$3004,I$4,Acuses!$C$5:$C$3004,I$5),I$8)&lt;Resumen!$C$4,"Caducado",IF(EDATE(_xlfn.MAXIFS(Acuses!$D$5:$D$3004,Acuses!$A$5:$A$3004,$A69,Acuses!$B$5:$B$3004,I$4,Acuses!$C$5:$C$3004,I$5),I$8)&lt;Resumen!$C$4+30,"Caduca pronto","OK"))))))</f>
        <v/>
      </c>
      <c r="J69" s="26" t="str">
        <f aca="false">IF(OR($A69="",J$4=""),"",IF(NOT(OR(J$6="Toda la plantilla",ISNUMBER(SEARCH(";"&amp;SUBSTITUTE($C69," ","")&amp;";",";"&amp;SUBSTITUTE(J$7," ","")&amp;";")))),"—",IF(_xlfn.MAXIFS(Acuses!$C$5:$C$3004,Acuses!$A$5:$A$3004,$A69,Acuses!$B$5:$B$3004,J$4)&lt;J$5,"Pendiente",IF(J$8=0,"OK",IF(EDATE(_xlfn.MAXIFS(Acuses!$D$5:$D$3004,Acuses!$A$5:$A$3004,$A69,Acuses!$B$5:$B$3004,J$4,Acuses!$C$5:$C$3004,J$5),J$8)&lt;Resumen!$C$4,"Caducado",IF(EDATE(_xlfn.MAXIFS(Acuses!$D$5:$D$3004,Acuses!$A$5:$A$3004,$A69,Acuses!$B$5:$B$3004,J$4,Acuses!$C$5:$C$3004,J$5),J$8)&lt;Resumen!$C$4+30,"Caduca pronto","OK"))))))</f>
        <v/>
      </c>
      <c r="K69" s="26" t="str">
        <f aca="false">IF(OR($A69="",K$4=""),"",IF(NOT(OR(K$6="Toda la plantilla",ISNUMBER(SEARCH(";"&amp;SUBSTITUTE($C69," ","")&amp;";",";"&amp;SUBSTITUTE(K$7," ","")&amp;";")))),"—",IF(_xlfn.MAXIFS(Acuses!$C$5:$C$3004,Acuses!$A$5:$A$3004,$A69,Acuses!$B$5:$B$3004,K$4)&lt;K$5,"Pendiente",IF(K$8=0,"OK",IF(EDATE(_xlfn.MAXIFS(Acuses!$D$5:$D$3004,Acuses!$A$5:$A$3004,$A69,Acuses!$B$5:$B$3004,K$4,Acuses!$C$5:$C$3004,K$5),K$8)&lt;Resumen!$C$4,"Caducado",IF(EDATE(_xlfn.MAXIFS(Acuses!$D$5:$D$3004,Acuses!$A$5:$A$3004,$A69,Acuses!$B$5:$B$3004,K$4,Acuses!$C$5:$C$3004,K$5),K$8)&lt;Resumen!$C$4+30,"Caduca pronto","OK"))))))</f>
        <v/>
      </c>
      <c r="L69" s="26" t="str">
        <f aca="false">IF(OR($A69="",L$4=""),"",IF(NOT(OR(L$6="Toda la plantilla",ISNUMBER(SEARCH(";"&amp;SUBSTITUTE($C69," ","")&amp;";",";"&amp;SUBSTITUTE(L$7," ","")&amp;";")))),"—",IF(_xlfn.MAXIFS(Acuses!$C$5:$C$3004,Acuses!$A$5:$A$3004,$A69,Acuses!$B$5:$B$3004,L$4)&lt;L$5,"Pendiente",IF(L$8=0,"OK",IF(EDATE(_xlfn.MAXIFS(Acuses!$D$5:$D$3004,Acuses!$A$5:$A$3004,$A69,Acuses!$B$5:$B$3004,L$4,Acuses!$C$5:$C$3004,L$5),L$8)&lt;Resumen!$C$4,"Caducado",IF(EDATE(_xlfn.MAXIFS(Acuses!$D$5:$D$3004,Acuses!$A$5:$A$3004,$A69,Acuses!$B$5:$B$3004,L$4,Acuses!$C$5:$C$3004,L$5),L$8)&lt;Resumen!$C$4+30,"Caduca pronto","OK"))))))</f>
        <v/>
      </c>
      <c r="M69" s="26" t="str">
        <f aca="false">IF(OR($A69="",M$4=""),"",IF(NOT(OR(M$6="Toda la plantilla",ISNUMBER(SEARCH(";"&amp;SUBSTITUTE($C69," ","")&amp;";",";"&amp;SUBSTITUTE(M$7," ","")&amp;";")))),"—",IF(_xlfn.MAXIFS(Acuses!$C$5:$C$3004,Acuses!$A$5:$A$3004,$A69,Acuses!$B$5:$B$3004,M$4)&lt;M$5,"Pendiente",IF(M$8=0,"OK",IF(EDATE(_xlfn.MAXIFS(Acuses!$D$5:$D$3004,Acuses!$A$5:$A$3004,$A69,Acuses!$B$5:$B$3004,M$4,Acuses!$C$5:$C$3004,M$5),M$8)&lt;Resumen!$C$4,"Caducado",IF(EDATE(_xlfn.MAXIFS(Acuses!$D$5:$D$3004,Acuses!$A$5:$A$3004,$A69,Acuses!$B$5:$B$3004,M$4,Acuses!$C$5:$C$3004,M$5),M$8)&lt;Resumen!$C$4+30,"Caduca pronto","OK"))))))</f>
        <v/>
      </c>
      <c r="N69" s="26" t="str">
        <f aca="false">IF(OR($A69="",N$4=""),"",IF(NOT(OR(N$6="Toda la plantilla",ISNUMBER(SEARCH(";"&amp;SUBSTITUTE($C69," ","")&amp;";",";"&amp;SUBSTITUTE(N$7," ","")&amp;";")))),"—",IF(_xlfn.MAXIFS(Acuses!$C$5:$C$3004,Acuses!$A$5:$A$3004,$A69,Acuses!$B$5:$B$3004,N$4)&lt;N$5,"Pendiente",IF(N$8=0,"OK",IF(EDATE(_xlfn.MAXIFS(Acuses!$D$5:$D$3004,Acuses!$A$5:$A$3004,$A69,Acuses!$B$5:$B$3004,N$4,Acuses!$C$5:$C$3004,N$5),N$8)&lt;Resumen!$C$4,"Caducado",IF(EDATE(_xlfn.MAXIFS(Acuses!$D$5:$D$3004,Acuses!$A$5:$A$3004,$A69,Acuses!$B$5:$B$3004,N$4,Acuses!$C$5:$C$3004,N$5),N$8)&lt;Resumen!$C$4+30,"Caduca pronto","OK"))))))</f>
        <v/>
      </c>
      <c r="O69" s="26" t="str">
        <f aca="false">IF(OR($A69="",O$4=""),"",IF(NOT(OR(O$6="Toda la plantilla",ISNUMBER(SEARCH(";"&amp;SUBSTITUTE($C69," ","")&amp;";",";"&amp;SUBSTITUTE(O$7," ","")&amp;";")))),"—",IF(_xlfn.MAXIFS(Acuses!$C$5:$C$3004,Acuses!$A$5:$A$3004,$A69,Acuses!$B$5:$B$3004,O$4)&lt;O$5,"Pendiente",IF(O$8=0,"OK",IF(EDATE(_xlfn.MAXIFS(Acuses!$D$5:$D$3004,Acuses!$A$5:$A$3004,$A69,Acuses!$B$5:$B$3004,O$4,Acuses!$C$5:$C$3004,O$5),O$8)&lt;Resumen!$C$4,"Caducado",IF(EDATE(_xlfn.MAXIFS(Acuses!$D$5:$D$3004,Acuses!$A$5:$A$3004,$A69,Acuses!$B$5:$B$3004,O$4,Acuses!$C$5:$C$3004,O$5),O$8)&lt;Resumen!$C$4+30,"Caduca pronto","OK"))))))</f>
        <v/>
      </c>
      <c r="P69" s="26" t="str">
        <f aca="false">IF(OR($A69="",P$4=""),"",IF(NOT(OR(P$6="Toda la plantilla",ISNUMBER(SEARCH(";"&amp;SUBSTITUTE($C69," ","")&amp;";",";"&amp;SUBSTITUTE(P$7," ","")&amp;";")))),"—",IF(_xlfn.MAXIFS(Acuses!$C$5:$C$3004,Acuses!$A$5:$A$3004,$A69,Acuses!$B$5:$B$3004,P$4)&lt;P$5,"Pendiente",IF(P$8=0,"OK",IF(EDATE(_xlfn.MAXIFS(Acuses!$D$5:$D$3004,Acuses!$A$5:$A$3004,$A69,Acuses!$B$5:$B$3004,P$4,Acuses!$C$5:$C$3004,P$5),P$8)&lt;Resumen!$C$4,"Caducado",IF(EDATE(_xlfn.MAXIFS(Acuses!$D$5:$D$3004,Acuses!$A$5:$A$3004,$A69,Acuses!$B$5:$B$3004,P$4,Acuses!$C$5:$C$3004,P$5),P$8)&lt;Resumen!$C$4+30,"Caduca pronto","OK"))))))</f>
        <v/>
      </c>
      <c r="Q69" s="26" t="str">
        <f aca="false">IF(OR($A69="",Q$4=""),"",IF(NOT(OR(Q$6="Toda la plantilla",ISNUMBER(SEARCH(";"&amp;SUBSTITUTE($C69," ","")&amp;";",";"&amp;SUBSTITUTE(Q$7," ","")&amp;";")))),"—",IF(_xlfn.MAXIFS(Acuses!$C$5:$C$3004,Acuses!$A$5:$A$3004,$A69,Acuses!$B$5:$B$3004,Q$4)&lt;Q$5,"Pendiente",IF(Q$8=0,"OK",IF(EDATE(_xlfn.MAXIFS(Acuses!$D$5:$D$3004,Acuses!$A$5:$A$3004,$A69,Acuses!$B$5:$B$3004,Q$4,Acuses!$C$5:$C$3004,Q$5),Q$8)&lt;Resumen!$C$4,"Caducado",IF(EDATE(_xlfn.MAXIFS(Acuses!$D$5:$D$3004,Acuses!$A$5:$A$3004,$A69,Acuses!$B$5:$B$3004,Q$4,Acuses!$C$5:$C$3004,Q$5),Q$8)&lt;Resumen!$C$4+30,"Caduca pronto","OK"))))))</f>
        <v/>
      </c>
      <c r="R69" s="26" t="str">
        <f aca="false">IF(OR($A69="",R$4=""),"",IF(NOT(OR(R$6="Toda la plantilla",ISNUMBER(SEARCH(";"&amp;SUBSTITUTE($C69," ","")&amp;";",";"&amp;SUBSTITUTE(R$7," ","")&amp;";")))),"—",IF(_xlfn.MAXIFS(Acuses!$C$5:$C$3004,Acuses!$A$5:$A$3004,$A69,Acuses!$B$5:$B$3004,R$4)&lt;R$5,"Pendiente",IF(R$8=0,"OK",IF(EDATE(_xlfn.MAXIFS(Acuses!$D$5:$D$3004,Acuses!$A$5:$A$3004,$A69,Acuses!$B$5:$B$3004,R$4,Acuses!$C$5:$C$3004,R$5),R$8)&lt;Resumen!$C$4,"Caducado",IF(EDATE(_xlfn.MAXIFS(Acuses!$D$5:$D$3004,Acuses!$A$5:$A$3004,$A69,Acuses!$B$5:$B$3004,R$4,Acuses!$C$5:$C$3004,R$5),R$8)&lt;Resumen!$C$4+30,"Caduca pronto","OK"))))))</f>
        <v/>
      </c>
      <c r="S69" s="26" t="str">
        <f aca="false">IF(OR($A69="",S$4=""),"",IF(NOT(OR(S$6="Toda la plantilla",ISNUMBER(SEARCH(";"&amp;SUBSTITUTE($C69," ","")&amp;";",";"&amp;SUBSTITUTE(S$7," ","")&amp;";")))),"—",IF(_xlfn.MAXIFS(Acuses!$C$5:$C$3004,Acuses!$A$5:$A$3004,$A69,Acuses!$B$5:$B$3004,S$4)&lt;S$5,"Pendiente",IF(S$8=0,"OK",IF(EDATE(_xlfn.MAXIFS(Acuses!$D$5:$D$3004,Acuses!$A$5:$A$3004,$A69,Acuses!$B$5:$B$3004,S$4,Acuses!$C$5:$C$3004,S$5),S$8)&lt;Resumen!$C$4,"Caducado",IF(EDATE(_xlfn.MAXIFS(Acuses!$D$5:$D$3004,Acuses!$A$5:$A$3004,$A69,Acuses!$B$5:$B$3004,S$4,Acuses!$C$5:$C$3004,S$5),S$8)&lt;Resumen!$C$4+30,"Caduca pronto","OK"))))))</f>
        <v/>
      </c>
      <c r="T69" s="26" t="str">
        <f aca="false">IF(OR($A69="",T$4=""),"",IF(NOT(OR(T$6="Toda la plantilla",ISNUMBER(SEARCH(";"&amp;SUBSTITUTE($C69," ","")&amp;";",";"&amp;SUBSTITUTE(T$7," ","")&amp;";")))),"—",IF(_xlfn.MAXIFS(Acuses!$C$5:$C$3004,Acuses!$A$5:$A$3004,$A69,Acuses!$B$5:$B$3004,T$4)&lt;T$5,"Pendiente",IF(T$8=0,"OK",IF(EDATE(_xlfn.MAXIFS(Acuses!$D$5:$D$3004,Acuses!$A$5:$A$3004,$A69,Acuses!$B$5:$B$3004,T$4,Acuses!$C$5:$C$3004,T$5),T$8)&lt;Resumen!$C$4,"Caducado",IF(EDATE(_xlfn.MAXIFS(Acuses!$D$5:$D$3004,Acuses!$A$5:$A$3004,$A69,Acuses!$B$5:$B$3004,T$4,Acuses!$C$5:$C$3004,T$5),T$8)&lt;Resumen!$C$4+30,"Caduca pronto","OK"))))))</f>
        <v/>
      </c>
      <c r="U69" s="26" t="str">
        <f aca="false">IF(OR($A69="",U$4=""),"",IF(NOT(OR(U$6="Toda la plantilla",ISNUMBER(SEARCH(";"&amp;SUBSTITUTE($C69," ","")&amp;";",";"&amp;SUBSTITUTE(U$7," ","")&amp;";")))),"—",IF(_xlfn.MAXIFS(Acuses!$C$5:$C$3004,Acuses!$A$5:$A$3004,$A69,Acuses!$B$5:$B$3004,U$4)&lt;U$5,"Pendiente",IF(U$8=0,"OK",IF(EDATE(_xlfn.MAXIFS(Acuses!$D$5:$D$3004,Acuses!$A$5:$A$3004,$A69,Acuses!$B$5:$B$3004,U$4,Acuses!$C$5:$C$3004,U$5),U$8)&lt;Resumen!$C$4,"Caducado",IF(EDATE(_xlfn.MAXIFS(Acuses!$D$5:$D$3004,Acuses!$A$5:$A$3004,$A69,Acuses!$B$5:$B$3004,U$4,Acuses!$C$5:$C$3004,U$5),U$8)&lt;Resumen!$C$4+30,"Caduca pronto","OK"))))))</f>
        <v/>
      </c>
      <c r="V69" s="26" t="str">
        <f aca="false">IF(OR($A69="",V$4=""),"",IF(NOT(OR(V$6="Toda la plantilla",ISNUMBER(SEARCH(";"&amp;SUBSTITUTE($C69," ","")&amp;";",";"&amp;SUBSTITUTE(V$7," ","")&amp;";")))),"—",IF(_xlfn.MAXIFS(Acuses!$C$5:$C$3004,Acuses!$A$5:$A$3004,$A69,Acuses!$B$5:$B$3004,V$4)&lt;V$5,"Pendiente",IF(V$8=0,"OK",IF(EDATE(_xlfn.MAXIFS(Acuses!$D$5:$D$3004,Acuses!$A$5:$A$3004,$A69,Acuses!$B$5:$B$3004,V$4,Acuses!$C$5:$C$3004,V$5),V$8)&lt;Resumen!$C$4,"Caducado",IF(EDATE(_xlfn.MAXIFS(Acuses!$D$5:$D$3004,Acuses!$A$5:$A$3004,$A69,Acuses!$B$5:$B$3004,V$4,Acuses!$C$5:$C$3004,V$5),V$8)&lt;Resumen!$C$4+30,"Caduca pronto","OK"))))))</f>
        <v/>
      </c>
      <c r="W69" s="26" t="str">
        <f aca="false">IF(OR($A69="",W$4=""),"",IF(NOT(OR(W$6="Toda la plantilla",ISNUMBER(SEARCH(";"&amp;SUBSTITUTE($C69," ","")&amp;";",";"&amp;SUBSTITUTE(W$7," ","")&amp;";")))),"—",IF(_xlfn.MAXIFS(Acuses!$C$5:$C$3004,Acuses!$A$5:$A$3004,$A69,Acuses!$B$5:$B$3004,W$4)&lt;W$5,"Pendiente",IF(W$8=0,"OK",IF(EDATE(_xlfn.MAXIFS(Acuses!$D$5:$D$3004,Acuses!$A$5:$A$3004,$A69,Acuses!$B$5:$B$3004,W$4,Acuses!$C$5:$C$3004,W$5),W$8)&lt;Resumen!$C$4,"Caducado",IF(EDATE(_xlfn.MAXIFS(Acuses!$D$5:$D$3004,Acuses!$A$5:$A$3004,$A69,Acuses!$B$5:$B$3004,W$4,Acuses!$C$5:$C$3004,W$5),W$8)&lt;Resumen!$C$4+30,"Caduca pronto","OK"))))))</f>
        <v/>
      </c>
      <c r="X69" s="26" t="str">
        <f aca="false">IF(OR($A69="",X$4=""),"",IF(NOT(OR(X$6="Toda la plantilla",ISNUMBER(SEARCH(";"&amp;SUBSTITUTE($C69," ","")&amp;";",";"&amp;SUBSTITUTE(X$7," ","")&amp;";")))),"—",IF(_xlfn.MAXIFS(Acuses!$C$5:$C$3004,Acuses!$A$5:$A$3004,$A69,Acuses!$B$5:$B$3004,X$4)&lt;X$5,"Pendiente",IF(X$8=0,"OK",IF(EDATE(_xlfn.MAXIFS(Acuses!$D$5:$D$3004,Acuses!$A$5:$A$3004,$A69,Acuses!$B$5:$B$3004,X$4,Acuses!$C$5:$C$3004,X$5),X$8)&lt;Resumen!$C$4,"Caducado",IF(EDATE(_xlfn.MAXIFS(Acuses!$D$5:$D$3004,Acuses!$A$5:$A$3004,$A69,Acuses!$B$5:$B$3004,X$4,Acuses!$C$5:$C$3004,X$5),X$8)&lt;Resumen!$C$4+30,"Caduca pronto","OK"))))))</f>
        <v/>
      </c>
      <c r="Y69" s="26" t="str">
        <f aca="false">IF(OR($A69="",Y$4=""),"",IF(NOT(OR(Y$6="Toda la plantilla",ISNUMBER(SEARCH(";"&amp;SUBSTITUTE($C69," ","")&amp;";",";"&amp;SUBSTITUTE(Y$7," ","")&amp;";")))),"—",IF(_xlfn.MAXIFS(Acuses!$C$5:$C$3004,Acuses!$A$5:$A$3004,$A69,Acuses!$B$5:$B$3004,Y$4)&lt;Y$5,"Pendiente",IF(Y$8=0,"OK",IF(EDATE(_xlfn.MAXIFS(Acuses!$D$5:$D$3004,Acuses!$A$5:$A$3004,$A69,Acuses!$B$5:$B$3004,Y$4,Acuses!$C$5:$C$3004,Y$5),Y$8)&lt;Resumen!$C$4,"Caducado",IF(EDATE(_xlfn.MAXIFS(Acuses!$D$5:$D$3004,Acuses!$A$5:$A$3004,$A69,Acuses!$B$5:$B$3004,Y$4,Acuses!$C$5:$C$3004,Y$5),Y$8)&lt;Resumen!$C$4+30,"Caduca pronto","OK"))))))</f>
        <v/>
      </c>
      <c r="Z69" s="26" t="str">
        <f aca="false">IF(OR($A69="",Z$4=""),"",IF(NOT(OR(Z$6="Toda la plantilla",ISNUMBER(SEARCH(";"&amp;SUBSTITUTE($C69," ","")&amp;";",";"&amp;SUBSTITUTE(Z$7," ","")&amp;";")))),"—",IF(_xlfn.MAXIFS(Acuses!$C$5:$C$3004,Acuses!$A$5:$A$3004,$A69,Acuses!$B$5:$B$3004,Z$4)&lt;Z$5,"Pendiente",IF(Z$8=0,"OK",IF(EDATE(_xlfn.MAXIFS(Acuses!$D$5:$D$3004,Acuses!$A$5:$A$3004,$A69,Acuses!$B$5:$B$3004,Z$4,Acuses!$C$5:$C$3004,Z$5),Z$8)&lt;Resumen!$C$4,"Caducado",IF(EDATE(_xlfn.MAXIFS(Acuses!$D$5:$D$3004,Acuses!$A$5:$A$3004,$A69,Acuses!$B$5:$B$3004,Z$4,Acuses!$C$5:$C$3004,Z$5),Z$8)&lt;Resumen!$C$4+30,"Caduca pronto","OK"))))))</f>
        <v/>
      </c>
      <c r="AA69" s="26" t="str">
        <f aca="false">IF(OR($A69="",AA$4=""),"",IF(NOT(OR(AA$6="Toda la plantilla",ISNUMBER(SEARCH(";"&amp;SUBSTITUTE($C69," ","")&amp;";",";"&amp;SUBSTITUTE(AA$7," ","")&amp;";")))),"—",IF(_xlfn.MAXIFS(Acuses!$C$5:$C$3004,Acuses!$A$5:$A$3004,$A69,Acuses!$B$5:$B$3004,AA$4)&lt;AA$5,"Pendiente",IF(AA$8=0,"OK",IF(EDATE(_xlfn.MAXIFS(Acuses!$D$5:$D$3004,Acuses!$A$5:$A$3004,$A69,Acuses!$B$5:$B$3004,AA$4,Acuses!$C$5:$C$3004,AA$5),AA$8)&lt;Resumen!$C$4,"Caducado",IF(EDATE(_xlfn.MAXIFS(Acuses!$D$5:$D$3004,Acuses!$A$5:$A$3004,$A69,Acuses!$B$5:$B$3004,AA$4,Acuses!$C$5:$C$3004,AA$5),AA$8)&lt;Resumen!$C$4+30,"Caduca pronto","OK"))))))</f>
        <v/>
      </c>
      <c r="AB69" s="26" t="str">
        <f aca="false">IF(OR($A69="",AB$4=""),"",IF(NOT(OR(AB$6="Toda la plantilla",ISNUMBER(SEARCH(";"&amp;SUBSTITUTE($C69," ","")&amp;";",";"&amp;SUBSTITUTE(AB$7," ","")&amp;";")))),"—",IF(_xlfn.MAXIFS(Acuses!$C$5:$C$3004,Acuses!$A$5:$A$3004,$A69,Acuses!$B$5:$B$3004,AB$4)&lt;AB$5,"Pendiente",IF(AB$8=0,"OK",IF(EDATE(_xlfn.MAXIFS(Acuses!$D$5:$D$3004,Acuses!$A$5:$A$3004,$A69,Acuses!$B$5:$B$3004,AB$4,Acuses!$C$5:$C$3004,AB$5),AB$8)&lt;Resumen!$C$4,"Caducado",IF(EDATE(_xlfn.MAXIFS(Acuses!$D$5:$D$3004,Acuses!$A$5:$A$3004,$A69,Acuses!$B$5:$B$3004,AB$4,Acuses!$C$5:$C$3004,AB$5),AB$8)&lt;Resumen!$C$4+30,"Caduca pronto","OK"))))))</f>
        <v/>
      </c>
      <c r="AC69" s="26" t="str">
        <f aca="false">IF(OR($A69="",AC$4=""),"",IF(NOT(OR(AC$6="Toda la plantilla",ISNUMBER(SEARCH(";"&amp;SUBSTITUTE($C69," ","")&amp;";",";"&amp;SUBSTITUTE(AC$7," ","")&amp;";")))),"—",IF(_xlfn.MAXIFS(Acuses!$C$5:$C$3004,Acuses!$A$5:$A$3004,$A69,Acuses!$B$5:$B$3004,AC$4)&lt;AC$5,"Pendiente",IF(AC$8=0,"OK",IF(EDATE(_xlfn.MAXIFS(Acuses!$D$5:$D$3004,Acuses!$A$5:$A$3004,$A69,Acuses!$B$5:$B$3004,AC$4,Acuses!$C$5:$C$3004,AC$5),AC$8)&lt;Resumen!$C$4,"Caducado",IF(EDATE(_xlfn.MAXIFS(Acuses!$D$5:$D$3004,Acuses!$A$5:$A$3004,$A69,Acuses!$B$5:$B$3004,AC$4,Acuses!$C$5:$C$3004,AC$5),AC$8)&lt;Resumen!$C$4+30,"Caduca pronto","OK"))))))</f>
        <v/>
      </c>
      <c r="AD69" s="26" t="str">
        <f aca="false">IF(OR($A69="",AD$4=""),"",IF(NOT(OR(AD$6="Toda la plantilla",ISNUMBER(SEARCH(";"&amp;SUBSTITUTE($C69," ","")&amp;";",";"&amp;SUBSTITUTE(AD$7," ","")&amp;";")))),"—",IF(_xlfn.MAXIFS(Acuses!$C$5:$C$3004,Acuses!$A$5:$A$3004,$A69,Acuses!$B$5:$B$3004,AD$4)&lt;AD$5,"Pendiente",IF(AD$8=0,"OK",IF(EDATE(_xlfn.MAXIFS(Acuses!$D$5:$D$3004,Acuses!$A$5:$A$3004,$A69,Acuses!$B$5:$B$3004,AD$4,Acuses!$C$5:$C$3004,AD$5),AD$8)&lt;Resumen!$C$4,"Caducado",IF(EDATE(_xlfn.MAXIFS(Acuses!$D$5:$D$3004,Acuses!$A$5:$A$3004,$A69,Acuses!$B$5:$B$3004,AD$4,Acuses!$C$5:$C$3004,AD$5),AD$8)&lt;Resumen!$C$4+30,"Caduca pronto","OK"))))))</f>
        <v/>
      </c>
      <c r="AE69" s="26" t="str">
        <f aca="false">IF(OR($A69="",AE$4=""),"",IF(NOT(OR(AE$6="Toda la plantilla",ISNUMBER(SEARCH(";"&amp;SUBSTITUTE($C69," ","")&amp;";",";"&amp;SUBSTITUTE(AE$7," ","")&amp;";")))),"—",IF(_xlfn.MAXIFS(Acuses!$C$5:$C$3004,Acuses!$A$5:$A$3004,$A69,Acuses!$B$5:$B$3004,AE$4)&lt;AE$5,"Pendiente",IF(AE$8=0,"OK",IF(EDATE(_xlfn.MAXIFS(Acuses!$D$5:$D$3004,Acuses!$A$5:$A$3004,$A69,Acuses!$B$5:$B$3004,AE$4,Acuses!$C$5:$C$3004,AE$5),AE$8)&lt;Resumen!$C$4,"Caducado",IF(EDATE(_xlfn.MAXIFS(Acuses!$D$5:$D$3004,Acuses!$A$5:$A$3004,$A69,Acuses!$B$5:$B$3004,AE$4,Acuses!$C$5:$C$3004,AE$5),AE$8)&lt;Resumen!$C$4+30,"Caduca pronto","OK"))))))</f>
        <v/>
      </c>
      <c r="AF69" s="26" t="str">
        <f aca="false">IF(OR($A69="",AF$4=""),"",IF(NOT(OR(AF$6="Toda la plantilla",ISNUMBER(SEARCH(";"&amp;SUBSTITUTE($C69," ","")&amp;";",";"&amp;SUBSTITUTE(AF$7," ","")&amp;";")))),"—",IF(_xlfn.MAXIFS(Acuses!$C$5:$C$3004,Acuses!$A$5:$A$3004,$A69,Acuses!$B$5:$B$3004,AF$4)&lt;AF$5,"Pendiente",IF(AF$8=0,"OK",IF(EDATE(_xlfn.MAXIFS(Acuses!$D$5:$D$3004,Acuses!$A$5:$A$3004,$A69,Acuses!$B$5:$B$3004,AF$4,Acuses!$C$5:$C$3004,AF$5),AF$8)&lt;Resumen!$C$4,"Caducado",IF(EDATE(_xlfn.MAXIFS(Acuses!$D$5:$D$3004,Acuses!$A$5:$A$3004,$A69,Acuses!$B$5:$B$3004,AF$4,Acuses!$C$5:$C$3004,AF$5),AF$8)&lt;Resumen!$C$4+30,"Caduca pronto","OK"))))))</f>
        <v/>
      </c>
      <c r="AG69" s="26" t="str">
        <f aca="false">IF(OR($A69="",AG$4=""),"",IF(NOT(OR(AG$6="Toda la plantilla",ISNUMBER(SEARCH(";"&amp;SUBSTITUTE($C69," ","")&amp;";",";"&amp;SUBSTITUTE(AG$7," ","")&amp;";")))),"—",IF(_xlfn.MAXIFS(Acuses!$C$5:$C$3004,Acuses!$A$5:$A$3004,$A69,Acuses!$B$5:$B$3004,AG$4)&lt;AG$5,"Pendiente",IF(AG$8=0,"OK",IF(EDATE(_xlfn.MAXIFS(Acuses!$D$5:$D$3004,Acuses!$A$5:$A$3004,$A69,Acuses!$B$5:$B$3004,AG$4,Acuses!$C$5:$C$3004,AG$5),AG$8)&lt;Resumen!$C$4,"Caducado",IF(EDATE(_xlfn.MAXIFS(Acuses!$D$5:$D$3004,Acuses!$A$5:$A$3004,$A69,Acuses!$B$5:$B$3004,AG$4,Acuses!$C$5:$C$3004,AG$5),AG$8)&lt;Resumen!$C$4+30,"Caduca pronto","OK"))))))</f>
        <v/>
      </c>
      <c r="AH69" s="26" t="str">
        <f aca="false">IF(OR($A69="",AH$4=""),"",IF(NOT(OR(AH$6="Toda la plantilla",ISNUMBER(SEARCH(";"&amp;SUBSTITUTE($C69," ","")&amp;";",";"&amp;SUBSTITUTE(AH$7," ","")&amp;";")))),"—",IF(_xlfn.MAXIFS(Acuses!$C$5:$C$3004,Acuses!$A$5:$A$3004,$A69,Acuses!$B$5:$B$3004,AH$4)&lt;AH$5,"Pendiente",IF(AH$8=0,"OK",IF(EDATE(_xlfn.MAXIFS(Acuses!$D$5:$D$3004,Acuses!$A$5:$A$3004,$A69,Acuses!$B$5:$B$3004,AH$4,Acuses!$C$5:$C$3004,AH$5),AH$8)&lt;Resumen!$C$4,"Caducado",IF(EDATE(_xlfn.MAXIFS(Acuses!$D$5:$D$3004,Acuses!$A$5:$A$3004,$A69,Acuses!$B$5:$B$3004,AH$4,Acuses!$C$5:$C$3004,AH$5),AH$8)&lt;Resumen!$C$4+30,"Caduca pronto","OK"))))))</f>
        <v/>
      </c>
      <c r="AI69" s="26" t="str">
        <f aca="false">IF(OR($A69="",AI$4=""),"",IF(NOT(OR(AI$6="Toda la plantilla",ISNUMBER(SEARCH(";"&amp;SUBSTITUTE($C69," ","")&amp;";",";"&amp;SUBSTITUTE(AI$7," ","")&amp;";")))),"—",IF(_xlfn.MAXIFS(Acuses!$C$5:$C$3004,Acuses!$A$5:$A$3004,$A69,Acuses!$B$5:$B$3004,AI$4)&lt;AI$5,"Pendiente",IF(AI$8=0,"OK",IF(EDATE(_xlfn.MAXIFS(Acuses!$D$5:$D$3004,Acuses!$A$5:$A$3004,$A69,Acuses!$B$5:$B$3004,AI$4,Acuses!$C$5:$C$3004,AI$5),AI$8)&lt;Resumen!$C$4,"Caducado",IF(EDATE(_xlfn.MAXIFS(Acuses!$D$5:$D$3004,Acuses!$A$5:$A$3004,$A69,Acuses!$B$5:$B$3004,AI$4,Acuses!$C$5:$C$3004,AI$5),AI$8)&lt;Resumen!$C$4+30,"Caduca pronto","OK"))))))</f>
        <v/>
      </c>
      <c r="AJ69" s="26" t="str">
        <f aca="false">IF(OR($A69="",AJ$4=""),"",IF(NOT(OR(AJ$6="Toda la plantilla",ISNUMBER(SEARCH(";"&amp;SUBSTITUTE($C69," ","")&amp;";",";"&amp;SUBSTITUTE(AJ$7," ","")&amp;";")))),"—",IF(_xlfn.MAXIFS(Acuses!$C$5:$C$3004,Acuses!$A$5:$A$3004,$A69,Acuses!$B$5:$B$3004,AJ$4)&lt;AJ$5,"Pendiente",IF(AJ$8=0,"OK",IF(EDATE(_xlfn.MAXIFS(Acuses!$D$5:$D$3004,Acuses!$A$5:$A$3004,$A69,Acuses!$B$5:$B$3004,AJ$4,Acuses!$C$5:$C$3004,AJ$5),AJ$8)&lt;Resumen!$C$4,"Caducado",IF(EDATE(_xlfn.MAXIFS(Acuses!$D$5:$D$3004,Acuses!$A$5:$A$3004,$A69,Acuses!$B$5:$B$3004,AJ$4,Acuses!$C$5:$C$3004,AJ$5),AJ$8)&lt;Resumen!$C$4+30,"Caduca pronto","OK"))))))</f>
        <v/>
      </c>
      <c r="AK69" s="26" t="str">
        <f aca="false">IF(OR($A69="",AK$4=""),"",IF(NOT(OR(AK$6="Toda la plantilla",ISNUMBER(SEARCH(";"&amp;SUBSTITUTE($C69," ","")&amp;";",";"&amp;SUBSTITUTE(AK$7," ","")&amp;";")))),"—",IF(_xlfn.MAXIFS(Acuses!$C$5:$C$3004,Acuses!$A$5:$A$3004,$A69,Acuses!$B$5:$B$3004,AK$4)&lt;AK$5,"Pendiente",IF(AK$8=0,"OK",IF(EDATE(_xlfn.MAXIFS(Acuses!$D$5:$D$3004,Acuses!$A$5:$A$3004,$A69,Acuses!$B$5:$B$3004,AK$4,Acuses!$C$5:$C$3004,AK$5),AK$8)&lt;Resumen!$C$4,"Caducado",IF(EDATE(_xlfn.MAXIFS(Acuses!$D$5:$D$3004,Acuses!$A$5:$A$3004,$A69,Acuses!$B$5:$B$3004,AK$4,Acuses!$C$5:$C$3004,AK$5),AK$8)&lt;Resumen!$C$4+30,"Caduca pronto","OK"))))))</f>
        <v/>
      </c>
      <c r="AL69" s="26" t="str">
        <f aca="false">IF(OR($A69="",AL$4=""),"",IF(NOT(OR(AL$6="Toda la plantilla",ISNUMBER(SEARCH(";"&amp;SUBSTITUTE($C69," ","")&amp;";",";"&amp;SUBSTITUTE(AL$7," ","")&amp;";")))),"—",IF(_xlfn.MAXIFS(Acuses!$C$5:$C$3004,Acuses!$A$5:$A$3004,$A69,Acuses!$B$5:$B$3004,AL$4)&lt;AL$5,"Pendiente",IF(AL$8=0,"OK",IF(EDATE(_xlfn.MAXIFS(Acuses!$D$5:$D$3004,Acuses!$A$5:$A$3004,$A69,Acuses!$B$5:$B$3004,AL$4,Acuses!$C$5:$C$3004,AL$5),AL$8)&lt;Resumen!$C$4,"Caducado",IF(EDATE(_xlfn.MAXIFS(Acuses!$D$5:$D$3004,Acuses!$A$5:$A$3004,$A69,Acuses!$B$5:$B$3004,AL$4,Acuses!$C$5:$C$3004,AL$5),AL$8)&lt;Resumen!$C$4+30,"Caduca pronto","OK"))))))</f>
        <v/>
      </c>
      <c r="AM69" s="26" t="str">
        <f aca="false">IF(OR($A69="",AM$4=""),"",IF(NOT(OR(AM$6="Toda la plantilla",ISNUMBER(SEARCH(";"&amp;SUBSTITUTE($C69," ","")&amp;";",";"&amp;SUBSTITUTE(AM$7," ","")&amp;";")))),"—",IF(_xlfn.MAXIFS(Acuses!$C$5:$C$3004,Acuses!$A$5:$A$3004,$A69,Acuses!$B$5:$B$3004,AM$4)&lt;AM$5,"Pendiente",IF(AM$8=0,"OK",IF(EDATE(_xlfn.MAXIFS(Acuses!$D$5:$D$3004,Acuses!$A$5:$A$3004,$A69,Acuses!$B$5:$B$3004,AM$4,Acuses!$C$5:$C$3004,AM$5),AM$8)&lt;Resumen!$C$4,"Caducado",IF(EDATE(_xlfn.MAXIFS(Acuses!$D$5:$D$3004,Acuses!$A$5:$A$3004,$A69,Acuses!$B$5:$B$3004,AM$4,Acuses!$C$5:$C$3004,AM$5),AM$8)&lt;Resumen!$C$4+30,"Caduca pronto","OK"))))))</f>
        <v/>
      </c>
      <c r="AN69" s="26" t="str">
        <f aca="false">IF(OR($A69="",AN$4=""),"",IF(NOT(OR(AN$6="Toda la plantilla",ISNUMBER(SEARCH(";"&amp;SUBSTITUTE($C69," ","")&amp;";",";"&amp;SUBSTITUTE(AN$7," ","")&amp;";")))),"—",IF(_xlfn.MAXIFS(Acuses!$C$5:$C$3004,Acuses!$A$5:$A$3004,$A69,Acuses!$B$5:$B$3004,AN$4)&lt;AN$5,"Pendiente",IF(AN$8=0,"OK",IF(EDATE(_xlfn.MAXIFS(Acuses!$D$5:$D$3004,Acuses!$A$5:$A$3004,$A69,Acuses!$B$5:$B$3004,AN$4,Acuses!$C$5:$C$3004,AN$5),AN$8)&lt;Resumen!$C$4,"Caducado",IF(EDATE(_xlfn.MAXIFS(Acuses!$D$5:$D$3004,Acuses!$A$5:$A$3004,$A69,Acuses!$B$5:$B$3004,AN$4,Acuses!$C$5:$C$3004,AN$5),AN$8)&lt;Resumen!$C$4+30,"Caduca pronto","OK"))))))</f>
        <v/>
      </c>
      <c r="AO69" s="26" t="str">
        <f aca="false">IF(OR($A69="",AO$4=""),"",IF(NOT(OR(AO$6="Toda la plantilla",ISNUMBER(SEARCH(";"&amp;SUBSTITUTE($C69," ","")&amp;";",";"&amp;SUBSTITUTE(AO$7," ","")&amp;";")))),"—",IF(_xlfn.MAXIFS(Acuses!$C$5:$C$3004,Acuses!$A$5:$A$3004,$A69,Acuses!$B$5:$B$3004,AO$4)&lt;AO$5,"Pendiente",IF(AO$8=0,"OK",IF(EDATE(_xlfn.MAXIFS(Acuses!$D$5:$D$3004,Acuses!$A$5:$A$3004,$A69,Acuses!$B$5:$B$3004,AO$4,Acuses!$C$5:$C$3004,AO$5),AO$8)&lt;Resumen!$C$4,"Caducado",IF(EDATE(_xlfn.MAXIFS(Acuses!$D$5:$D$3004,Acuses!$A$5:$A$3004,$A69,Acuses!$B$5:$B$3004,AO$4,Acuses!$C$5:$C$3004,AO$5),AO$8)&lt;Resumen!$C$4+30,"Caduca pronto","OK"))))))</f>
        <v/>
      </c>
      <c r="AP69" s="26" t="str">
        <f aca="false">IF(OR($A69="",AP$4=""),"",IF(NOT(OR(AP$6="Toda la plantilla",ISNUMBER(SEARCH(";"&amp;SUBSTITUTE($C69," ","")&amp;";",";"&amp;SUBSTITUTE(AP$7," ","")&amp;";")))),"—",IF(_xlfn.MAXIFS(Acuses!$C$5:$C$3004,Acuses!$A$5:$A$3004,$A69,Acuses!$B$5:$B$3004,AP$4)&lt;AP$5,"Pendiente",IF(AP$8=0,"OK",IF(EDATE(_xlfn.MAXIFS(Acuses!$D$5:$D$3004,Acuses!$A$5:$A$3004,$A69,Acuses!$B$5:$B$3004,AP$4,Acuses!$C$5:$C$3004,AP$5),AP$8)&lt;Resumen!$C$4,"Caducado",IF(EDATE(_xlfn.MAXIFS(Acuses!$D$5:$D$3004,Acuses!$A$5:$A$3004,$A69,Acuses!$B$5:$B$3004,AP$4,Acuses!$C$5:$C$3004,AP$5),AP$8)&lt;Resumen!$C$4+30,"Caduca pronto","OK"))))))</f>
        <v/>
      </c>
      <c r="AQ69" s="26" t="str">
        <f aca="false">IF(OR($A69="",AQ$4=""),"",IF(NOT(OR(AQ$6="Toda la plantilla",ISNUMBER(SEARCH(";"&amp;SUBSTITUTE($C69," ","")&amp;";",";"&amp;SUBSTITUTE(AQ$7," ","")&amp;";")))),"—",IF(_xlfn.MAXIFS(Acuses!$C$5:$C$3004,Acuses!$A$5:$A$3004,$A69,Acuses!$B$5:$B$3004,AQ$4)&lt;AQ$5,"Pendiente",IF(AQ$8=0,"OK",IF(EDATE(_xlfn.MAXIFS(Acuses!$D$5:$D$3004,Acuses!$A$5:$A$3004,$A69,Acuses!$B$5:$B$3004,AQ$4,Acuses!$C$5:$C$3004,AQ$5),AQ$8)&lt;Resumen!$C$4,"Caducado",IF(EDATE(_xlfn.MAXIFS(Acuses!$D$5:$D$3004,Acuses!$A$5:$A$3004,$A69,Acuses!$B$5:$B$3004,AQ$4,Acuses!$C$5:$C$3004,AQ$5),AQ$8)&lt;Resumen!$C$4+30,"Caduca pronto","OK"))))))</f>
        <v/>
      </c>
    </row>
    <row r="70" customFormat="false" ht="15" hidden="false" customHeight="false" outlineLevel="0" collapsed="false">
      <c r="A70" s="25" t="str">
        <f aca="false">IF(AND(Trabajadores!$A$65&lt;&gt;"",Trabajadores!$G$65&lt;&gt;"No"),Trabajadores!$A$65,"")</f>
        <v/>
      </c>
      <c r="B70" s="25" t="str">
        <f aca="false">IF($A70="","",Trabajadores!$B$65)</f>
        <v/>
      </c>
      <c r="C70" s="25" t="str">
        <f aca="false">IF($A70="","",Trabajadores!$C$65)</f>
        <v/>
      </c>
      <c r="D70" s="26" t="str">
        <f aca="false">IF(OR($A70="",D$4=""),"",IF(NOT(OR(D$6="Toda la plantilla",ISNUMBER(SEARCH(";"&amp;SUBSTITUTE($C70," ","")&amp;";",";"&amp;SUBSTITUTE(D$7," ","")&amp;";")))),"—",IF(_xlfn.MAXIFS(Acuses!$C$5:$C$3004,Acuses!$A$5:$A$3004,$A70,Acuses!$B$5:$B$3004,D$4)&lt;D$5,"Pendiente",IF(D$8=0,"OK",IF(EDATE(_xlfn.MAXIFS(Acuses!$D$5:$D$3004,Acuses!$A$5:$A$3004,$A70,Acuses!$B$5:$B$3004,D$4,Acuses!$C$5:$C$3004,D$5),D$8)&lt;Resumen!$C$4,"Caducado",IF(EDATE(_xlfn.MAXIFS(Acuses!$D$5:$D$3004,Acuses!$A$5:$A$3004,$A70,Acuses!$B$5:$B$3004,D$4,Acuses!$C$5:$C$3004,D$5),D$8)&lt;Resumen!$C$4+30,"Caduca pronto","OK"))))))</f>
        <v/>
      </c>
      <c r="E70" s="26" t="str">
        <f aca="false">IF(OR($A70="",E$4=""),"",IF(NOT(OR(E$6="Toda la plantilla",ISNUMBER(SEARCH(";"&amp;SUBSTITUTE($C70," ","")&amp;";",";"&amp;SUBSTITUTE(E$7," ","")&amp;";")))),"—",IF(_xlfn.MAXIFS(Acuses!$C$5:$C$3004,Acuses!$A$5:$A$3004,$A70,Acuses!$B$5:$B$3004,E$4)&lt;E$5,"Pendiente",IF(E$8=0,"OK",IF(EDATE(_xlfn.MAXIFS(Acuses!$D$5:$D$3004,Acuses!$A$5:$A$3004,$A70,Acuses!$B$5:$B$3004,E$4,Acuses!$C$5:$C$3004,E$5),E$8)&lt;Resumen!$C$4,"Caducado",IF(EDATE(_xlfn.MAXIFS(Acuses!$D$5:$D$3004,Acuses!$A$5:$A$3004,$A70,Acuses!$B$5:$B$3004,E$4,Acuses!$C$5:$C$3004,E$5),E$8)&lt;Resumen!$C$4+30,"Caduca pronto","OK"))))))</f>
        <v/>
      </c>
      <c r="F70" s="26" t="str">
        <f aca="false">IF(OR($A70="",F$4=""),"",IF(NOT(OR(F$6="Toda la plantilla",ISNUMBER(SEARCH(";"&amp;SUBSTITUTE($C70," ","")&amp;";",";"&amp;SUBSTITUTE(F$7," ","")&amp;";")))),"—",IF(_xlfn.MAXIFS(Acuses!$C$5:$C$3004,Acuses!$A$5:$A$3004,$A70,Acuses!$B$5:$B$3004,F$4)&lt;F$5,"Pendiente",IF(F$8=0,"OK",IF(EDATE(_xlfn.MAXIFS(Acuses!$D$5:$D$3004,Acuses!$A$5:$A$3004,$A70,Acuses!$B$5:$B$3004,F$4,Acuses!$C$5:$C$3004,F$5),F$8)&lt;Resumen!$C$4,"Caducado",IF(EDATE(_xlfn.MAXIFS(Acuses!$D$5:$D$3004,Acuses!$A$5:$A$3004,$A70,Acuses!$B$5:$B$3004,F$4,Acuses!$C$5:$C$3004,F$5),F$8)&lt;Resumen!$C$4+30,"Caduca pronto","OK"))))))</f>
        <v/>
      </c>
      <c r="G70" s="26" t="str">
        <f aca="false">IF(OR($A70="",G$4=""),"",IF(NOT(OR(G$6="Toda la plantilla",ISNUMBER(SEARCH(";"&amp;SUBSTITUTE($C70," ","")&amp;";",";"&amp;SUBSTITUTE(G$7," ","")&amp;";")))),"—",IF(_xlfn.MAXIFS(Acuses!$C$5:$C$3004,Acuses!$A$5:$A$3004,$A70,Acuses!$B$5:$B$3004,G$4)&lt;G$5,"Pendiente",IF(G$8=0,"OK",IF(EDATE(_xlfn.MAXIFS(Acuses!$D$5:$D$3004,Acuses!$A$5:$A$3004,$A70,Acuses!$B$5:$B$3004,G$4,Acuses!$C$5:$C$3004,G$5),G$8)&lt;Resumen!$C$4,"Caducado",IF(EDATE(_xlfn.MAXIFS(Acuses!$D$5:$D$3004,Acuses!$A$5:$A$3004,$A70,Acuses!$B$5:$B$3004,G$4,Acuses!$C$5:$C$3004,G$5),G$8)&lt;Resumen!$C$4+30,"Caduca pronto","OK"))))))</f>
        <v/>
      </c>
      <c r="H70" s="26" t="str">
        <f aca="false">IF(OR($A70="",H$4=""),"",IF(NOT(OR(H$6="Toda la plantilla",ISNUMBER(SEARCH(";"&amp;SUBSTITUTE($C70," ","")&amp;";",";"&amp;SUBSTITUTE(H$7," ","")&amp;";")))),"—",IF(_xlfn.MAXIFS(Acuses!$C$5:$C$3004,Acuses!$A$5:$A$3004,$A70,Acuses!$B$5:$B$3004,H$4)&lt;H$5,"Pendiente",IF(H$8=0,"OK",IF(EDATE(_xlfn.MAXIFS(Acuses!$D$5:$D$3004,Acuses!$A$5:$A$3004,$A70,Acuses!$B$5:$B$3004,H$4,Acuses!$C$5:$C$3004,H$5),H$8)&lt;Resumen!$C$4,"Caducado",IF(EDATE(_xlfn.MAXIFS(Acuses!$D$5:$D$3004,Acuses!$A$5:$A$3004,$A70,Acuses!$B$5:$B$3004,H$4,Acuses!$C$5:$C$3004,H$5),H$8)&lt;Resumen!$C$4+30,"Caduca pronto","OK"))))))</f>
        <v/>
      </c>
      <c r="I70" s="26" t="str">
        <f aca="false">IF(OR($A70="",I$4=""),"",IF(NOT(OR(I$6="Toda la plantilla",ISNUMBER(SEARCH(";"&amp;SUBSTITUTE($C70," ","")&amp;";",";"&amp;SUBSTITUTE(I$7," ","")&amp;";")))),"—",IF(_xlfn.MAXIFS(Acuses!$C$5:$C$3004,Acuses!$A$5:$A$3004,$A70,Acuses!$B$5:$B$3004,I$4)&lt;I$5,"Pendiente",IF(I$8=0,"OK",IF(EDATE(_xlfn.MAXIFS(Acuses!$D$5:$D$3004,Acuses!$A$5:$A$3004,$A70,Acuses!$B$5:$B$3004,I$4,Acuses!$C$5:$C$3004,I$5),I$8)&lt;Resumen!$C$4,"Caducado",IF(EDATE(_xlfn.MAXIFS(Acuses!$D$5:$D$3004,Acuses!$A$5:$A$3004,$A70,Acuses!$B$5:$B$3004,I$4,Acuses!$C$5:$C$3004,I$5),I$8)&lt;Resumen!$C$4+30,"Caduca pronto","OK"))))))</f>
        <v/>
      </c>
      <c r="J70" s="26" t="str">
        <f aca="false">IF(OR($A70="",J$4=""),"",IF(NOT(OR(J$6="Toda la plantilla",ISNUMBER(SEARCH(";"&amp;SUBSTITUTE($C70," ","")&amp;";",";"&amp;SUBSTITUTE(J$7," ","")&amp;";")))),"—",IF(_xlfn.MAXIFS(Acuses!$C$5:$C$3004,Acuses!$A$5:$A$3004,$A70,Acuses!$B$5:$B$3004,J$4)&lt;J$5,"Pendiente",IF(J$8=0,"OK",IF(EDATE(_xlfn.MAXIFS(Acuses!$D$5:$D$3004,Acuses!$A$5:$A$3004,$A70,Acuses!$B$5:$B$3004,J$4,Acuses!$C$5:$C$3004,J$5),J$8)&lt;Resumen!$C$4,"Caducado",IF(EDATE(_xlfn.MAXIFS(Acuses!$D$5:$D$3004,Acuses!$A$5:$A$3004,$A70,Acuses!$B$5:$B$3004,J$4,Acuses!$C$5:$C$3004,J$5),J$8)&lt;Resumen!$C$4+30,"Caduca pronto","OK"))))))</f>
        <v/>
      </c>
      <c r="K70" s="26" t="str">
        <f aca="false">IF(OR($A70="",K$4=""),"",IF(NOT(OR(K$6="Toda la plantilla",ISNUMBER(SEARCH(";"&amp;SUBSTITUTE($C70," ","")&amp;";",";"&amp;SUBSTITUTE(K$7," ","")&amp;";")))),"—",IF(_xlfn.MAXIFS(Acuses!$C$5:$C$3004,Acuses!$A$5:$A$3004,$A70,Acuses!$B$5:$B$3004,K$4)&lt;K$5,"Pendiente",IF(K$8=0,"OK",IF(EDATE(_xlfn.MAXIFS(Acuses!$D$5:$D$3004,Acuses!$A$5:$A$3004,$A70,Acuses!$B$5:$B$3004,K$4,Acuses!$C$5:$C$3004,K$5),K$8)&lt;Resumen!$C$4,"Caducado",IF(EDATE(_xlfn.MAXIFS(Acuses!$D$5:$D$3004,Acuses!$A$5:$A$3004,$A70,Acuses!$B$5:$B$3004,K$4,Acuses!$C$5:$C$3004,K$5),K$8)&lt;Resumen!$C$4+30,"Caduca pronto","OK"))))))</f>
        <v/>
      </c>
      <c r="L70" s="26" t="str">
        <f aca="false">IF(OR($A70="",L$4=""),"",IF(NOT(OR(L$6="Toda la plantilla",ISNUMBER(SEARCH(";"&amp;SUBSTITUTE($C70," ","")&amp;";",";"&amp;SUBSTITUTE(L$7," ","")&amp;";")))),"—",IF(_xlfn.MAXIFS(Acuses!$C$5:$C$3004,Acuses!$A$5:$A$3004,$A70,Acuses!$B$5:$B$3004,L$4)&lt;L$5,"Pendiente",IF(L$8=0,"OK",IF(EDATE(_xlfn.MAXIFS(Acuses!$D$5:$D$3004,Acuses!$A$5:$A$3004,$A70,Acuses!$B$5:$B$3004,L$4,Acuses!$C$5:$C$3004,L$5),L$8)&lt;Resumen!$C$4,"Caducado",IF(EDATE(_xlfn.MAXIFS(Acuses!$D$5:$D$3004,Acuses!$A$5:$A$3004,$A70,Acuses!$B$5:$B$3004,L$4,Acuses!$C$5:$C$3004,L$5),L$8)&lt;Resumen!$C$4+30,"Caduca pronto","OK"))))))</f>
        <v/>
      </c>
      <c r="M70" s="26" t="str">
        <f aca="false">IF(OR($A70="",M$4=""),"",IF(NOT(OR(M$6="Toda la plantilla",ISNUMBER(SEARCH(";"&amp;SUBSTITUTE($C70," ","")&amp;";",";"&amp;SUBSTITUTE(M$7," ","")&amp;";")))),"—",IF(_xlfn.MAXIFS(Acuses!$C$5:$C$3004,Acuses!$A$5:$A$3004,$A70,Acuses!$B$5:$B$3004,M$4)&lt;M$5,"Pendiente",IF(M$8=0,"OK",IF(EDATE(_xlfn.MAXIFS(Acuses!$D$5:$D$3004,Acuses!$A$5:$A$3004,$A70,Acuses!$B$5:$B$3004,M$4,Acuses!$C$5:$C$3004,M$5),M$8)&lt;Resumen!$C$4,"Caducado",IF(EDATE(_xlfn.MAXIFS(Acuses!$D$5:$D$3004,Acuses!$A$5:$A$3004,$A70,Acuses!$B$5:$B$3004,M$4,Acuses!$C$5:$C$3004,M$5),M$8)&lt;Resumen!$C$4+30,"Caduca pronto","OK"))))))</f>
        <v/>
      </c>
      <c r="N70" s="26" t="str">
        <f aca="false">IF(OR($A70="",N$4=""),"",IF(NOT(OR(N$6="Toda la plantilla",ISNUMBER(SEARCH(";"&amp;SUBSTITUTE($C70," ","")&amp;";",";"&amp;SUBSTITUTE(N$7," ","")&amp;";")))),"—",IF(_xlfn.MAXIFS(Acuses!$C$5:$C$3004,Acuses!$A$5:$A$3004,$A70,Acuses!$B$5:$B$3004,N$4)&lt;N$5,"Pendiente",IF(N$8=0,"OK",IF(EDATE(_xlfn.MAXIFS(Acuses!$D$5:$D$3004,Acuses!$A$5:$A$3004,$A70,Acuses!$B$5:$B$3004,N$4,Acuses!$C$5:$C$3004,N$5),N$8)&lt;Resumen!$C$4,"Caducado",IF(EDATE(_xlfn.MAXIFS(Acuses!$D$5:$D$3004,Acuses!$A$5:$A$3004,$A70,Acuses!$B$5:$B$3004,N$4,Acuses!$C$5:$C$3004,N$5),N$8)&lt;Resumen!$C$4+30,"Caduca pronto","OK"))))))</f>
        <v/>
      </c>
      <c r="O70" s="26" t="str">
        <f aca="false">IF(OR($A70="",O$4=""),"",IF(NOT(OR(O$6="Toda la plantilla",ISNUMBER(SEARCH(";"&amp;SUBSTITUTE($C70," ","")&amp;";",";"&amp;SUBSTITUTE(O$7," ","")&amp;";")))),"—",IF(_xlfn.MAXIFS(Acuses!$C$5:$C$3004,Acuses!$A$5:$A$3004,$A70,Acuses!$B$5:$B$3004,O$4)&lt;O$5,"Pendiente",IF(O$8=0,"OK",IF(EDATE(_xlfn.MAXIFS(Acuses!$D$5:$D$3004,Acuses!$A$5:$A$3004,$A70,Acuses!$B$5:$B$3004,O$4,Acuses!$C$5:$C$3004,O$5),O$8)&lt;Resumen!$C$4,"Caducado",IF(EDATE(_xlfn.MAXIFS(Acuses!$D$5:$D$3004,Acuses!$A$5:$A$3004,$A70,Acuses!$B$5:$B$3004,O$4,Acuses!$C$5:$C$3004,O$5),O$8)&lt;Resumen!$C$4+30,"Caduca pronto","OK"))))))</f>
        <v/>
      </c>
      <c r="P70" s="26" t="str">
        <f aca="false">IF(OR($A70="",P$4=""),"",IF(NOT(OR(P$6="Toda la plantilla",ISNUMBER(SEARCH(";"&amp;SUBSTITUTE($C70," ","")&amp;";",";"&amp;SUBSTITUTE(P$7," ","")&amp;";")))),"—",IF(_xlfn.MAXIFS(Acuses!$C$5:$C$3004,Acuses!$A$5:$A$3004,$A70,Acuses!$B$5:$B$3004,P$4)&lt;P$5,"Pendiente",IF(P$8=0,"OK",IF(EDATE(_xlfn.MAXIFS(Acuses!$D$5:$D$3004,Acuses!$A$5:$A$3004,$A70,Acuses!$B$5:$B$3004,P$4,Acuses!$C$5:$C$3004,P$5),P$8)&lt;Resumen!$C$4,"Caducado",IF(EDATE(_xlfn.MAXIFS(Acuses!$D$5:$D$3004,Acuses!$A$5:$A$3004,$A70,Acuses!$B$5:$B$3004,P$4,Acuses!$C$5:$C$3004,P$5),P$8)&lt;Resumen!$C$4+30,"Caduca pronto","OK"))))))</f>
        <v/>
      </c>
      <c r="Q70" s="26" t="str">
        <f aca="false">IF(OR($A70="",Q$4=""),"",IF(NOT(OR(Q$6="Toda la plantilla",ISNUMBER(SEARCH(";"&amp;SUBSTITUTE($C70," ","")&amp;";",";"&amp;SUBSTITUTE(Q$7," ","")&amp;";")))),"—",IF(_xlfn.MAXIFS(Acuses!$C$5:$C$3004,Acuses!$A$5:$A$3004,$A70,Acuses!$B$5:$B$3004,Q$4)&lt;Q$5,"Pendiente",IF(Q$8=0,"OK",IF(EDATE(_xlfn.MAXIFS(Acuses!$D$5:$D$3004,Acuses!$A$5:$A$3004,$A70,Acuses!$B$5:$B$3004,Q$4,Acuses!$C$5:$C$3004,Q$5),Q$8)&lt;Resumen!$C$4,"Caducado",IF(EDATE(_xlfn.MAXIFS(Acuses!$D$5:$D$3004,Acuses!$A$5:$A$3004,$A70,Acuses!$B$5:$B$3004,Q$4,Acuses!$C$5:$C$3004,Q$5),Q$8)&lt;Resumen!$C$4+30,"Caduca pronto","OK"))))))</f>
        <v/>
      </c>
      <c r="R70" s="26" t="str">
        <f aca="false">IF(OR($A70="",R$4=""),"",IF(NOT(OR(R$6="Toda la plantilla",ISNUMBER(SEARCH(";"&amp;SUBSTITUTE($C70," ","")&amp;";",";"&amp;SUBSTITUTE(R$7," ","")&amp;";")))),"—",IF(_xlfn.MAXIFS(Acuses!$C$5:$C$3004,Acuses!$A$5:$A$3004,$A70,Acuses!$B$5:$B$3004,R$4)&lt;R$5,"Pendiente",IF(R$8=0,"OK",IF(EDATE(_xlfn.MAXIFS(Acuses!$D$5:$D$3004,Acuses!$A$5:$A$3004,$A70,Acuses!$B$5:$B$3004,R$4,Acuses!$C$5:$C$3004,R$5),R$8)&lt;Resumen!$C$4,"Caducado",IF(EDATE(_xlfn.MAXIFS(Acuses!$D$5:$D$3004,Acuses!$A$5:$A$3004,$A70,Acuses!$B$5:$B$3004,R$4,Acuses!$C$5:$C$3004,R$5),R$8)&lt;Resumen!$C$4+30,"Caduca pronto","OK"))))))</f>
        <v/>
      </c>
      <c r="S70" s="26" t="str">
        <f aca="false">IF(OR($A70="",S$4=""),"",IF(NOT(OR(S$6="Toda la plantilla",ISNUMBER(SEARCH(";"&amp;SUBSTITUTE($C70," ","")&amp;";",";"&amp;SUBSTITUTE(S$7," ","")&amp;";")))),"—",IF(_xlfn.MAXIFS(Acuses!$C$5:$C$3004,Acuses!$A$5:$A$3004,$A70,Acuses!$B$5:$B$3004,S$4)&lt;S$5,"Pendiente",IF(S$8=0,"OK",IF(EDATE(_xlfn.MAXIFS(Acuses!$D$5:$D$3004,Acuses!$A$5:$A$3004,$A70,Acuses!$B$5:$B$3004,S$4,Acuses!$C$5:$C$3004,S$5),S$8)&lt;Resumen!$C$4,"Caducado",IF(EDATE(_xlfn.MAXIFS(Acuses!$D$5:$D$3004,Acuses!$A$5:$A$3004,$A70,Acuses!$B$5:$B$3004,S$4,Acuses!$C$5:$C$3004,S$5),S$8)&lt;Resumen!$C$4+30,"Caduca pronto","OK"))))))</f>
        <v/>
      </c>
      <c r="T70" s="26" t="str">
        <f aca="false">IF(OR($A70="",T$4=""),"",IF(NOT(OR(T$6="Toda la plantilla",ISNUMBER(SEARCH(";"&amp;SUBSTITUTE($C70," ","")&amp;";",";"&amp;SUBSTITUTE(T$7," ","")&amp;";")))),"—",IF(_xlfn.MAXIFS(Acuses!$C$5:$C$3004,Acuses!$A$5:$A$3004,$A70,Acuses!$B$5:$B$3004,T$4)&lt;T$5,"Pendiente",IF(T$8=0,"OK",IF(EDATE(_xlfn.MAXIFS(Acuses!$D$5:$D$3004,Acuses!$A$5:$A$3004,$A70,Acuses!$B$5:$B$3004,T$4,Acuses!$C$5:$C$3004,T$5),T$8)&lt;Resumen!$C$4,"Caducado",IF(EDATE(_xlfn.MAXIFS(Acuses!$D$5:$D$3004,Acuses!$A$5:$A$3004,$A70,Acuses!$B$5:$B$3004,T$4,Acuses!$C$5:$C$3004,T$5),T$8)&lt;Resumen!$C$4+30,"Caduca pronto","OK"))))))</f>
        <v/>
      </c>
      <c r="U70" s="26" t="str">
        <f aca="false">IF(OR($A70="",U$4=""),"",IF(NOT(OR(U$6="Toda la plantilla",ISNUMBER(SEARCH(";"&amp;SUBSTITUTE($C70," ","")&amp;";",";"&amp;SUBSTITUTE(U$7," ","")&amp;";")))),"—",IF(_xlfn.MAXIFS(Acuses!$C$5:$C$3004,Acuses!$A$5:$A$3004,$A70,Acuses!$B$5:$B$3004,U$4)&lt;U$5,"Pendiente",IF(U$8=0,"OK",IF(EDATE(_xlfn.MAXIFS(Acuses!$D$5:$D$3004,Acuses!$A$5:$A$3004,$A70,Acuses!$B$5:$B$3004,U$4,Acuses!$C$5:$C$3004,U$5),U$8)&lt;Resumen!$C$4,"Caducado",IF(EDATE(_xlfn.MAXIFS(Acuses!$D$5:$D$3004,Acuses!$A$5:$A$3004,$A70,Acuses!$B$5:$B$3004,U$4,Acuses!$C$5:$C$3004,U$5),U$8)&lt;Resumen!$C$4+30,"Caduca pronto","OK"))))))</f>
        <v/>
      </c>
      <c r="V70" s="26" t="str">
        <f aca="false">IF(OR($A70="",V$4=""),"",IF(NOT(OR(V$6="Toda la plantilla",ISNUMBER(SEARCH(";"&amp;SUBSTITUTE($C70," ","")&amp;";",";"&amp;SUBSTITUTE(V$7," ","")&amp;";")))),"—",IF(_xlfn.MAXIFS(Acuses!$C$5:$C$3004,Acuses!$A$5:$A$3004,$A70,Acuses!$B$5:$B$3004,V$4)&lt;V$5,"Pendiente",IF(V$8=0,"OK",IF(EDATE(_xlfn.MAXIFS(Acuses!$D$5:$D$3004,Acuses!$A$5:$A$3004,$A70,Acuses!$B$5:$B$3004,V$4,Acuses!$C$5:$C$3004,V$5),V$8)&lt;Resumen!$C$4,"Caducado",IF(EDATE(_xlfn.MAXIFS(Acuses!$D$5:$D$3004,Acuses!$A$5:$A$3004,$A70,Acuses!$B$5:$B$3004,V$4,Acuses!$C$5:$C$3004,V$5),V$8)&lt;Resumen!$C$4+30,"Caduca pronto","OK"))))))</f>
        <v/>
      </c>
      <c r="W70" s="26" t="str">
        <f aca="false">IF(OR($A70="",W$4=""),"",IF(NOT(OR(W$6="Toda la plantilla",ISNUMBER(SEARCH(";"&amp;SUBSTITUTE($C70," ","")&amp;";",";"&amp;SUBSTITUTE(W$7," ","")&amp;";")))),"—",IF(_xlfn.MAXIFS(Acuses!$C$5:$C$3004,Acuses!$A$5:$A$3004,$A70,Acuses!$B$5:$B$3004,W$4)&lt;W$5,"Pendiente",IF(W$8=0,"OK",IF(EDATE(_xlfn.MAXIFS(Acuses!$D$5:$D$3004,Acuses!$A$5:$A$3004,$A70,Acuses!$B$5:$B$3004,W$4,Acuses!$C$5:$C$3004,W$5),W$8)&lt;Resumen!$C$4,"Caducado",IF(EDATE(_xlfn.MAXIFS(Acuses!$D$5:$D$3004,Acuses!$A$5:$A$3004,$A70,Acuses!$B$5:$B$3004,W$4,Acuses!$C$5:$C$3004,W$5),W$8)&lt;Resumen!$C$4+30,"Caduca pronto","OK"))))))</f>
        <v/>
      </c>
      <c r="X70" s="26" t="str">
        <f aca="false">IF(OR($A70="",X$4=""),"",IF(NOT(OR(X$6="Toda la plantilla",ISNUMBER(SEARCH(";"&amp;SUBSTITUTE($C70," ","")&amp;";",";"&amp;SUBSTITUTE(X$7," ","")&amp;";")))),"—",IF(_xlfn.MAXIFS(Acuses!$C$5:$C$3004,Acuses!$A$5:$A$3004,$A70,Acuses!$B$5:$B$3004,X$4)&lt;X$5,"Pendiente",IF(X$8=0,"OK",IF(EDATE(_xlfn.MAXIFS(Acuses!$D$5:$D$3004,Acuses!$A$5:$A$3004,$A70,Acuses!$B$5:$B$3004,X$4,Acuses!$C$5:$C$3004,X$5),X$8)&lt;Resumen!$C$4,"Caducado",IF(EDATE(_xlfn.MAXIFS(Acuses!$D$5:$D$3004,Acuses!$A$5:$A$3004,$A70,Acuses!$B$5:$B$3004,X$4,Acuses!$C$5:$C$3004,X$5),X$8)&lt;Resumen!$C$4+30,"Caduca pronto","OK"))))))</f>
        <v/>
      </c>
      <c r="Y70" s="26" t="str">
        <f aca="false">IF(OR($A70="",Y$4=""),"",IF(NOT(OR(Y$6="Toda la plantilla",ISNUMBER(SEARCH(";"&amp;SUBSTITUTE($C70," ","")&amp;";",";"&amp;SUBSTITUTE(Y$7," ","")&amp;";")))),"—",IF(_xlfn.MAXIFS(Acuses!$C$5:$C$3004,Acuses!$A$5:$A$3004,$A70,Acuses!$B$5:$B$3004,Y$4)&lt;Y$5,"Pendiente",IF(Y$8=0,"OK",IF(EDATE(_xlfn.MAXIFS(Acuses!$D$5:$D$3004,Acuses!$A$5:$A$3004,$A70,Acuses!$B$5:$B$3004,Y$4,Acuses!$C$5:$C$3004,Y$5),Y$8)&lt;Resumen!$C$4,"Caducado",IF(EDATE(_xlfn.MAXIFS(Acuses!$D$5:$D$3004,Acuses!$A$5:$A$3004,$A70,Acuses!$B$5:$B$3004,Y$4,Acuses!$C$5:$C$3004,Y$5),Y$8)&lt;Resumen!$C$4+30,"Caduca pronto","OK"))))))</f>
        <v/>
      </c>
      <c r="Z70" s="26" t="str">
        <f aca="false">IF(OR($A70="",Z$4=""),"",IF(NOT(OR(Z$6="Toda la plantilla",ISNUMBER(SEARCH(";"&amp;SUBSTITUTE($C70," ","")&amp;";",";"&amp;SUBSTITUTE(Z$7," ","")&amp;";")))),"—",IF(_xlfn.MAXIFS(Acuses!$C$5:$C$3004,Acuses!$A$5:$A$3004,$A70,Acuses!$B$5:$B$3004,Z$4)&lt;Z$5,"Pendiente",IF(Z$8=0,"OK",IF(EDATE(_xlfn.MAXIFS(Acuses!$D$5:$D$3004,Acuses!$A$5:$A$3004,$A70,Acuses!$B$5:$B$3004,Z$4,Acuses!$C$5:$C$3004,Z$5),Z$8)&lt;Resumen!$C$4,"Caducado",IF(EDATE(_xlfn.MAXIFS(Acuses!$D$5:$D$3004,Acuses!$A$5:$A$3004,$A70,Acuses!$B$5:$B$3004,Z$4,Acuses!$C$5:$C$3004,Z$5),Z$8)&lt;Resumen!$C$4+30,"Caduca pronto","OK"))))))</f>
        <v/>
      </c>
      <c r="AA70" s="26" t="str">
        <f aca="false">IF(OR($A70="",AA$4=""),"",IF(NOT(OR(AA$6="Toda la plantilla",ISNUMBER(SEARCH(";"&amp;SUBSTITUTE($C70," ","")&amp;";",";"&amp;SUBSTITUTE(AA$7," ","")&amp;";")))),"—",IF(_xlfn.MAXIFS(Acuses!$C$5:$C$3004,Acuses!$A$5:$A$3004,$A70,Acuses!$B$5:$B$3004,AA$4)&lt;AA$5,"Pendiente",IF(AA$8=0,"OK",IF(EDATE(_xlfn.MAXIFS(Acuses!$D$5:$D$3004,Acuses!$A$5:$A$3004,$A70,Acuses!$B$5:$B$3004,AA$4,Acuses!$C$5:$C$3004,AA$5),AA$8)&lt;Resumen!$C$4,"Caducado",IF(EDATE(_xlfn.MAXIFS(Acuses!$D$5:$D$3004,Acuses!$A$5:$A$3004,$A70,Acuses!$B$5:$B$3004,AA$4,Acuses!$C$5:$C$3004,AA$5),AA$8)&lt;Resumen!$C$4+30,"Caduca pronto","OK"))))))</f>
        <v/>
      </c>
      <c r="AB70" s="26" t="str">
        <f aca="false">IF(OR($A70="",AB$4=""),"",IF(NOT(OR(AB$6="Toda la plantilla",ISNUMBER(SEARCH(";"&amp;SUBSTITUTE($C70," ","")&amp;";",";"&amp;SUBSTITUTE(AB$7," ","")&amp;";")))),"—",IF(_xlfn.MAXIFS(Acuses!$C$5:$C$3004,Acuses!$A$5:$A$3004,$A70,Acuses!$B$5:$B$3004,AB$4)&lt;AB$5,"Pendiente",IF(AB$8=0,"OK",IF(EDATE(_xlfn.MAXIFS(Acuses!$D$5:$D$3004,Acuses!$A$5:$A$3004,$A70,Acuses!$B$5:$B$3004,AB$4,Acuses!$C$5:$C$3004,AB$5),AB$8)&lt;Resumen!$C$4,"Caducado",IF(EDATE(_xlfn.MAXIFS(Acuses!$D$5:$D$3004,Acuses!$A$5:$A$3004,$A70,Acuses!$B$5:$B$3004,AB$4,Acuses!$C$5:$C$3004,AB$5),AB$8)&lt;Resumen!$C$4+30,"Caduca pronto","OK"))))))</f>
        <v/>
      </c>
      <c r="AC70" s="26" t="str">
        <f aca="false">IF(OR($A70="",AC$4=""),"",IF(NOT(OR(AC$6="Toda la plantilla",ISNUMBER(SEARCH(";"&amp;SUBSTITUTE($C70," ","")&amp;";",";"&amp;SUBSTITUTE(AC$7," ","")&amp;";")))),"—",IF(_xlfn.MAXIFS(Acuses!$C$5:$C$3004,Acuses!$A$5:$A$3004,$A70,Acuses!$B$5:$B$3004,AC$4)&lt;AC$5,"Pendiente",IF(AC$8=0,"OK",IF(EDATE(_xlfn.MAXIFS(Acuses!$D$5:$D$3004,Acuses!$A$5:$A$3004,$A70,Acuses!$B$5:$B$3004,AC$4,Acuses!$C$5:$C$3004,AC$5),AC$8)&lt;Resumen!$C$4,"Caducado",IF(EDATE(_xlfn.MAXIFS(Acuses!$D$5:$D$3004,Acuses!$A$5:$A$3004,$A70,Acuses!$B$5:$B$3004,AC$4,Acuses!$C$5:$C$3004,AC$5),AC$8)&lt;Resumen!$C$4+30,"Caduca pronto","OK"))))))</f>
        <v/>
      </c>
      <c r="AD70" s="26" t="str">
        <f aca="false">IF(OR($A70="",AD$4=""),"",IF(NOT(OR(AD$6="Toda la plantilla",ISNUMBER(SEARCH(";"&amp;SUBSTITUTE($C70," ","")&amp;";",";"&amp;SUBSTITUTE(AD$7," ","")&amp;";")))),"—",IF(_xlfn.MAXIFS(Acuses!$C$5:$C$3004,Acuses!$A$5:$A$3004,$A70,Acuses!$B$5:$B$3004,AD$4)&lt;AD$5,"Pendiente",IF(AD$8=0,"OK",IF(EDATE(_xlfn.MAXIFS(Acuses!$D$5:$D$3004,Acuses!$A$5:$A$3004,$A70,Acuses!$B$5:$B$3004,AD$4,Acuses!$C$5:$C$3004,AD$5),AD$8)&lt;Resumen!$C$4,"Caducado",IF(EDATE(_xlfn.MAXIFS(Acuses!$D$5:$D$3004,Acuses!$A$5:$A$3004,$A70,Acuses!$B$5:$B$3004,AD$4,Acuses!$C$5:$C$3004,AD$5),AD$8)&lt;Resumen!$C$4+30,"Caduca pronto","OK"))))))</f>
        <v/>
      </c>
      <c r="AE70" s="26" t="str">
        <f aca="false">IF(OR($A70="",AE$4=""),"",IF(NOT(OR(AE$6="Toda la plantilla",ISNUMBER(SEARCH(";"&amp;SUBSTITUTE($C70," ","")&amp;";",";"&amp;SUBSTITUTE(AE$7," ","")&amp;";")))),"—",IF(_xlfn.MAXIFS(Acuses!$C$5:$C$3004,Acuses!$A$5:$A$3004,$A70,Acuses!$B$5:$B$3004,AE$4)&lt;AE$5,"Pendiente",IF(AE$8=0,"OK",IF(EDATE(_xlfn.MAXIFS(Acuses!$D$5:$D$3004,Acuses!$A$5:$A$3004,$A70,Acuses!$B$5:$B$3004,AE$4,Acuses!$C$5:$C$3004,AE$5),AE$8)&lt;Resumen!$C$4,"Caducado",IF(EDATE(_xlfn.MAXIFS(Acuses!$D$5:$D$3004,Acuses!$A$5:$A$3004,$A70,Acuses!$B$5:$B$3004,AE$4,Acuses!$C$5:$C$3004,AE$5),AE$8)&lt;Resumen!$C$4+30,"Caduca pronto","OK"))))))</f>
        <v/>
      </c>
      <c r="AF70" s="26" t="str">
        <f aca="false">IF(OR($A70="",AF$4=""),"",IF(NOT(OR(AF$6="Toda la plantilla",ISNUMBER(SEARCH(";"&amp;SUBSTITUTE($C70," ","")&amp;";",";"&amp;SUBSTITUTE(AF$7," ","")&amp;";")))),"—",IF(_xlfn.MAXIFS(Acuses!$C$5:$C$3004,Acuses!$A$5:$A$3004,$A70,Acuses!$B$5:$B$3004,AF$4)&lt;AF$5,"Pendiente",IF(AF$8=0,"OK",IF(EDATE(_xlfn.MAXIFS(Acuses!$D$5:$D$3004,Acuses!$A$5:$A$3004,$A70,Acuses!$B$5:$B$3004,AF$4,Acuses!$C$5:$C$3004,AF$5),AF$8)&lt;Resumen!$C$4,"Caducado",IF(EDATE(_xlfn.MAXIFS(Acuses!$D$5:$D$3004,Acuses!$A$5:$A$3004,$A70,Acuses!$B$5:$B$3004,AF$4,Acuses!$C$5:$C$3004,AF$5),AF$8)&lt;Resumen!$C$4+30,"Caduca pronto","OK"))))))</f>
        <v/>
      </c>
      <c r="AG70" s="26" t="str">
        <f aca="false">IF(OR($A70="",AG$4=""),"",IF(NOT(OR(AG$6="Toda la plantilla",ISNUMBER(SEARCH(";"&amp;SUBSTITUTE($C70," ","")&amp;";",";"&amp;SUBSTITUTE(AG$7," ","")&amp;";")))),"—",IF(_xlfn.MAXIFS(Acuses!$C$5:$C$3004,Acuses!$A$5:$A$3004,$A70,Acuses!$B$5:$B$3004,AG$4)&lt;AG$5,"Pendiente",IF(AG$8=0,"OK",IF(EDATE(_xlfn.MAXIFS(Acuses!$D$5:$D$3004,Acuses!$A$5:$A$3004,$A70,Acuses!$B$5:$B$3004,AG$4,Acuses!$C$5:$C$3004,AG$5),AG$8)&lt;Resumen!$C$4,"Caducado",IF(EDATE(_xlfn.MAXIFS(Acuses!$D$5:$D$3004,Acuses!$A$5:$A$3004,$A70,Acuses!$B$5:$B$3004,AG$4,Acuses!$C$5:$C$3004,AG$5),AG$8)&lt;Resumen!$C$4+30,"Caduca pronto","OK"))))))</f>
        <v/>
      </c>
      <c r="AH70" s="26" t="str">
        <f aca="false">IF(OR($A70="",AH$4=""),"",IF(NOT(OR(AH$6="Toda la plantilla",ISNUMBER(SEARCH(";"&amp;SUBSTITUTE($C70," ","")&amp;";",";"&amp;SUBSTITUTE(AH$7," ","")&amp;";")))),"—",IF(_xlfn.MAXIFS(Acuses!$C$5:$C$3004,Acuses!$A$5:$A$3004,$A70,Acuses!$B$5:$B$3004,AH$4)&lt;AH$5,"Pendiente",IF(AH$8=0,"OK",IF(EDATE(_xlfn.MAXIFS(Acuses!$D$5:$D$3004,Acuses!$A$5:$A$3004,$A70,Acuses!$B$5:$B$3004,AH$4,Acuses!$C$5:$C$3004,AH$5),AH$8)&lt;Resumen!$C$4,"Caducado",IF(EDATE(_xlfn.MAXIFS(Acuses!$D$5:$D$3004,Acuses!$A$5:$A$3004,$A70,Acuses!$B$5:$B$3004,AH$4,Acuses!$C$5:$C$3004,AH$5),AH$8)&lt;Resumen!$C$4+30,"Caduca pronto","OK"))))))</f>
        <v/>
      </c>
      <c r="AI70" s="26" t="str">
        <f aca="false">IF(OR($A70="",AI$4=""),"",IF(NOT(OR(AI$6="Toda la plantilla",ISNUMBER(SEARCH(";"&amp;SUBSTITUTE($C70," ","")&amp;";",";"&amp;SUBSTITUTE(AI$7," ","")&amp;";")))),"—",IF(_xlfn.MAXIFS(Acuses!$C$5:$C$3004,Acuses!$A$5:$A$3004,$A70,Acuses!$B$5:$B$3004,AI$4)&lt;AI$5,"Pendiente",IF(AI$8=0,"OK",IF(EDATE(_xlfn.MAXIFS(Acuses!$D$5:$D$3004,Acuses!$A$5:$A$3004,$A70,Acuses!$B$5:$B$3004,AI$4,Acuses!$C$5:$C$3004,AI$5),AI$8)&lt;Resumen!$C$4,"Caducado",IF(EDATE(_xlfn.MAXIFS(Acuses!$D$5:$D$3004,Acuses!$A$5:$A$3004,$A70,Acuses!$B$5:$B$3004,AI$4,Acuses!$C$5:$C$3004,AI$5),AI$8)&lt;Resumen!$C$4+30,"Caduca pronto","OK"))))))</f>
        <v/>
      </c>
      <c r="AJ70" s="26" t="str">
        <f aca="false">IF(OR($A70="",AJ$4=""),"",IF(NOT(OR(AJ$6="Toda la plantilla",ISNUMBER(SEARCH(";"&amp;SUBSTITUTE($C70," ","")&amp;";",";"&amp;SUBSTITUTE(AJ$7," ","")&amp;";")))),"—",IF(_xlfn.MAXIFS(Acuses!$C$5:$C$3004,Acuses!$A$5:$A$3004,$A70,Acuses!$B$5:$B$3004,AJ$4)&lt;AJ$5,"Pendiente",IF(AJ$8=0,"OK",IF(EDATE(_xlfn.MAXIFS(Acuses!$D$5:$D$3004,Acuses!$A$5:$A$3004,$A70,Acuses!$B$5:$B$3004,AJ$4,Acuses!$C$5:$C$3004,AJ$5),AJ$8)&lt;Resumen!$C$4,"Caducado",IF(EDATE(_xlfn.MAXIFS(Acuses!$D$5:$D$3004,Acuses!$A$5:$A$3004,$A70,Acuses!$B$5:$B$3004,AJ$4,Acuses!$C$5:$C$3004,AJ$5),AJ$8)&lt;Resumen!$C$4+30,"Caduca pronto","OK"))))))</f>
        <v/>
      </c>
      <c r="AK70" s="26" t="str">
        <f aca="false">IF(OR($A70="",AK$4=""),"",IF(NOT(OR(AK$6="Toda la plantilla",ISNUMBER(SEARCH(";"&amp;SUBSTITUTE($C70," ","")&amp;";",";"&amp;SUBSTITUTE(AK$7," ","")&amp;";")))),"—",IF(_xlfn.MAXIFS(Acuses!$C$5:$C$3004,Acuses!$A$5:$A$3004,$A70,Acuses!$B$5:$B$3004,AK$4)&lt;AK$5,"Pendiente",IF(AK$8=0,"OK",IF(EDATE(_xlfn.MAXIFS(Acuses!$D$5:$D$3004,Acuses!$A$5:$A$3004,$A70,Acuses!$B$5:$B$3004,AK$4,Acuses!$C$5:$C$3004,AK$5),AK$8)&lt;Resumen!$C$4,"Caducado",IF(EDATE(_xlfn.MAXIFS(Acuses!$D$5:$D$3004,Acuses!$A$5:$A$3004,$A70,Acuses!$B$5:$B$3004,AK$4,Acuses!$C$5:$C$3004,AK$5),AK$8)&lt;Resumen!$C$4+30,"Caduca pronto","OK"))))))</f>
        <v/>
      </c>
      <c r="AL70" s="26" t="str">
        <f aca="false">IF(OR($A70="",AL$4=""),"",IF(NOT(OR(AL$6="Toda la plantilla",ISNUMBER(SEARCH(";"&amp;SUBSTITUTE($C70," ","")&amp;";",";"&amp;SUBSTITUTE(AL$7," ","")&amp;";")))),"—",IF(_xlfn.MAXIFS(Acuses!$C$5:$C$3004,Acuses!$A$5:$A$3004,$A70,Acuses!$B$5:$B$3004,AL$4)&lt;AL$5,"Pendiente",IF(AL$8=0,"OK",IF(EDATE(_xlfn.MAXIFS(Acuses!$D$5:$D$3004,Acuses!$A$5:$A$3004,$A70,Acuses!$B$5:$B$3004,AL$4,Acuses!$C$5:$C$3004,AL$5),AL$8)&lt;Resumen!$C$4,"Caducado",IF(EDATE(_xlfn.MAXIFS(Acuses!$D$5:$D$3004,Acuses!$A$5:$A$3004,$A70,Acuses!$B$5:$B$3004,AL$4,Acuses!$C$5:$C$3004,AL$5),AL$8)&lt;Resumen!$C$4+30,"Caduca pronto","OK"))))))</f>
        <v/>
      </c>
      <c r="AM70" s="26" t="str">
        <f aca="false">IF(OR($A70="",AM$4=""),"",IF(NOT(OR(AM$6="Toda la plantilla",ISNUMBER(SEARCH(";"&amp;SUBSTITUTE($C70," ","")&amp;";",";"&amp;SUBSTITUTE(AM$7," ","")&amp;";")))),"—",IF(_xlfn.MAXIFS(Acuses!$C$5:$C$3004,Acuses!$A$5:$A$3004,$A70,Acuses!$B$5:$B$3004,AM$4)&lt;AM$5,"Pendiente",IF(AM$8=0,"OK",IF(EDATE(_xlfn.MAXIFS(Acuses!$D$5:$D$3004,Acuses!$A$5:$A$3004,$A70,Acuses!$B$5:$B$3004,AM$4,Acuses!$C$5:$C$3004,AM$5),AM$8)&lt;Resumen!$C$4,"Caducado",IF(EDATE(_xlfn.MAXIFS(Acuses!$D$5:$D$3004,Acuses!$A$5:$A$3004,$A70,Acuses!$B$5:$B$3004,AM$4,Acuses!$C$5:$C$3004,AM$5),AM$8)&lt;Resumen!$C$4+30,"Caduca pronto","OK"))))))</f>
        <v/>
      </c>
      <c r="AN70" s="26" t="str">
        <f aca="false">IF(OR($A70="",AN$4=""),"",IF(NOT(OR(AN$6="Toda la plantilla",ISNUMBER(SEARCH(";"&amp;SUBSTITUTE($C70," ","")&amp;";",";"&amp;SUBSTITUTE(AN$7," ","")&amp;";")))),"—",IF(_xlfn.MAXIFS(Acuses!$C$5:$C$3004,Acuses!$A$5:$A$3004,$A70,Acuses!$B$5:$B$3004,AN$4)&lt;AN$5,"Pendiente",IF(AN$8=0,"OK",IF(EDATE(_xlfn.MAXIFS(Acuses!$D$5:$D$3004,Acuses!$A$5:$A$3004,$A70,Acuses!$B$5:$B$3004,AN$4,Acuses!$C$5:$C$3004,AN$5),AN$8)&lt;Resumen!$C$4,"Caducado",IF(EDATE(_xlfn.MAXIFS(Acuses!$D$5:$D$3004,Acuses!$A$5:$A$3004,$A70,Acuses!$B$5:$B$3004,AN$4,Acuses!$C$5:$C$3004,AN$5),AN$8)&lt;Resumen!$C$4+30,"Caduca pronto","OK"))))))</f>
        <v/>
      </c>
      <c r="AO70" s="26" t="str">
        <f aca="false">IF(OR($A70="",AO$4=""),"",IF(NOT(OR(AO$6="Toda la plantilla",ISNUMBER(SEARCH(";"&amp;SUBSTITUTE($C70," ","")&amp;";",";"&amp;SUBSTITUTE(AO$7," ","")&amp;";")))),"—",IF(_xlfn.MAXIFS(Acuses!$C$5:$C$3004,Acuses!$A$5:$A$3004,$A70,Acuses!$B$5:$B$3004,AO$4)&lt;AO$5,"Pendiente",IF(AO$8=0,"OK",IF(EDATE(_xlfn.MAXIFS(Acuses!$D$5:$D$3004,Acuses!$A$5:$A$3004,$A70,Acuses!$B$5:$B$3004,AO$4,Acuses!$C$5:$C$3004,AO$5),AO$8)&lt;Resumen!$C$4,"Caducado",IF(EDATE(_xlfn.MAXIFS(Acuses!$D$5:$D$3004,Acuses!$A$5:$A$3004,$A70,Acuses!$B$5:$B$3004,AO$4,Acuses!$C$5:$C$3004,AO$5),AO$8)&lt;Resumen!$C$4+30,"Caduca pronto","OK"))))))</f>
        <v/>
      </c>
      <c r="AP70" s="26" t="str">
        <f aca="false">IF(OR($A70="",AP$4=""),"",IF(NOT(OR(AP$6="Toda la plantilla",ISNUMBER(SEARCH(";"&amp;SUBSTITUTE($C70," ","")&amp;";",";"&amp;SUBSTITUTE(AP$7," ","")&amp;";")))),"—",IF(_xlfn.MAXIFS(Acuses!$C$5:$C$3004,Acuses!$A$5:$A$3004,$A70,Acuses!$B$5:$B$3004,AP$4)&lt;AP$5,"Pendiente",IF(AP$8=0,"OK",IF(EDATE(_xlfn.MAXIFS(Acuses!$D$5:$D$3004,Acuses!$A$5:$A$3004,$A70,Acuses!$B$5:$B$3004,AP$4,Acuses!$C$5:$C$3004,AP$5),AP$8)&lt;Resumen!$C$4,"Caducado",IF(EDATE(_xlfn.MAXIFS(Acuses!$D$5:$D$3004,Acuses!$A$5:$A$3004,$A70,Acuses!$B$5:$B$3004,AP$4,Acuses!$C$5:$C$3004,AP$5),AP$8)&lt;Resumen!$C$4+30,"Caduca pronto","OK"))))))</f>
        <v/>
      </c>
      <c r="AQ70" s="26" t="str">
        <f aca="false">IF(OR($A70="",AQ$4=""),"",IF(NOT(OR(AQ$6="Toda la plantilla",ISNUMBER(SEARCH(";"&amp;SUBSTITUTE($C70," ","")&amp;";",";"&amp;SUBSTITUTE(AQ$7," ","")&amp;";")))),"—",IF(_xlfn.MAXIFS(Acuses!$C$5:$C$3004,Acuses!$A$5:$A$3004,$A70,Acuses!$B$5:$B$3004,AQ$4)&lt;AQ$5,"Pendiente",IF(AQ$8=0,"OK",IF(EDATE(_xlfn.MAXIFS(Acuses!$D$5:$D$3004,Acuses!$A$5:$A$3004,$A70,Acuses!$B$5:$B$3004,AQ$4,Acuses!$C$5:$C$3004,AQ$5),AQ$8)&lt;Resumen!$C$4,"Caducado",IF(EDATE(_xlfn.MAXIFS(Acuses!$D$5:$D$3004,Acuses!$A$5:$A$3004,$A70,Acuses!$B$5:$B$3004,AQ$4,Acuses!$C$5:$C$3004,AQ$5),AQ$8)&lt;Resumen!$C$4+30,"Caduca pronto","OK"))))))</f>
        <v/>
      </c>
    </row>
    <row r="71" customFormat="false" ht="15" hidden="false" customHeight="false" outlineLevel="0" collapsed="false">
      <c r="A71" s="25" t="str">
        <f aca="false">IF(AND(Trabajadores!$A$66&lt;&gt;"",Trabajadores!$G$66&lt;&gt;"No"),Trabajadores!$A$66,"")</f>
        <v/>
      </c>
      <c r="B71" s="25" t="str">
        <f aca="false">IF($A71="","",Trabajadores!$B$66)</f>
        <v/>
      </c>
      <c r="C71" s="25" t="str">
        <f aca="false">IF($A71="","",Trabajadores!$C$66)</f>
        <v/>
      </c>
      <c r="D71" s="26" t="str">
        <f aca="false">IF(OR($A71="",D$4=""),"",IF(NOT(OR(D$6="Toda la plantilla",ISNUMBER(SEARCH(";"&amp;SUBSTITUTE($C71," ","")&amp;";",";"&amp;SUBSTITUTE(D$7," ","")&amp;";")))),"—",IF(_xlfn.MAXIFS(Acuses!$C$5:$C$3004,Acuses!$A$5:$A$3004,$A71,Acuses!$B$5:$B$3004,D$4)&lt;D$5,"Pendiente",IF(D$8=0,"OK",IF(EDATE(_xlfn.MAXIFS(Acuses!$D$5:$D$3004,Acuses!$A$5:$A$3004,$A71,Acuses!$B$5:$B$3004,D$4,Acuses!$C$5:$C$3004,D$5),D$8)&lt;Resumen!$C$4,"Caducado",IF(EDATE(_xlfn.MAXIFS(Acuses!$D$5:$D$3004,Acuses!$A$5:$A$3004,$A71,Acuses!$B$5:$B$3004,D$4,Acuses!$C$5:$C$3004,D$5),D$8)&lt;Resumen!$C$4+30,"Caduca pronto","OK"))))))</f>
        <v/>
      </c>
      <c r="E71" s="26" t="str">
        <f aca="false">IF(OR($A71="",E$4=""),"",IF(NOT(OR(E$6="Toda la plantilla",ISNUMBER(SEARCH(";"&amp;SUBSTITUTE($C71," ","")&amp;";",";"&amp;SUBSTITUTE(E$7," ","")&amp;";")))),"—",IF(_xlfn.MAXIFS(Acuses!$C$5:$C$3004,Acuses!$A$5:$A$3004,$A71,Acuses!$B$5:$B$3004,E$4)&lt;E$5,"Pendiente",IF(E$8=0,"OK",IF(EDATE(_xlfn.MAXIFS(Acuses!$D$5:$D$3004,Acuses!$A$5:$A$3004,$A71,Acuses!$B$5:$B$3004,E$4,Acuses!$C$5:$C$3004,E$5),E$8)&lt;Resumen!$C$4,"Caducado",IF(EDATE(_xlfn.MAXIFS(Acuses!$D$5:$D$3004,Acuses!$A$5:$A$3004,$A71,Acuses!$B$5:$B$3004,E$4,Acuses!$C$5:$C$3004,E$5),E$8)&lt;Resumen!$C$4+30,"Caduca pronto","OK"))))))</f>
        <v/>
      </c>
      <c r="F71" s="26" t="str">
        <f aca="false">IF(OR($A71="",F$4=""),"",IF(NOT(OR(F$6="Toda la plantilla",ISNUMBER(SEARCH(";"&amp;SUBSTITUTE($C71," ","")&amp;";",";"&amp;SUBSTITUTE(F$7," ","")&amp;";")))),"—",IF(_xlfn.MAXIFS(Acuses!$C$5:$C$3004,Acuses!$A$5:$A$3004,$A71,Acuses!$B$5:$B$3004,F$4)&lt;F$5,"Pendiente",IF(F$8=0,"OK",IF(EDATE(_xlfn.MAXIFS(Acuses!$D$5:$D$3004,Acuses!$A$5:$A$3004,$A71,Acuses!$B$5:$B$3004,F$4,Acuses!$C$5:$C$3004,F$5),F$8)&lt;Resumen!$C$4,"Caducado",IF(EDATE(_xlfn.MAXIFS(Acuses!$D$5:$D$3004,Acuses!$A$5:$A$3004,$A71,Acuses!$B$5:$B$3004,F$4,Acuses!$C$5:$C$3004,F$5),F$8)&lt;Resumen!$C$4+30,"Caduca pronto","OK"))))))</f>
        <v/>
      </c>
      <c r="G71" s="26" t="str">
        <f aca="false">IF(OR($A71="",G$4=""),"",IF(NOT(OR(G$6="Toda la plantilla",ISNUMBER(SEARCH(";"&amp;SUBSTITUTE($C71," ","")&amp;";",";"&amp;SUBSTITUTE(G$7," ","")&amp;";")))),"—",IF(_xlfn.MAXIFS(Acuses!$C$5:$C$3004,Acuses!$A$5:$A$3004,$A71,Acuses!$B$5:$B$3004,G$4)&lt;G$5,"Pendiente",IF(G$8=0,"OK",IF(EDATE(_xlfn.MAXIFS(Acuses!$D$5:$D$3004,Acuses!$A$5:$A$3004,$A71,Acuses!$B$5:$B$3004,G$4,Acuses!$C$5:$C$3004,G$5),G$8)&lt;Resumen!$C$4,"Caducado",IF(EDATE(_xlfn.MAXIFS(Acuses!$D$5:$D$3004,Acuses!$A$5:$A$3004,$A71,Acuses!$B$5:$B$3004,G$4,Acuses!$C$5:$C$3004,G$5),G$8)&lt;Resumen!$C$4+30,"Caduca pronto","OK"))))))</f>
        <v/>
      </c>
      <c r="H71" s="26" t="str">
        <f aca="false">IF(OR($A71="",H$4=""),"",IF(NOT(OR(H$6="Toda la plantilla",ISNUMBER(SEARCH(";"&amp;SUBSTITUTE($C71," ","")&amp;";",";"&amp;SUBSTITUTE(H$7," ","")&amp;";")))),"—",IF(_xlfn.MAXIFS(Acuses!$C$5:$C$3004,Acuses!$A$5:$A$3004,$A71,Acuses!$B$5:$B$3004,H$4)&lt;H$5,"Pendiente",IF(H$8=0,"OK",IF(EDATE(_xlfn.MAXIFS(Acuses!$D$5:$D$3004,Acuses!$A$5:$A$3004,$A71,Acuses!$B$5:$B$3004,H$4,Acuses!$C$5:$C$3004,H$5),H$8)&lt;Resumen!$C$4,"Caducado",IF(EDATE(_xlfn.MAXIFS(Acuses!$D$5:$D$3004,Acuses!$A$5:$A$3004,$A71,Acuses!$B$5:$B$3004,H$4,Acuses!$C$5:$C$3004,H$5),H$8)&lt;Resumen!$C$4+30,"Caduca pronto","OK"))))))</f>
        <v/>
      </c>
      <c r="I71" s="26" t="str">
        <f aca="false">IF(OR($A71="",I$4=""),"",IF(NOT(OR(I$6="Toda la plantilla",ISNUMBER(SEARCH(";"&amp;SUBSTITUTE($C71," ","")&amp;";",";"&amp;SUBSTITUTE(I$7," ","")&amp;";")))),"—",IF(_xlfn.MAXIFS(Acuses!$C$5:$C$3004,Acuses!$A$5:$A$3004,$A71,Acuses!$B$5:$B$3004,I$4)&lt;I$5,"Pendiente",IF(I$8=0,"OK",IF(EDATE(_xlfn.MAXIFS(Acuses!$D$5:$D$3004,Acuses!$A$5:$A$3004,$A71,Acuses!$B$5:$B$3004,I$4,Acuses!$C$5:$C$3004,I$5),I$8)&lt;Resumen!$C$4,"Caducado",IF(EDATE(_xlfn.MAXIFS(Acuses!$D$5:$D$3004,Acuses!$A$5:$A$3004,$A71,Acuses!$B$5:$B$3004,I$4,Acuses!$C$5:$C$3004,I$5),I$8)&lt;Resumen!$C$4+30,"Caduca pronto","OK"))))))</f>
        <v/>
      </c>
      <c r="J71" s="26" t="str">
        <f aca="false">IF(OR($A71="",J$4=""),"",IF(NOT(OR(J$6="Toda la plantilla",ISNUMBER(SEARCH(";"&amp;SUBSTITUTE($C71," ","")&amp;";",";"&amp;SUBSTITUTE(J$7," ","")&amp;";")))),"—",IF(_xlfn.MAXIFS(Acuses!$C$5:$C$3004,Acuses!$A$5:$A$3004,$A71,Acuses!$B$5:$B$3004,J$4)&lt;J$5,"Pendiente",IF(J$8=0,"OK",IF(EDATE(_xlfn.MAXIFS(Acuses!$D$5:$D$3004,Acuses!$A$5:$A$3004,$A71,Acuses!$B$5:$B$3004,J$4,Acuses!$C$5:$C$3004,J$5),J$8)&lt;Resumen!$C$4,"Caducado",IF(EDATE(_xlfn.MAXIFS(Acuses!$D$5:$D$3004,Acuses!$A$5:$A$3004,$A71,Acuses!$B$5:$B$3004,J$4,Acuses!$C$5:$C$3004,J$5),J$8)&lt;Resumen!$C$4+30,"Caduca pronto","OK"))))))</f>
        <v/>
      </c>
      <c r="K71" s="26" t="str">
        <f aca="false">IF(OR($A71="",K$4=""),"",IF(NOT(OR(K$6="Toda la plantilla",ISNUMBER(SEARCH(";"&amp;SUBSTITUTE($C71," ","")&amp;";",";"&amp;SUBSTITUTE(K$7," ","")&amp;";")))),"—",IF(_xlfn.MAXIFS(Acuses!$C$5:$C$3004,Acuses!$A$5:$A$3004,$A71,Acuses!$B$5:$B$3004,K$4)&lt;K$5,"Pendiente",IF(K$8=0,"OK",IF(EDATE(_xlfn.MAXIFS(Acuses!$D$5:$D$3004,Acuses!$A$5:$A$3004,$A71,Acuses!$B$5:$B$3004,K$4,Acuses!$C$5:$C$3004,K$5),K$8)&lt;Resumen!$C$4,"Caducado",IF(EDATE(_xlfn.MAXIFS(Acuses!$D$5:$D$3004,Acuses!$A$5:$A$3004,$A71,Acuses!$B$5:$B$3004,K$4,Acuses!$C$5:$C$3004,K$5),K$8)&lt;Resumen!$C$4+30,"Caduca pronto","OK"))))))</f>
        <v/>
      </c>
      <c r="L71" s="26" t="str">
        <f aca="false">IF(OR($A71="",L$4=""),"",IF(NOT(OR(L$6="Toda la plantilla",ISNUMBER(SEARCH(";"&amp;SUBSTITUTE($C71," ","")&amp;";",";"&amp;SUBSTITUTE(L$7," ","")&amp;";")))),"—",IF(_xlfn.MAXIFS(Acuses!$C$5:$C$3004,Acuses!$A$5:$A$3004,$A71,Acuses!$B$5:$B$3004,L$4)&lt;L$5,"Pendiente",IF(L$8=0,"OK",IF(EDATE(_xlfn.MAXIFS(Acuses!$D$5:$D$3004,Acuses!$A$5:$A$3004,$A71,Acuses!$B$5:$B$3004,L$4,Acuses!$C$5:$C$3004,L$5),L$8)&lt;Resumen!$C$4,"Caducado",IF(EDATE(_xlfn.MAXIFS(Acuses!$D$5:$D$3004,Acuses!$A$5:$A$3004,$A71,Acuses!$B$5:$B$3004,L$4,Acuses!$C$5:$C$3004,L$5),L$8)&lt;Resumen!$C$4+30,"Caduca pronto","OK"))))))</f>
        <v/>
      </c>
      <c r="M71" s="26" t="str">
        <f aca="false">IF(OR($A71="",M$4=""),"",IF(NOT(OR(M$6="Toda la plantilla",ISNUMBER(SEARCH(";"&amp;SUBSTITUTE($C71," ","")&amp;";",";"&amp;SUBSTITUTE(M$7," ","")&amp;";")))),"—",IF(_xlfn.MAXIFS(Acuses!$C$5:$C$3004,Acuses!$A$5:$A$3004,$A71,Acuses!$B$5:$B$3004,M$4)&lt;M$5,"Pendiente",IF(M$8=0,"OK",IF(EDATE(_xlfn.MAXIFS(Acuses!$D$5:$D$3004,Acuses!$A$5:$A$3004,$A71,Acuses!$B$5:$B$3004,M$4,Acuses!$C$5:$C$3004,M$5),M$8)&lt;Resumen!$C$4,"Caducado",IF(EDATE(_xlfn.MAXIFS(Acuses!$D$5:$D$3004,Acuses!$A$5:$A$3004,$A71,Acuses!$B$5:$B$3004,M$4,Acuses!$C$5:$C$3004,M$5),M$8)&lt;Resumen!$C$4+30,"Caduca pronto","OK"))))))</f>
        <v/>
      </c>
      <c r="N71" s="26" t="str">
        <f aca="false">IF(OR($A71="",N$4=""),"",IF(NOT(OR(N$6="Toda la plantilla",ISNUMBER(SEARCH(";"&amp;SUBSTITUTE($C71," ","")&amp;";",";"&amp;SUBSTITUTE(N$7," ","")&amp;";")))),"—",IF(_xlfn.MAXIFS(Acuses!$C$5:$C$3004,Acuses!$A$5:$A$3004,$A71,Acuses!$B$5:$B$3004,N$4)&lt;N$5,"Pendiente",IF(N$8=0,"OK",IF(EDATE(_xlfn.MAXIFS(Acuses!$D$5:$D$3004,Acuses!$A$5:$A$3004,$A71,Acuses!$B$5:$B$3004,N$4,Acuses!$C$5:$C$3004,N$5),N$8)&lt;Resumen!$C$4,"Caducado",IF(EDATE(_xlfn.MAXIFS(Acuses!$D$5:$D$3004,Acuses!$A$5:$A$3004,$A71,Acuses!$B$5:$B$3004,N$4,Acuses!$C$5:$C$3004,N$5),N$8)&lt;Resumen!$C$4+30,"Caduca pronto","OK"))))))</f>
        <v/>
      </c>
      <c r="O71" s="26" t="str">
        <f aca="false">IF(OR($A71="",O$4=""),"",IF(NOT(OR(O$6="Toda la plantilla",ISNUMBER(SEARCH(";"&amp;SUBSTITUTE($C71," ","")&amp;";",";"&amp;SUBSTITUTE(O$7," ","")&amp;";")))),"—",IF(_xlfn.MAXIFS(Acuses!$C$5:$C$3004,Acuses!$A$5:$A$3004,$A71,Acuses!$B$5:$B$3004,O$4)&lt;O$5,"Pendiente",IF(O$8=0,"OK",IF(EDATE(_xlfn.MAXIFS(Acuses!$D$5:$D$3004,Acuses!$A$5:$A$3004,$A71,Acuses!$B$5:$B$3004,O$4,Acuses!$C$5:$C$3004,O$5),O$8)&lt;Resumen!$C$4,"Caducado",IF(EDATE(_xlfn.MAXIFS(Acuses!$D$5:$D$3004,Acuses!$A$5:$A$3004,$A71,Acuses!$B$5:$B$3004,O$4,Acuses!$C$5:$C$3004,O$5),O$8)&lt;Resumen!$C$4+30,"Caduca pronto","OK"))))))</f>
        <v/>
      </c>
      <c r="P71" s="26" t="str">
        <f aca="false">IF(OR($A71="",P$4=""),"",IF(NOT(OR(P$6="Toda la plantilla",ISNUMBER(SEARCH(";"&amp;SUBSTITUTE($C71," ","")&amp;";",";"&amp;SUBSTITUTE(P$7," ","")&amp;";")))),"—",IF(_xlfn.MAXIFS(Acuses!$C$5:$C$3004,Acuses!$A$5:$A$3004,$A71,Acuses!$B$5:$B$3004,P$4)&lt;P$5,"Pendiente",IF(P$8=0,"OK",IF(EDATE(_xlfn.MAXIFS(Acuses!$D$5:$D$3004,Acuses!$A$5:$A$3004,$A71,Acuses!$B$5:$B$3004,P$4,Acuses!$C$5:$C$3004,P$5),P$8)&lt;Resumen!$C$4,"Caducado",IF(EDATE(_xlfn.MAXIFS(Acuses!$D$5:$D$3004,Acuses!$A$5:$A$3004,$A71,Acuses!$B$5:$B$3004,P$4,Acuses!$C$5:$C$3004,P$5),P$8)&lt;Resumen!$C$4+30,"Caduca pronto","OK"))))))</f>
        <v/>
      </c>
      <c r="Q71" s="26" t="str">
        <f aca="false">IF(OR($A71="",Q$4=""),"",IF(NOT(OR(Q$6="Toda la plantilla",ISNUMBER(SEARCH(";"&amp;SUBSTITUTE($C71," ","")&amp;";",";"&amp;SUBSTITUTE(Q$7," ","")&amp;";")))),"—",IF(_xlfn.MAXIFS(Acuses!$C$5:$C$3004,Acuses!$A$5:$A$3004,$A71,Acuses!$B$5:$B$3004,Q$4)&lt;Q$5,"Pendiente",IF(Q$8=0,"OK",IF(EDATE(_xlfn.MAXIFS(Acuses!$D$5:$D$3004,Acuses!$A$5:$A$3004,$A71,Acuses!$B$5:$B$3004,Q$4,Acuses!$C$5:$C$3004,Q$5),Q$8)&lt;Resumen!$C$4,"Caducado",IF(EDATE(_xlfn.MAXIFS(Acuses!$D$5:$D$3004,Acuses!$A$5:$A$3004,$A71,Acuses!$B$5:$B$3004,Q$4,Acuses!$C$5:$C$3004,Q$5),Q$8)&lt;Resumen!$C$4+30,"Caduca pronto","OK"))))))</f>
        <v/>
      </c>
      <c r="R71" s="26" t="str">
        <f aca="false">IF(OR($A71="",R$4=""),"",IF(NOT(OR(R$6="Toda la plantilla",ISNUMBER(SEARCH(";"&amp;SUBSTITUTE($C71," ","")&amp;";",";"&amp;SUBSTITUTE(R$7," ","")&amp;";")))),"—",IF(_xlfn.MAXIFS(Acuses!$C$5:$C$3004,Acuses!$A$5:$A$3004,$A71,Acuses!$B$5:$B$3004,R$4)&lt;R$5,"Pendiente",IF(R$8=0,"OK",IF(EDATE(_xlfn.MAXIFS(Acuses!$D$5:$D$3004,Acuses!$A$5:$A$3004,$A71,Acuses!$B$5:$B$3004,R$4,Acuses!$C$5:$C$3004,R$5),R$8)&lt;Resumen!$C$4,"Caducado",IF(EDATE(_xlfn.MAXIFS(Acuses!$D$5:$D$3004,Acuses!$A$5:$A$3004,$A71,Acuses!$B$5:$B$3004,R$4,Acuses!$C$5:$C$3004,R$5),R$8)&lt;Resumen!$C$4+30,"Caduca pronto","OK"))))))</f>
        <v/>
      </c>
      <c r="S71" s="26" t="str">
        <f aca="false">IF(OR($A71="",S$4=""),"",IF(NOT(OR(S$6="Toda la plantilla",ISNUMBER(SEARCH(";"&amp;SUBSTITUTE($C71," ","")&amp;";",";"&amp;SUBSTITUTE(S$7," ","")&amp;";")))),"—",IF(_xlfn.MAXIFS(Acuses!$C$5:$C$3004,Acuses!$A$5:$A$3004,$A71,Acuses!$B$5:$B$3004,S$4)&lt;S$5,"Pendiente",IF(S$8=0,"OK",IF(EDATE(_xlfn.MAXIFS(Acuses!$D$5:$D$3004,Acuses!$A$5:$A$3004,$A71,Acuses!$B$5:$B$3004,S$4,Acuses!$C$5:$C$3004,S$5),S$8)&lt;Resumen!$C$4,"Caducado",IF(EDATE(_xlfn.MAXIFS(Acuses!$D$5:$D$3004,Acuses!$A$5:$A$3004,$A71,Acuses!$B$5:$B$3004,S$4,Acuses!$C$5:$C$3004,S$5),S$8)&lt;Resumen!$C$4+30,"Caduca pronto","OK"))))))</f>
        <v/>
      </c>
      <c r="T71" s="26" t="str">
        <f aca="false">IF(OR($A71="",T$4=""),"",IF(NOT(OR(T$6="Toda la plantilla",ISNUMBER(SEARCH(";"&amp;SUBSTITUTE($C71," ","")&amp;";",";"&amp;SUBSTITUTE(T$7," ","")&amp;";")))),"—",IF(_xlfn.MAXIFS(Acuses!$C$5:$C$3004,Acuses!$A$5:$A$3004,$A71,Acuses!$B$5:$B$3004,T$4)&lt;T$5,"Pendiente",IF(T$8=0,"OK",IF(EDATE(_xlfn.MAXIFS(Acuses!$D$5:$D$3004,Acuses!$A$5:$A$3004,$A71,Acuses!$B$5:$B$3004,T$4,Acuses!$C$5:$C$3004,T$5),T$8)&lt;Resumen!$C$4,"Caducado",IF(EDATE(_xlfn.MAXIFS(Acuses!$D$5:$D$3004,Acuses!$A$5:$A$3004,$A71,Acuses!$B$5:$B$3004,T$4,Acuses!$C$5:$C$3004,T$5),T$8)&lt;Resumen!$C$4+30,"Caduca pronto","OK"))))))</f>
        <v/>
      </c>
      <c r="U71" s="26" t="str">
        <f aca="false">IF(OR($A71="",U$4=""),"",IF(NOT(OR(U$6="Toda la plantilla",ISNUMBER(SEARCH(";"&amp;SUBSTITUTE($C71," ","")&amp;";",";"&amp;SUBSTITUTE(U$7," ","")&amp;";")))),"—",IF(_xlfn.MAXIFS(Acuses!$C$5:$C$3004,Acuses!$A$5:$A$3004,$A71,Acuses!$B$5:$B$3004,U$4)&lt;U$5,"Pendiente",IF(U$8=0,"OK",IF(EDATE(_xlfn.MAXIFS(Acuses!$D$5:$D$3004,Acuses!$A$5:$A$3004,$A71,Acuses!$B$5:$B$3004,U$4,Acuses!$C$5:$C$3004,U$5),U$8)&lt;Resumen!$C$4,"Caducado",IF(EDATE(_xlfn.MAXIFS(Acuses!$D$5:$D$3004,Acuses!$A$5:$A$3004,$A71,Acuses!$B$5:$B$3004,U$4,Acuses!$C$5:$C$3004,U$5),U$8)&lt;Resumen!$C$4+30,"Caduca pronto","OK"))))))</f>
        <v/>
      </c>
      <c r="V71" s="26" t="str">
        <f aca="false">IF(OR($A71="",V$4=""),"",IF(NOT(OR(V$6="Toda la plantilla",ISNUMBER(SEARCH(";"&amp;SUBSTITUTE($C71," ","")&amp;";",";"&amp;SUBSTITUTE(V$7," ","")&amp;";")))),"—",IF(_xlfn.MAXIFS(Acuses!$C$5:$C$3004,Acuses!$A$5:$A$3004,$A71,Acuses!$B$5:$B$3004,V$4)&lt;V$5,"Pendiente",IF(V$8=0,"OK",IF(EDATE(_xlfn.MAXIFS(Acuses!$D$5:$D$3004,Acuses!$A$5:$A$3004,$A71,Acuses!$B$5:$B$3004,V$4,Acuses!$C$5:$C$3004,V$5),V$8)&lt;Resumen!$C$4,"Caducado",IF(EDATE(_xlfn.MAXIFS(Acuses!$D$5:$D$3004,Acuses!$A$5:$A$3004,$A71,Acuses!$B$5:$B$3004,V$4,Acuses!$C$5:$C$3004,V$5),V$8)&lt;Resumen!$C$4+30,"Caduca pronto","OK"))))))</f>
        <v/>
      </c>
      <c r="W71" s="26" t="str">
        <f aca="false">IF(OR($A71="",W$4=""),"",IF(NOT(OR(W$6="Toda la plantilla",ISNUMBER(SEARCH(";"&amp;SUBSTITUTE($C71," ","")&amp;";",";"&amp;SUBSTITUTE(W$7," ","")&amp;";")))),"—",IF(_xlfn.MAXIFS(Acuses!$C$5:$C$3004,Acuses!$A$5:$A$3004,$A71,Acuses!$B$5:$B$3004,W$4)&lt;W$5,"Pendiente",IF(W$8=0,"OK",IF(EDATE(_xlfn.MAXIFS(Acuses!$D$5:$D$3004,Acuses!$A$5:$A$3004,$A71,Acuses!$B$5:$B$3004,W$4,Acuses!$C$5:$C$3004,W$5),W$8)&lt;Resumen!$C$4,"Caducado",IF(EDATE(_xlfn.MAXIFS(Acuses!$D$5:$D$3004,Acuses!$A$5:$A$3004,$A71,Acuses!$B$5:$B$3004,W$4,Acuses!$C$5:$C$3004,W$5),W$8)&lt;Resumen!$C$4+30,"Caduca pronto","OK"))))))</f>
        <v/>
      </c>
      <c r="X71" s="26" t="str">
        <f aca="false">IF(OR($A71="",X$4=""),"",IF(NOT(OR(X$6="Toda la plantilla",ISNUMBER(SEARCH(";"&amp;SUBSTITUTE($C71," ","")&amp;";",";"&amp;SUBSTITUTE(X$7," ","")&amp;";")))),"—",IF(_xlfn.MAXIFS(Acuses!$C$5:$C$3004,Acuses!$A$5:$A$3004,$A71,Acuses!$B$5:$B$3004,X$4)&lt;X$5,"Pendiente",IF(X$8=0,"OK",IF(EDATE(_xlfn.MAXIFS(Acuses!$D$5:$D$3004,Acuses!$A$5:$A$3004,$A71,Acuses!$B$5:$B$3004,X$4,Acuses!$C$5:$C$3004,X$5),X$8)&lt;Resumen!$C$4,"Caducado",IF(EDATE(_xlfn.MAXIFS(Acuses!$D$5:$D$3004,Acuses!$A$5:$A$3004,$A71,Acuses!$B$5:$B$3004,X$4,Acuses!$C$5:$C$3004,X$5),X$8)&lt;Resumen!$C$4+30,"Caduca pronto","OK"))))))</f>
        <v/>
      </c>
      <c r="Y71" s="26" t="str">
        <f aca="false">IF(OR($A71="",Y$4=""),"",IF(NOT(OR(Y$6="Toda la plantilla",ISNUMBER(SEARCH(";"&amp;SUBSTITUTE($C71," ","")&amp;";",";"&amp;SUBSTITUTE(Y$7," ","")&amp;";")))),"—",IF(_xlfn.MAXIFS(Acuses!$C$5:$C$3004,Acuses!$A$5:$A$3004,$A71,Acuses!$B$5:$B$3004,Y$4)&lt;Y$5,"Pendiente",IF(Y$8=0,"OK",IF(EDATE(_xlfn.MAXIFS(Acuses!$D$5:$D$3004,Acuses!$A$5:$A$3004,$A71,Acuses!$B$5:$B$3004,Y$4,Acuses!$C$5:$C$3004,Y$5),Y$8)&lt;Resumen!$C$4,"Caducado",IF(EDATE(_xlfn.MAXIFS(Acuses!$D$5:$D$3004,Acuses!$A$5:$A$3004,$A71,Acuses!$B$5:$B$3004,Y$4,Acuses!$C$5:$C$3004,Y$5),Y$8)&lt;Resumen!$C$4+30,"Caduca pronto","OK"))))))</f>
        <v/>
      </c>
      <c r="Z71" s="26" t="str">
        <f aca="false">IF(OR($A71="",Z$4=""),"",IF(NOT(OR(Z$6="Toda la plantilla",ISNUMBER(SEARCH(";"&amp;SUBSTITUTE($C71," ","")&amp;";",";"&amp;SUBSTITUTE(Z$7," ","")&amp;";")))),"—",IF(_xlfn.MAXIFS(Acuses!$C$5:$C$3004,Acuses!$A$5:$A$3004,$A71,Acuses!$B$5:$B$3004,Z$4)&lt;Z$5,"Pendiente",IF(Z$8=0,"OK",IF(EDATE(_xlfn.MAXIFS(Acuses!$D$5:$D$3004,Acuses!$A$5:$A$3004,$A71,Acuses!$B$5:$B$3004,Z$4,Acuses!$C$5:$C$3004,Z$5),Z$8)&lt;Resumen!$C$4,"Caducado",IF(EDATE(_xlfn.MAXIFS(Acuses!$D$5:$D$3004,Acuses!$A$5:$A$3004,$A71,Acuses!$B$5:$B$3004,Z$4,Acuses!$C$5:$C$3004,Z$5),Z$8)&lt;Resumen!$C$4+30,"Caduca pronto","OK"))))))</f>
        <v/>
      </c>
      <c r="AA71" s="26" t="str">
        <f aca="false">IF(OR($A71="",AA$4=""),"",IF(NOT(OR(AA$6="Toda la plantilla",ISNUMBER(SEARCH(";"&amp;SUBSTITUTE($C71," ","")&amp;";",";"&amp;SUBSTITUTE(AA$7," ","")&amp;";")))),"—",IF(_xlfn.MAXIFS(Acuses!$C$5:$C$3004,Acuses!$A$5:$A$3004,$A71,Acuses!$B$5:$B$3004,AA$4)&lt;AA$5,"Pendiente",IF(AA$8=0,"OK",IF(EDATE(_xlfn.MAXIFS(Acuses!$D$5:$D$3004,Acuses!$A$5:$A$3004,$A71,Acuses!$B$5:$B$3004,AA$4,Acuses!$C$5:$C$3004,AA$5),AA$8)&lt;Resumen!$C$4,"Caducado",IF(EDATE(_xlfn.MAXIFS(Acuses!$D$5:$D$3004,Acuses!$A$5:$A$3004,$A71,Acuses!$B$5:$B$3004,AA$4,Acuses!$C$5:$C$3004,AA$5),AA$8)&lt;Resumen!$C$4+30,"Caduca pronto","OK"))))))</f>
        <v/>
      </c>
      <c r="AB71" s="26" t="str">
        <f aca="false">IF(OR($A71="",AB$4=""),"",IF(NOT(OR(AB$6="Toda la plantilla",ISNUMBER(SEARCH(";"&amp;SUBSTITUTE($C71," ","")&amp;";",";"&amp;SUBSTITUTE(AB$7," ","")&amp;";")))),"—",IF(_xlfn.MAXIFS(Acuses!$C$5:$C$3004,Acuses!$A$5:$A$3004,$A71,Acuses!$B$5:$B$3004,AB$4)&lt;AB$5,"Pendiente",IF(AB$8=0,"OK",IF(EDATE(_xlfn.MAXIFS(Acuses!$D$5:$D$3004,Acuses!$A$5:$A$3004,$A71,Acuses!$B$5:$B$3004,AB$4,Acuses!$C$5:$C$3004,AB$5),AB$8)&lt;Resumen!$C$4,"Caducado",IF(EDATE(_xlfn.MAXIFS(Acuses!$D$5:$D$3004,Acuses!$A$5:$A$3004,$A71,Acuses!$B$5:$B$3004,AB$4,Acuses!$C$5:$C$3004,AB$5),AB$8)&lt;Resumen!$C$4+30,"Caduca pronto","OK"))))))</f>
        <v/>
      </c>
      <c r="AC71" s="26" t="str">
        <f aca="false">IF(OR($A71="",AC$4=""),"",IF(NOT(OR(AC$6="Toda la plantilla",ISNUMBER(SEARCH(";"&amp;SUBSTITUTE($C71," ","")&amp;";",";"&amp;SUBSTITUTE(AC$7," ","")&amp;";")))),"—",IF(_xlfn.MAXIFS(Acuses!$C$5:$C$3004,Acuses!$A$5:$A$3004,$A71,Acuses!$B$5:$B$3004,AC$4)&lt;AC$5,"Pendiente",IF(AC$8=0,"OK",IF(EDATE(_xlfn.MAXIFS(Acuses!$D$5:$D$3004,Acuses!$A$5:$A$3004,$A71,Acuses!$B$5:$B$3004,AC$4,Acuses!$C$5:$C$3004,AC$5),AC$8)&lt;Resumen!$C$4,"Caducado",IF(EDATE(_xlfn.MAXIFS(Acuses!$D$5:$D$3004,Acuses!$A$5:$A$3004,$A71,Acuses!$B$5:$B$3004,AC$4,Acuses!$C$5:$C$3004,AC$5),AC$8)&lt;Resumen!$C$4+30,"Caduca pronto","OK"))))))</f>
        <v/>
      </c>
      <c r="AD71" s="26" t="str">
        <f aca="false">IF(OR($A71="",AD$4=""),"",IF(NOT(OR(AD$6="Toda la plantilla",ISNUMBER(SEARCH(";"&amp;SUBSTITUTE($C71," ","")&amp;";",";"&amp;SUBSTITUTE(AD$7," ","")&amp;";")))),"—",IF(_xlfn.MAXIFS(Acuses!$C$5:$C$3004,Acuses!$A$5:$A$3004,$A71,Acuses!$B$5:$B$3004,AD$4)&lt;AD$5,"Pendiente",IF(AD$8=0,"OK",IF(EDATE(_xlfn.MAXIFS(Acuses!$D$5:$D$3004,Acuses!$A$5:$A$3004,$A71,Acuses!$B$5:$B$3004,AD$4,Acuses!$C$5:$C$3004,AD$5),AD$8)&lt;Resumen!$C$4,"Caducado",IF(EDATE(_xlfn.MAXIFS(Acuses!$D$5:$D$3004,Acuses!$A$5:$A$3004,$A71,Acuses!$B$5:$B$3004,AD$4,Acuses!$C$5:$C$3004,AD$5),AD$8)&lt;Resumen!$C$4+30,"Caduca pronto","OK"))))))</f>
        <v/>
      </c>
      <c r="AE71" s="26" t="str">
        <f aca="false">IF(OR($A71="",AE$4=""),"",IF(NOT(OR(AE$6="Toda la plantilla",ISNUMBER(SEARCH(";"&amp;SUBSTITUTE($C71," ","")&amp;";",";"&amp;SUBSTITUTE(AE$7," ","")&amp;";")))),"—",IF(_xlfn.MAXIFS(Acuses!$C$5:$C$3004,Acuses!$A$5:$A$3004,$A71,Acuses!$B$5:$B$3004,AE$4)&lt;AE$5,"Pendiente",IF(AE$8=0,"OK",IF(EDATE(_xlfn.MAXIFS(Acuses!$D$5:$D$3004,Acuses!$A$5:$A$3004,$A71,Acuses!$B$5:$B$3004,AE$4,Acuses!$C$5:$C$3004,AE$5),AE$8)&lt;Resumen!$C$4,"Caducado",IF(EDATE(_xlfn.MAXIFS(Acuses!$D$5:$D$3004,Acuses!$A$5:$A$3004,$A71,Acuses!$B$5:$B$3004,AE$4,Acuses!$C$5:$C$3004,AE$5),AE$8)&lt;Resumen!$C$4+30,"Caduca pronto","OK"))))))</f>
        <v/>
      </c>
      <c r="AF71" s="26" t="str">
        <f aca="false">IF(OR($A71="",AF$4=""),"",IF(NOT(OR(AF$6="Toda la plantilla",ISNUMBER(SEARCH(";"&amp;SUBSTITUTE($C71," ","")&amp;";",";"&amp;SUBSTITUTE(AF$7," ","")&amp;";")))),"—",IF(_xlfn.MAXIFS(Acuses!$C$5:$C$3004,Acuses!$A$5:$A$3004,$A71,Acuses!$B$5:$B$3004,AF$4)&lt;AF$5,"Pendiente",IF(AF$8=0,"OK",IF(EDATE(_xlfn.MAXIFS(Acuses!$D$5:$D$3004,Acuses!$A$5:$A$3004,$A71,Acuses!$B$5:$B$3004,AF$4,Acuses!$C$5:$C$3004,AF$5),AF$8)&lt;Resumen!$C$4,"Caducado",IF(EDATE(_xlfn.MAXIFS(Acuses!$D$5:$D$3004,Acuses!$A$5:$A$3004,$A71,Acuses!$B$5:$B$3004,AF$4,Acuses!$C$5:$C$3004,AF$5),AF$8)&lt;Resumen!$C$4+30,"Caduca pronto","OK"))))))</f>
        <v/>
      </c>
      <c r="AG71" s="26" t="str">
        <f aca="false">IF(OR($A71="",AG$4=""),"",IF(NOT(OR(AG$6="Toda la plantilla",ISNUMBER(SEARCH(";"&amp;SUBSTITUTE($C71," ","")&amp;";",";"&amp;SUBSTITUTE(AG$7," ","")&amp;";")))),"—",IF(_xlfn.MAXIFS(Acuses!$C$5:$C$3004,Acuses!$A$5:$A$3004,$A71,Acuses!$B$5:$B$3004,AG$4)&lt;AG$5,"Pendiente",IF(AG$8=0,"OK",IF(EDATE(_xlfn.MAXIFS(Acuses!$D$5:$D$3004,Acuses!$A$5:$A$3004,$A71,Acuses!$B$5:$B$3004,AG$4,Acuses!$C$5:$C$3004,AG$5),AG$8)&lt;Resumen!$C$4,"Caducado",IF(EDATE(_xlfn.MAXIFS(Acuses!$D$5:$D$3004,Acuses!$A$5:$A$3004,$A71,Acuses!$B$5:$B$3004,AG$4,Acuses!$C$5:$C$3004,AG$5),AG$8)&lt;Resumen!$C$4+30,"Caduca pronto","OK"))))))</f>
        <v/>
      </c>
      <c r="AH71" s="26" t="str">
        <f aca="false">IF(OR($A71="",AH$4=""),"",IF(NOT(OR(AH$6="Toda la plantilla",ISNUMBER(SEARCH(";"&amp;SUBSTITUTE($C71," ","")&amp;";",";"&amp;SUBSTITUTE(AH$7," ","")&amp;";")))),"—",IF(_xlfn.MAXIFS(Acuses!$C$5:$C$3004,Acuses!$A$5:$A$3004,$A71,Acuses!$B$5:$B$3004,AH$4)&lt;AH$5,"Pendiente",IF(AH$8=0,"OK",IF(EDATE(_xlfn.MAXIFS(Acuses!$D$5:$D$3004,Acuses!$A$5:$A$3004,$A71,Acuses!$B$5:$B$3004,AH$4,Acuses!$C$5:$C$3004,AH$5),AH$8)&lt;Resumen!$C$4,"Caducado",IF(EDATE(_xlfn.MAXIFS(Acuses!$D$5:$D$3004,Acuses!$A$5:$A$3004,$A71,Acuses!$B$5:$B$3004,AH$4,Acuses!$C$5:$C$3004,AH$5),AH$8)&lt;Resumen!$C$4+30,"Caduca pronto","OK"))))))</f>
        <v/>
      </c>
      <c r="AI71" s="26" t="str">
        <f aca="false">IF(OR($A71="",AI$4=""),"",IF(NOT(OR(AI$6="Toda la plantilla",ISNUMBER(SEARCH(";"&amp;SUBSTITUTE($C71," ","")&amp;";",";"&amp;SUBSTITUTE(AI$7," ","")&amp;";")))),"—",IF(_xlfn.MAXIFS(Acuses!$C$5:$C$3004,Acuses!$A$5:$A$3004,$A71,Acuses!$B$5:$B$3004,AI$4)&lt;AI$5,"Pendiente",IF(AI$8=0,"OK",IF(EDATE(_xlfn.MAXIFS(Acuses!$D$5:$D$3004,Acuses!$A$5:$A$3004,$A71,Acuses!$B$5:$B$3004,AI$4,Acuses!$C$5:$C$3004,AI$5),AI$8)&lt;Resumen!$C$4,"Caducado",IF(EDATE(_xlfn.MAXIFS(Acuses!$D$5:$D$3004,Acuses!$A$5:$A$3004,$A71,Acuses!$B$5:$B$3004,AI$4,Acuses!$C$5:$C$3004,AI$5),AI$8)&lt;Resumen!$C$4+30,"Caduca pronto","OK"))))))</f>
        <v/>
      </c>
      <c r="AJ71" s="26" t="str">
        <f aca="false">IF(OR($A71="",AJ$4=""),"",IF(NOT(OR(AJ$6="Toda la plantilla",ISNUMBER(SEARCH(";"&amp;SUBSTITUTE($C71," ","")&amp;";",";"&amp;SUBSTITUTE(AJ$7," ","")&amp;";")))),"—",IF(_xlfn.MAXIFS(Acuses!$C$5:$C$3004,Acuses!$A$5:$A$3004,$A71,Acuses!$B$5:$B$3004,AJ$4)&lt;AJ$5,"Pendiente",IF(AJ$8=0,"OK",IF(EDATE(_xlfn.MAXIFS(Acuses!$D$5:$D$3004,Acuses!$A$5:$A$3004,$A71,Acuses!$B$5:$B$3004,AJ$4,Acuses!$C$5:$C$3004,AJ$5),AJ$8)&lt;Resumen!$C$4,"Caducado",IF(EDATE(_xlfn.MAXIFS(Acuses!$D$5:$D$3004,Acuses!$A$5:$A$3004,$A71,Acuses!$B$5:$B$3004,AJ$4,Acuses!$C$5:$C$3004,AJ$5),AJ$8)&lt;Resumen!$C$4+30,"Caduca pronto","OK"))))))</f>
        <v/>
      </c>
      <c r="AK71" s="26" t="str">
        <f aca="false">IF(OR($A71="",AK$4=""),"",IF(NOT(OR(AK$6="Toda la plantilla",ISNUMBER(SEARCH(";"&amp;SUBSTITUTE($C71," ","")&amp;";",";"&amp;SUBSTITUTE(AK$7," ","")&amp;";")))),"—",IF(_xlfn.MAXIFS(Acuses!$C$5:$C$3004,Acuses!$A$5:$A$3004,$A71,Acuses!$B$5:$B$3004,AK$4)&lt;AK$5,"Pendiente",IF(AK$8=0,"OK",IF(EDATE(_xlfn.MAXIFS(Acuses!$D$5:$D$3004,Acuses!$A$5:$A$3004,$A71,Acuses!$B$5:$B$3004,AK$4,Acuses!$C$5:$C$3004,AK$5),AK$8)&lt;Resumen!$C$4,"Caducado",IF(EDATE(_xlfn.MAXIFS(Acuses!$D$5:$D$3004,Acuses!$A$5:$A$3004,$A71,Acuses!$B$5:$B$3004,AK$4,Acuses!$C$5:$C$3004,AK$5),AK$8)&lt;Resumen!$C$4+30,"Caduca pronto","OK"))))))</f>
        <v/>
      </c>
      <c r="AL71" s="26" t="str">
        <f aca="false">IF(OR($A71="",AL$4=""),"",IF(NOT(OR(AL$6="Toda la plantilla",ISNUMBER(SEARCH(";"&amp;SUBSTITUTE($C71," ","")&amp;";",";"&amp;SUBSTITUTE(AL$7," ","")&amp;";")))),"—",IF(_xlfn.MAXIFS(Acuses!$C$5:$C$3004,Acuses!$A$5:$A$3004,$A71,Acuses!$B$5:$B$3004,AL$4)&lt;AL$5,"Pendiente",IF(AL$8=0,"OK",IF(EDATE(_xlfn.MAXIFS(Acuses!$D$5:$D$3004,Acuses!$A$5:$A$3004,$A71,Acuses!$B$5:$B$3004,AL$4,Acuses!$C$5:$C$3004,AL$5),AL$8)&lt;Resumen!$C$4,"Caducado",IF(EDATE(_xlfn.MAXIFS(Acuses!$D$5:$D$3004,Acuses!$A$5:$A$3004,$A71,Acuses!$B$5:$B$3004,AL$4,Acuses!$C$5:$C$3004,AL$5),AL$8)&lt;Resumen!$C$4+30,"Caduca pronto","OK"))))))</f>
        <v/>
      </c>
      <c r="AM71" s="26" t="str">
        <f aca="false">IF(OR($A71="",AM$4=""),"",IF(NOT(OR(AM$6="Toda la plantilla",ISNUMBER(SEARCH(";"&amp;SUBSTITUTE($C71," ","")&amp;";",";"&amp;SUBSTITUTE(AM$7," ","")&amp;";")))),"—",IF(_xlfn.MAXIFS(Acuses!$C$5:$C$3004,Acuses!$A$5:$A$3004,$A71,Acuses!$B$5:$B$3004,AM$4)&lt;AM$5,"Pendiente",IF(AM$8=0,"OK",IF(EDATE(_xlfn.MAXIFS(Acuses!$D$5:$D$3004,Acuses!$A$5:$A$3004,$A71,Acuses!$B$5:$B$3004,AM$4,Acuses!$C$5:$C$3004,AM$5),AM$8)&lt;Resumen!$C$4,"Caducado",IF(EDATE(_xlfn.MAXIFS(Acuses!$D$5:$D$3004,Acuses!$A$5:$A$3004,$A71,Acuses!$B$5:$B$3004,AM$4,Acuses!$C$5:$C$3004,AM$5),AM$8)&lt;Resumen!$C$4+30,"Caduca pronto","OK"))))))</f>
        <v/>
      </c>
      <c r="AN71" s="26" t="str">
        <f aca="false">IF(OR($A71="",AN$4=""),"",IF(NOT(OR(AN$6="Toda la plantilla",ISNUMBER(SEARCH(";"&amp;SUBSTITUTE($C71," ","")&amp;";",";"&amp;SUBSTITUTE(AN$7," ","")&amp;";")))),"—",IF(_xlfn.MAXIFS(Acuses!$C$5:$C$3004,Acuses!$A$5:$A$3004,$A71,Acuses!$B$5:$B$3004,AN$4)&lt;AN$5,"Pendiente",IF(AN$8=0,"OK",IF(EDATE(_xlfn.MAXIFS(Acuses!$D$5:$D$3004,Acuses!$A$5:$A$3004,$A71,Acuses!$B$5:$B$3004,AN$4,Acuses!$C$5:$C$3004,AN$5),AN$8)&lt;Resumen!$C$4,"Caducado",IF(EDATE(_xlfn.MAXIFS(Acuses!$D$5:$D$3004,Acuses!$A$5:$A$3004,$A71,Acuses!$B$5:$B$3004,AN$4,Acuses!$C$5:$C$3004,AN$5),AN$8)&lt;Resumen!$C$4+30,"Caduca pronto","OK"))))))</f>
        <v/>
      </c>
      <c r="AO71" s="26" t="str">
        <f aca="false">IF(OR($A71="",AO$4=""),"",IF(NOT(OR(AO$6="Toda la plantilla",ISNUMBER(SEARCH(";"&amp;SUBSTITUTE($C71," ","")&amp;";",";"&amp;SUBSTITUTE(AO$7," ","")&amp;";")))),"—",IF(_xlfn.MAXIFS(Acuses!$C$5:$C$3004,Acuses!$A$5:$A$3004,$A71,Acuses!$B$5:$B$3004,AO$4)&lt;AO$5,"Pendiente",IF(AO$8=0,"OK",IF(EDATE(_xlfn.MAXIFS(Acuses!$D$5:$D$3004,Acuses!$A$5:$A$3004,$A71,Acuses!$B$5:$B$3004,AO$4,Acuses!$C$5:$C$3004,AO$5),AO$8)&lt;Resumen!$C$4,"Caducado",IF(EDATE(_xlfn.MAXIFS(Acuses!$D$5:$D$3004,Acuses!$A$5:$A$3004,$A71,Acuses!$B$5:$B$3004,AO$4,Acuses!$C$5:$C$3004,AO$5),AO$8)&lt;Resumen!$C$4+30,"Caduca pronto","OK"))))))</f>
        <v/>
      </c>
      <c r="AP71" s="26" t="str">
        <f aca="false">IF(OR($A71="",AP$4=""),"",IF(NOT(OR(AP$6="Toda la plantilla",ISNUMBER(SEARCH(";"&amp;SUBSTITUTE($C71," ","")&amp;";",";"&amp;SUBSTITUTE(AP$7," ","")&amp;";")))),"—",IF(_xlfn.MAXIFS(Acuses!$C$5:$C$3004,Acuses!$A$5:$A$3004,$A71,Acuses!$B$5:$B$3004,AP$4)&lt;AP$5,"Pendiente",IF(AP$8=0,"OK",IF(EDATE(_xlfn.MAXIFS(Acuses!$D$5:$D$3004,Acuses!$A$5:$A$3004,$A71,Acuses!$B$5:$B$3004,AP$4,Acuses!$C$5:$C$3004,AP$5),AP$8)&lt;Resumen!$C$4,"Caducado",IF(EDATE(_xlfn.MAXIFS(Acuses!$D$5:$D$3004,Acuses!$A$5:$A$3004,$A71,Acuses!$B$5:$B$3004,AP$4,Acuses!$C$5:$C$3004,AP$5),AP$8)&lt;Resumen!$C$4+30,"Caduca pronto","OK"))))))</f>
        <v/>
      </c>
      <c r="AQ71" s="26" t="str">
        <f aca="false">IF(OR($A71="",AQ$4=""),"",IF(NOT(OR(AQ$6="Toda la plantilla",ISNUMBER(SEARCH(";"&amp;SUBSTITUTE($C71," ","")&amp;";",";"&amp;SUBSTITUTE(AQ$7," ","")&amp;";")))),"—",IF(_xlfn.MAXIFS(Acuses!$C$5:$C$3004,Acuses!$A$5:$A$3004,$A71,Acuses!$B$5:$B$3004,AQ$4)&lt;AQ$5,"Pendiente",IF(AQ$8=0,"OK",IF(EDATE(_xlfn.MAXIFS(Acuses!$D$5:$D$3004,Acuses!$A$5:$A$3004,$A71,Acuses!$B$5:$B$3004,AQ$4,Acuses!$C$5:$C$3004,AQ$5),AQ$8)&lt;Resumen!$C$4,"Caducado",IF(EDATE(_xlfn.MAXIFS(Acuses!$D$5:$D$3004,Acuses!$A$5:$A$3004,$A71,Acuses!$B$5:$B$3004,AQ$4,Acuses!$C$5:$C$3004,AQ$5),AQ$8)&lt;Resumen!$C$4+30,"Caduca pronto","OK"))))))</f>
        <v/>
      </c>
    </row>
    <row r="72" customFormat="false" ht="15" hidden="false" customHeight="false" outlineLevel="0" collapsed="false">
      <c r="A72" s="25" t="str">
        <f aca="false">IF(AND(Trabajadores!$A$67&lt;&gt;"",Trabajadores!$G$67&lt;&gt;"No"),Trabajadores!$A$67,"")</f>
        <v/>
      </c>
      <c r="B72" s="25" t="str">
        <f aca="false">IF($A72="","",Trabajadores!$B$67)</f>
        <v/>
      </c>
      <c r="C72" s="25" t="str">
        <f aca="false">IF($A72="","",Trabajadores!$C$67)</f>
        <v/>
      </c>
      <c r="D72" s="26" t="str">
        <f aca="false">IF(OR($A72="",D$4=""),"",IF(NOT(OR(D$6="Toda la plantilla",ISNUMBER(SEARCH(";"&amp;SUBSTITUTE($C72," ","")&amp;";",";"&amp;SUBSTITUTE(D$7," ","")&amp;";")))),"—",IF(_xlfn.MAXIFS(Acuses!$C$5:$C$3004,Acuses!$A$5:$A$3004,$A72,Acuses!$B$5:$B$3004,D$4)&lt;D$5,"Pendiente",IF(D$8=0,"OK",IF(EDATE(_xlfn.MAXIFS(Acuses!$D$5:$D$3004,Acuses!$A$5:$A$3004,$A72,Acuses!$B$5:$B$3004,D$4,Acuses!$C$5:$C$3004,D$5),D$8)&lt;Resumen!$C$4,"Caducado",IF(EDATE(_xlfn.MAXIFS(Acuses!$D$5:$D$3004,Acuses!$A$5:$A$3004,$A72,Acuses!$B$5:$B$3004,D$4,Acuses!$C$5:$C$3004,D$5),D$8)&lt;Resumen!$C$4+30,"Caduca pronto","OK"))))))</f>
        <v/>
      </c>
      <c r="E72" s="26" t="str">
        <f aca="false">IF(OR($A72="",E$4=""),"",IF(NOT(OR(E$6="Toda la plantilla",ISNUMBER(SEARCH(";"&amp;SUBSTITUTE($C72," ","")&amp;";",";"&amp;SUBSTITUTE(E$7," ","")&amp;";")))),"—",IF(_xlfn.MAXIFS(Acuses!$C$5:$C$3004,Acuses!$A$5:$A$3004,$A72,Acuses!$B$5:$B$3004,E$4)&lt;E$5,"Pendiente",IF(E$8=0,"OK",IF(EDATE(_xlfn.MAXIFS(Acuses!$D$5:$D$3004,Acuses!$A$5:$A$3004,$A72,Acuses!$B$5:$B$3004,E$4,Acuses!$C$5:$C$3004,E$5),E$8)&lt;Resumen!$C$4,"Caducado",IF(EDATE(_xlfn.MAXIFS(Acuses!$D$5:$D$3004,Acuses!$A$5:$A$3004,$A72,Acuses!$B$5:$B$3004,E$4,Acuses!$C$5:$C$3004,E$5),E$8)&lt;Resumen!$C$4+30,"Caduca pronto","OK"))))))</f>
        <v/>
      </c>
      <c r="F72" s="26" t="str">
        <f aca="false">IF(OR($A72="",F$4=""),"",IF(NOT(OR(F$6="Toda la plantilla",ISNUMBER(SEARCH(";"&amp;SUBSTITUTE($C72," ","")&amp;";",";"&amp;SUBSTITUTE(F$7," ","")&amp;";")))),"—",IF(_xlfn.MAXIFS(Acuses!$C$5:$C$3004,Acuses!$A$5:$A$3004,$A72,Acuses!$B$5:$B$3004,F$4)&lt;F$5,"Pendiente",IF(F$8=0,"OK",IF(EDATE(_xlfn.MAXIFS(Acuses!$D$5:$D$3004,Acuses!$A$5:$A$3004,$A72,Acuses!$B$5:$B$3004,F$4,Acuses!$C$5:$C$3004,F$5),F$8)&lt;Resumen!$C$4,"Caducado",IF(EDATE(_xlfn.MAXIFS(Acuses!$D$5:$D$3004,Acuses!$A$5:$A$3004,$A72,Acuses!$B$5:$B$3004,F$4,Acuses!$C$5:$C$3004,F$5),F$8)&lt;Resumen!$C$4+30,"Caduca pronto","OK"))))))</f>
        <v/>
      </c>
      <c r="G72" s="26" t="str">
        <f aca="false">IF(OR($A72="",G$4=""),"",IF(NOT(OR(G$6="Toda la plantilla",ISNUMBER(SEARCH(";"&amp;SUBSTITUTE($C72," ","")&amp;";",";"&amp;SUBSTITUTE(G$7," ","")&amp;";")))),"—",IF(_xlfn.MAXIFS(Acuses!$C$5:$C$3004,Acuses!$A$5:$A$3004,$A72,Acuses!$B$5:$B$3004,G$4)&lt;G$5,"Pendiente",IF(G$8=0,"OK",IF(EDATE(_xlfn.MAXIFS(Acuses!$D$5:$D$3004,Acuses!$A$5:$A$3004,$A72,Acuses!$B$5:$B$3004,G$4,Acuses!$C$5:$C$3004,G$5),G$8)&lt;Resumen!$C$4,"Caducado",IF(EDATE(_xlfn.MAXIFS(Acuses!$D$5:$D$3004,Acuses!$A$5:$A$3004,$A72,Acuses!$B$5:$B$3004,G$4,Acuses!$C$5:$C$3004,G$5),G$8)&lt;Resumen!$C$4+30,"Caduca pronto","OK"))))))</f>
        <v/>
      </c>
      <c r="H72" s="26" t="str">
        <f aca="false">IF(OR($A72="",H$4=""),"",IF(NOT(OR(H$6="Toda la plantilla",ISNUMBER(SEARCH(";"&amp;SUBSTITUTE($C72," ","")&amp;";",";"&amp;SUBSTITUTE(H$7," ","")&amp;";")))),"—",IF(_xlfn.MAXIFS(Acuses!$C$5:$C$3004,Acuses!$A$5:$A$3004,$A72,Acuses!$B$5:$B$3004,H$4)&lt;H$5,"Pendiente",IF(H$8=0,"OK",IF(EDATE(_xlfn.MAXIFS(Acuses!$D$5:$D$3004,Acuses!$A$5:$A$3004,$A72,Acuses!$B$5:$B$3004,H$4,Acuses!$C$5:$C$3004,H$5),H$8)&lt;Resumen!$C$4,"Caducado",IF(EDATE(_xlfn.MAXIFS(Acuses!$D$5:$D$3004,Acuses!$A$5:$A$3004,$A72,Acuses!$B$5:$B$3004,H$4,Acuses!$C$5:$C$3004,H$5),H$8)&lt;Resumen!$C$4+30,"Caduca pronto","OK"))))))</f>
        <v/>
      </c>
      <c r="I72" s="26" t="str">
        <f aca="false">IF(OR($A72="",I$4=""),"",IF(NOT(OR(I$6="Toda la plantilla",ISNUMBER(SEARCH(";"&amp;SUBSTITUTE($C72," ","")&amp;";",";"&amp;SUBSTITUTE(I$7," ","")&amp;";")))),"—",IF(_xlfn.MAXIFS(Acuses!$C$5:$C$3004,Acuses!$A$5:$A$3004,$A72,Acuses!$B$5:$B$3004,I$4)&lt;I$5,"Pendiente",IF(I$8=0,"OK",IF(EDATE(_xlfn.MAXIFS(Acuses!$D$5:$D$3004,Acuses!$A$5:$A$3004,$A72,Acuses!$B$5:$B$3004,I$4,Acuses!$C$5:$C$3004,I$5),I$8)&lt;Resumen!$C$4,"Caducado",IF(EDATE(_xlfn.MAXIFS(Acuses!$D$5:$D$3004,Acuses!$A$5:$A$3004,$A72,Acuses!$B$5:$B$3004,I$4,Acuses!$C$5:$C$3004,I$5),I$8)&lt;Resumen!$C$4+30,"Caduca pronto","OK"))))))</f>
        <v/>
      </c>
      <c r="J72" s="26" t="str">
        <f aca="false">IF(OR($A72="",J$4=""),"",IF(NOT(OR(J$6="Toda la plantilla",ISNUMBER(SEARCH(";"&amp;SUBSTITUTE($C72," ","")&amp;";",";"&amp;SUBSTITUTE(J$7," ","")&amp;";")))),"—",IF(_xlfn.MAXIFS(Acuses!$C$5:$C$3004,Acuses!$A$5:$A$3004,$A72,Acuses!$B$5:$B$3004,J$4)&lt;J$5,"Pendiente",IF(J$8=0,"OK",IF(EDATE(_xlfn.MAXIFS(Acuses!$D$5:$D$3004,Acuses!$A$5:$A$3004,$A72,Acuses!$B$5:$B$3004,J$4,Acuses!$C$5:$C$3004,J$5),J$8)&lt;Resumen!$C$4,"Caducado",IF(EDATE(_xlfn.MAXIFS(Acuses!$D$5:$D$3004,Acuses!$A$5:$A$3004,$A72,Acuses!$B$5:$B$3004,J$4,Acuses!$C$5:$C$3004,J$5),J$8)&lt;Resumen!$C$4+30,"Caduca pronto","OK"))))))</f>
        <v/>
      </c>
      <c r="K72" s="26" t="str">
        <f aca="false">IF(OR($A72="",K$4=""),"",IF(NOT(OR(K$6="Toda la plantilla",ISNUMBER(SEARCH(";"&amp;SUBSTITUTE($C72," ","")&amp;";",";"&amp;SUBSTITUTE(K$7," ","")&amp;";")))),"—",IF(_xlfn.MAXIFS(Acuses!$C$5:$C$3004,Acuses!$A$5:$A$3004,$A72,Acuses!$B$5:$B$3004,K$4)&lt;K$5,"Pendiente",IF(K$8=0,"OK",IF(EDATE(_xlfn.MAXIFS(Acuses!$D$5:$D$3004,Acuses!$A$5:$A$3004,$A72,Acuses!$B$5:$B$3004,K$4,Acuses!$C$5:$C$3004,K$5),K$8)&lt;Resumen!$C$4,"Caducado",IF(EDATE(_xlfn.MAXIFS(Acuses!$D$5:$D$3004,Acuses!$A$5:$A$3004,$A72,Acuses!$B$5:$B$3004,K$4,Acuses!$C$5:$C$3004,K$5),K$8)&lt;Resumen!$C$4+30,"Caduca pronto","OK"))))))</f>
        <v/>
      </c>
      <c r="L72" s="26" t="str">
        <f aca="false">IF(OR($A72="",L$4=""),"",IF(NOT(OR(L$6="Toda la plantilla",ISNUMBER(SEARCH(";"&amp;SUBSTITUTE($C72," ","")&amp;";",";"&amp;SUBSTITUTE(L$7," ","")&amp;";")))),"—",IF(_xlfn.MAXIFS(Acuses!$C$5:$C$3004,Acuses!$A$5:$A$3004,$A72,Acuses!$B$5:$B$3004,L$4)&lt;L$5,"Pendiente",IF(L$8=0,"OK",IF(EDATE(_xlfn.MAXIFS(Acuses!$D$5:$D$3004,Acuses!$A$5:$A$3004,$A72,Acuses!$B$5:$B$3004,L$4,Acuses!$C$5:$C$3004,L$5),L$8)&lt;Resumen!$C$4,"Caducado",IF(EDATE(_xlfn.MAXIFS(Acuses!$D$5:$D$3004,Acuses!$A$5:$A$3004,$A72,Acuses!$B$5:$B$3004,L$4,Acuses!$C$5:$C$3004,L$5),L$8)&lt;Resumen!$C$4+30,"Caduca pronto","OK"))))))</f>
        <v/>
      </c>
      <c r="M72" s="26" t="str">
        <f aca="false">IF(OR($A72="",M$4=""),"",IF(NOT(OR(M$6="Toda la plantilla",ISNUMBER(SEARCH(";"&amp;SUBSTITUTE($C72," ","")&amp;";",";"&amp;SUBSTITUTE(M$7," ","")&amp;";")))),"—",IF(_xlfn.MAXIFS(Acuses!$C$5:$C$3004,Acuses!$A$5:$A$3004,$A72,Acuses!$B$5:$B$3004,M$4)&lt;M$5,"Pendiente",IF(M$8=0,"OK",IF(EDATE(_xlfn.MAXIFS(Acuses!$D$5:$D$3004,Acuses!$A$5:$A$3004,$A72,Acuses!$B$5:$B$3004,M$4,Acuses!$C$5:$C$3004,M$5),M$8)&lt;Resumen!$C$4,"Caducado",IF(EDATE(_xlfn.MAXIFS(Acuses!$D$5:$D$3004,Acuses!$A$5:$A$3004,$A72,Acuses!$B$5:$B$3004,M$4,Acuses!$C$5:$C$3004,M$5),M$8)&lt;Resumen!$C$4+30,"Caduca pronto","OK"))))))</f>
        <v/>
      </c>
      <c r="N72" s="26" t="str">
        <f aca="false">IF(OR($A72="",N$4=""),"",IF(NOT(OR(N$6="Toda la plantilla",ISNUMBER(SEARCH(";"&amp;SUBSTITUTE($C72," ","")&amp;";",";"&amp;SUBSTITUTE(N$7," ","")&amp;";")))),"—",IF(_xlfn.MAXIFS(Acuses!$C$5:$C$3004,Acuses!$A$5:$A$3004,$A72,Acuses!$B$5:$B$3004,N$4)&lt;N$5,"Pendiente",IF(N$8=0,"OK",IF(EDATE(_xlfn.MAXIFS(Acuses!$D$5:$D$3004,Acuses!$A$5:$A$3004,$A72,Acuses!$B$5:$B$3004,N$4,Acuses!$C$5:$C$3004,N$5),N$8)&lt;Resumen!$C$4,"Caducado",IF(EDATE(_xlfn.MAXIFS(Acuses!$D$5:$D$3004,Acuses!$A$5:$A$3004,$A72,Acuses!$B$5:$B$3004,N$4,Acuses!$C$5:$C$3004,N$5),N$8)&lt;Resumen!$C$4+30,"Caduca pronto","OK"))))))</f>
        <v/>
      </c>
      <c r="O72" s="26" t="str">
        <f aca="false">IF(OR($A72="",O$4=""),"",IF(NOT(OR(O$6="Toda la plantilla",ISNUMBER(SEARCH(";"&amp;SUBSTITUTE($C72," ","")&amp;";",";"&amp;SUBSTITUTE(O$7," ","")&amp;";")))),"—",IF(_xlfn.MAXIFS(Acuses!$C$5:$C$3004,Acuses!$A$5:$A$3004,$A72,Acuses!$B$5:$B$3004,O$4)&lt;O$5,"Pendiente",IF(O$8=0,"OK",IF(EDATE(_xlfn.MAXIFS(Acuses!$D$5:$D$3004,Acuses!$A$5:$A$3004,$A72,Acuses!$B$5:$B$3004,O$4,Acuses!$C$5:$C$3004,O$5),O$8)&lt;Resumen!$C$4,"Caducado",IF(EDATE(_xlfn.MAXIFS(Acuses!$D$5:$D$3004,Acuses!$A$5:$A$3004,$A72,Acuses!$B$5:$B$3004,O$4,Acuses!$C$5:$C$3004,O$5),O$8)&lt;Resumen!$C$4+30,"Caduca pronto","OK"))))))</f>
        <v/>
      </c>
      <c r="P72" s="26" t="str">
        <f aca="false">IF(OR($A72="",P$4=""),"",IF(NOT(OR(P$6="Toda la plantilla",ISNUMBER(SEARCH(";"&amp;SUBSTITUTE($C72," ","")&amp;";",";"&amp;SUBSTITUTE(P$7," ","")&amp;";")))),"—",IF(_xlfn.MAXIFS(Acuses!$C$5:$C$3004,Acuses!$A$5:$A$3004,$A72,Acuses!$B$5:$B$3004,P$4)&lt;P$5,"Pendiente",IF(P$8=0,"OK",IF(EDATE(_xlfn.MAXIFS(Acuses!$D$5:$D$3004,Acuses!$A$5:$A$3004,$A72,Acuses!$B$5:$B$3004,P$4,Acuses!$C$5:$C$3004,P$5),P$8)&lt;Resumen!$C$4,"Caducado",IF(EDATE(_xlfn.MAXIFS(Acuses!$D$5:$D$3004,Acuses!$A$5:$A$3004,$A72,Acuses!$B$5:$B$3004,P$4,Acuses!$C$5:$C$3004,P$5),P$8)&lt;Resumen!$C$4+30,"Caduca pronto","OK"))))))</f>
        <v/>
      </c>
      <c r="Q72" s="26" t="str">
        <f aca="false">IF(OR($A72="",Q$4=""),"",IF(NOT(OR(Q$6="Toda la plantilla",ISNUMBER(SEARCH(";"&amp;SUBSTITUTE($C72," ","")&amp;";",";"&amp;SUBSTITUTE(Q$7," ","")&amp;";")))),"—",IF(_xlfn.MAXIFS(Acuses!$C$5:$C$3004,Acuses!$A$5:$A$3004,$A72,Acuses!$B$5:$B$3004,Q$4)&lt;Q$5,"Pendiente",IF(Q$8=0,"OK",IF(EDATE(_xlfn.MAXIFS(Acuses!$D$5:$D$3004,Acuses!$A$5:$A$3004,$A72,Acuses!$B$5:$B$3004,Q$4,Acuses!$C$5:$C$3004,Q$5),Q$8)&lt;Resumen!$C$4,"Caducado",IF(EDATE(_xlfn.MAXIFS(Acuses!$D$5:$D$3004,Acuses!$A$5:$A$3004,$A72,Acuses!$B$5:$B$3004,Q$4,Acuses!$C$5:$C$3004,Q$5),Q$8)&lt;Resumen!$C$4+30,"Caduca pronto","OK"))))))</f>
        <v/>
      </c>
      <c r="R72" s="26" t="str">
        <f aca="false">IF(OR($A72="",R$4=""),"",IF(NOT(OR(R$6="Toda la plantilla",ISNUMBER(SEARCH(";"&amp;SUBSTITUTE($C72," ","")&amp;";",";"&amp;SUBSTITUTE(R$7," ","")&amp;";")))),"—",IF(_xlfn.MAXIFS(Acuses!$C$5:$C$3004,Acuses!$A$5:$A$3004,$A72,Acuses!$B$5:$B$3004,R$4)&lt;R$5,"Pendiente",IF(R$8=0,"OK",IF(EDATE(_xlfn.MAXIFS(Acuses!$D$5:$D$3004,Acuses!$A$5:$A$3004,$A72,Acuses!$B$5:$B$3004,R$4,Acuses!$C$5:$C$3004,R$5),R$8)&lt;Resumen!$C$4,"Caducado",IF(EDATE(_xlfn.MAXIFS(Acuses!$D$5:$D$3004,Acuses!$A$5:$A$3004,$A72,Acuses!$B$5:$B$3004,R$4,Acuses!$C$5:$C$3004,R$5),R$8)&lt;Resumen!$C$4+30,"Caduca pronto","OK"))))))</f>
        <v/>
      </c>
      <c r="S72" s="26" t="str">
        <f aca="false">IF(OR($A72="",S$4=""),"",IF(NOT(OR(S$6="Toda la plantilla",ISNUMBER(SEARCH(";"&amp;SUBSTITUTE($C72," ","")&amp;";",";"&amp;SUBSTITUTE(S$7," ","")&amp;";")))),"—",IF(_xlfn.MAXIFS(Acuses!$C$5:$C$3004,Acuses!$A$5:$A$3004,$A72,Acuses!$B$5:$B$3004,S$4)&lt;S$5,"Pendiente",IF(S$8=0,"OK",IF(EDATE(_xlfn.MAXIFS(Acuses!$D$5:$D$3004,Acuses!$A$5:$A$3004,$A72,Acuses!$B$5:$B$3004,S$4,Acuses!$C$5:$C$3004,S$5),S$8)&lt;Resumen!$C$4,"Caducado",IF(EDATE(_xlfn.MAXIFS(Acuses!$D$5:$D$3004,Acuses!$A$5:$A$3004,$A72,Acuses!$B$5:$B$3004,S$4,Acuses!$C$5:$C$3004,S$5),S$8)&lt;Resumen!$C$4+30,"Caduca pronto","OK"))))))</f>
        <v/>
      </c>
      <c r="T72" s="26" t="str">
        <f aca="false">IF(OR($A72="",T$4=""),"",IF(NOT(OR(T$6="Toda la plantilla",ISNUMBER(SEARCH(";"&amp;SUBSTITUTE($C72," ","")&amp;";",";"&amp;SUBSTITUTE(T$7," ","")&amp;";")))),"—",IF(_xlfn.MAXIFS(Acuses!$C$5:$C$3004,Acuses!$A$5:$A$3004,$A72,Acuses!$B$5:$B$3004,T$4)&lt;T$5,"Pendiente",IF(T$8=0,"OK",IF(EDATE(_xlfn.MAXIFS(Acuses!$D$5:$D$3004,Acuses!$A$5:$A$3004,$A72,Acuses!$B$5:$B$3004,T$4,Acuses!$C$5:$C$3004,T$5),T$8)&lt;Resumen!$C$4,"Caducado",IF(EDATE(_xlfn.MAXIFS(Acuses!$D$5:$D$3004,Acuses!$A$5:$A$3004,$A72,Acuses!$B$5:$B$3004,T$4,Acuses!$C$5:$C$3004,T$5),T$8)&lt;Resumen!$C$4+30,"Caduca pronto","OK"))))))</f>
        <v/>
      </c>
      <c r="U72" s="26" t="str">
        <f aca="false">IF(OR($A72="",U$4=""),"",IF(NOT(OR(U$6="Toda la plantilla",ISNUMBER(SEARCH(";"&amp;SUBSTITUTE($C72," ","")&amp;";",";"&amp;SUBSTITUTE(U$7," ","")&amp;";")))),"—",IF(_xlfn.MAXIFS(Acuses!$C$5:$C$3004,Acuses!$A$5:$A$3004,$A72,Acuses!$B$5:$B$3004,U$4)&lt;U$5,"Pendiente",IF(U$8=0,"OK",IF(EDATE(_xlfn.MAXIFS(Acuses!$D$5:$D$3004,Acuses!$A$5:$A$3004,$A72,Acuses!$B$5:$B$3004,U$4,Acuses!$C$5:$C$3004,U$5),U$8)&lt;Resumen!$C$4,"Caducado",IF(EDATE(_xlfn.MAXIFS(Acuses!$D$5:$D$3004,Acuses!$A$5:$A$3004,$A72,Acuses!$B$5:$B$3004,U$4,Acuses!$C$5:$C$3004,U$5),U$8)&lt;Resumen!$C$4+30,"Caduca pronto","OK"))))))</f>
        <v/>
      </c>
      <c r="V72" s="26" t="str">
        <f aca="false">IF(OR($A72="",V$4=""),"",IF(NOT(OR(V$6="Toda la plantilla",ISNUMBER(SEARCH(";"&amp;SUBSTITUTE($C72," ","")&amp;";",";"&amp;SUBSTITUTE(V$7," ","")&amp;";")))),"—",IF(_xlfn.MAXIFS(Acuses!$C$5:$C$3004,Acuses!$A$5:$A$3004,$A72,Acuses!$B$5:$B$3004,V$4)&lt;V$5,"Pendiente",IF(V$8=0,"OK",IF(EDATE(_xlfn.MAXIFS(Acuses!$D$5:$D$3004,Acuses!$A$5:$A$3004,$A72,Acuses!$B$5:$B$3004,V$4,Acuses!$C$5:$C$3004,V$5),V$8)&lt;Resumen!$C$4,"Caducado",IF(EDATE(_xlfn.MAXIFS(Acuses!$D$5:$D$3004,Acuses!$A$5:$A$3004,$A72,Acuses!$B$5:$B$3004,V$4,Acuses!$C$5:$C$3004,V$5),V$8)&lt;Resumen!$C$4+30,"Caduca pronto","OK"))))))</f>
        <v/>
      </c>
      <c r="W72" s="26" t="str">
        <f aca="false">IF(OR($A72="",W$4=""),"",IF(NOT(OR(W$6="Toda la plantilla",ISNUMBER(SEARCH(";"&amp;SUBSTITUTE($C72," ","")&amp;";",";"&amp;SUBSTITUTE(W$7," ","")&amp;";")))),"—",IF(_xlfn.MAXIFS(Acuses!$C$5:$C$3004,Acuses!$A$5:$A$3004,$A72,Acuses!$B$5:$B$3004,W$4)&lt;W$5,"Pendiente",IF(W$8=0,"OK",IF(EDATE(_xlfn.MAXIFS(Acuses!$D$5:$D$3004,Acuses!$A$5:$A$3004,$A72,Acuses!$B$5:$B$3004,W$4,Acuses!$C$5:$C$3004,W$5),W$8)&lt;Resumen!$C$4,"Caducado",IF(EDATE(_xlfn.MAXIFS(Acuses!$D$5:$D$3004,Acuses!$A$5:$A$3004,$A72,Acuses!$B$5:$B$3004,W$4,Acuses!$C$5:$C$3004,W$5),W$8)&lt;Resumen!$C$4+30,"Caduca pronto","OK"))))))</f>
        <v/>
      </c>
      <c r="X72" s="26" t="str">
        <f aca="false">IF(OR($A72="",X$4=""),"",IF(NOT(OR(X$6="Toda la plantilla",ISNUMBER(SEARCH(";"&amp;SUBSTITUTE($C72," ","")&amp;";",";"&amp;SUBSTITUTE(X$7," ","")&amp;";")))),"—",IF(_xlfn.MAXIFS(Acuses!$C$5:$C$3004,Acuses!$A$5:$A$3004,$A72,Acuses!$B$5:$B$3004,X$4)&lt;X$5,"Pendiente",IF(X$8=0,"OK",IF(EDATE(_xlfn.MAXIFS(Acuses!$D$5:$D$3004,Acuses!$A$5:$A$3004,$A72,Acuses!$B$5:$B$3004,X$4,Acuses!$C$5:$C$3004,X$5),X$8)&lt;Resumen!$C$4,"Caducado",IF(EDATE(_xlfn.MAXIFS(Acuses!$D$5:$D$3004,Acuses!$A$5:$A$3004,$A72,Acuses!$B$5:$B$3004,X$4,Acuses!$C$5:$C$3004,X$5),X$8)&lt;Resumen!$C$4+30,"Caduca pronto","OK"))))))</f>
        <v/>
      </c>
      <c r="Y72" s="26" t="str">
        <f aca="false">IF(OR($A72="",Y$4=""),"",IF(NOT(OR(Y$6="Toda la plantilla",ISNUMBER(SEARCH(";"&amp;SUBSTITUTE($C72," ","")&amp;";",";"&amp;SUBSTITUTE(Y$7," ","")&amp;";")))),"—",IF(_xlfn.MAXIFS(Acuses!$C$5:$C$3004,Acuses!$A$5:$A$3004,$A72,Acuses!$B$5:$B$3004,Y$4)&lt;Y$5,"Pendiente",IF(Y$8=0,"OK",IF(EDATE(_xlfn.MAXIFS(Acuses!$D$5:$D$3004,Acuses!$A$5:$A$3004,$A72,Acuses!$B$5:$B$3004,Y$4,Acuses!$C$5:$C$3004,Y$5),Y$8)&lt;Resumen!$C$4,"Caducado",IF(EDATE(_xlfn.MAXIFS(Acuses!$D$5:$D$3004,Acuses!$A$5:$A$3004,$A72,Acuses!$B$5:$B$3004,Y$4,Acuses!$C$5:$C$3004,Y$5),Y$8)&lt;Resumen!$C$4+30,"Caduca pronto","OK"))))))</f>
        <v/>
      </c>
      <c r="Z72" s="26" t="str">
        <f aca="false">IF(OR($A72="",Z$4=""),"",IF(NOT(OR(Z$6="Toda la plantilla",ISNUMBER(SEARCH(";"&amp;SUBSTITUTE($C72," ","")&amp;";",";"&amp;SUBSTITUTE(Z$7," ","")&amp;";")))),"—",IF(_xlfn.MAXIFS(Acuses!$C$5:$C$3004,Acuses!$A$5:$A$3004,$A72,Acuses!$B$5:$B$3004,Z$4)&lt;Z$5,"Pendiente",IF(Z$8=0,"OK",IF(EDATE(_xlfn.MAXIFS(Acuses!$D$5:$D$3004,Acuses!$A$5:$A$3004,$A72,Acuses!$B$5:$B$3004,Z$4,Acuses!$C$5:$C$3004,Z$5),Z$8)&lt;Resumen!$C$4,"Caducado",IF(EDATE(_xlfn.MAXIFS(Acuses!$D$5:$D$3004,Acuses!$A$5:$A$3004,$A72,Acuses!$B$5:$B$3004,Z$4,Acuses!$C$5:$C$3004,Z$5),Z$8)&lt;Resumen!$C$4+30,"Caduca pronto","OK"))))))</f>
        <v/>
      </c>
      <c r="AA72" s="26" t="str">
        <f aca="false">IF(OR($A72="",AA$4=""),"",IF(NOT(OR(AA$6="Toda la plantilla",ISNUMBER(SEARCH(";"&amp;SUBSTITUTE($C72," ","")&amp;";",";"&amp;SUBSTITUTE(AA$7," ","")&amp;";")))),"—",IF(_xlfn.MAXIFS(Acuses!$C$5:$C$3004,Acuses!$A$5:$A$3004,$A72,Acuses!$B$5:$B$3004,AA$4)&lt;AA$5,"Pendiente",IF(AA$8=0,"OK",IF(EDATE(_xlfn.MAXIFS(Acuses!$D$5:$D$3004,Acuses!$A$5:$A$3004,$A72,Acuses!$B$5:$B$3004,AA$4,Acuses!$C$5:$C$3004,AA$5),AA$8)&lt;Resumen!$C$4,"Caducado",IF(EDATE(_xlfn.MAXIFS(Acuses!$D$5:$D$3004,Acuses!$A$5:$A$3004,$A72,Acuses!$B$5:$B$3004,AA$4,Acuses!$C$5:$C$3004,AA$5),AA$8)&lt;Resumen!$C$4+30,"Caduca pronto","OK"))))))</f>
        <v/>
      </c>
      <c r="AB72" s="26" t="str">
        <f aca="false">IF(OR($A72="",AB$4=""),"",IF(NOT(OR(AB$6="Toda la plantilla",ISNUMBER(SEARCH(";"&amp;SUBSTITUTE($C72," ","")&amp;";",";"&amp;SUBSTITUTE(AB$7," ","")&amp;";")))),"—",IF(_xlfn.MAXIFS(Acuses!$C$5:$C$3004,Acuses!$A$5:$A$3004,$A72,Acuses!$B$5:$B$3004,AB$4)&lt;AB$5,"Pendiente",IF(AB$8=0,"OK",IF(EDATE(_xlfn.MAXIFS(Acuses!$D$5:$D$3004,Acuses!$A$5:$A$3004,$A72,Acuses!$B$5:$B$3004,AB$4,Acuses!$C$5:$C$3004,AB$5),AB$8)&lt;Resumen!$C$4,"Caducado",IF(EDATE(_xlfn.MAXIFS(Acuses!$D$5:$D$3004,Acuses!$A$5:$A$3004,$A72,Acuses!$B$5:$B$3004,AB$4,Acuses!$C$5:$C$3004,AB$5),AB$8)&lt;Resumen!$C$4+30,"Caduca pronto","OK"))))))</f>
        <v/>
      </c>
      <c r="AC72" s="26" t="str">
        <f aca="false">IF(OR($A72="",AC$4=""),"",IF(NOT(OR(AC$6="Toda la plantilla",ISNUMBER(SEARCH(";"&amp;SUBSTITUTE($C72," ","")&amp;";",";"&amp;SUBSTITUTE(AC$7," ","")&amp;";")))),"—",IF(_xlfn.MAXIFS(Acuses!$C$5:$C$3004,Acuses!$A$5:$A$3004,$A72,Acuses!$B$5:$B$3004,AC$4)&lt;AC$5,"Pendiente",IF(AC$8=0,"OK",IF(EDATE(_xlfn.MAXIFS(Acuses!$D$5:$D$3004,Acuses!$A$5:$A$3004,$A72,Acuses!$B$5:$B$3004,AC$4,Acuses!$C$5:$C$3004,AC$5),AC$8)&lt;Resumen!$C$4,"Caducado",IF(EDATE(_xlfn.MAXIFS(Acuses!$D$5:$D$3004,Acuses!$A$5:$A$3004,$A72,Acuses!$B$5:$B$3004,AC$4,Acuses!$C$5:$C$3004,AC$5),AC$8)&lt;Resumen!$C$4+30,"Caduca pronto","OK"))))))</f>
        <v/>
      </c>
      <c r="AD72" s="26" t="str">
        <f aca="false">IF(OR($A72="",AD$4=""),"",IF(NOT(OR(AD$6="Toda la plantilla",ISNUMBER(SEARCH(";"&amp;SUBSTITUTE($C72," ","")&amp;";",";"&amp;SUBSTITUTE(AD$7," ","")&amp;";")))),"—",IF(_xlfn.MAXIFS(Acuses!$C$5:$C$3004,Acuses!$A$5:$A$3004,$A72,Acuses!$B$5:$B$3004,AD$4)&lt;AD$5,"Pendiente",IF(AD$8=0,"OK",IF(EDATE(_xlfn.MAXIFS(Acuses!$D$5:$D$3004,Acuses!$A$5:$A$3004,$A72,Acuses!$B$5:$B$3004,AD$4,Acuses!$C$5:$C$3004,AD$5),AD$8)&lt;Resumen!$C$4,"Caducado",IF(EDATE(_xlfn.MAXIFS(Acuses!$D$5:$D$3004,Acuses!$A$5:$A$3004,$A72,Acuses!$B$5:$B$3004,AD$4,Acuses!$C$5:$C$3004,AD$5),AD$8)&lt;Resumen!$C$4+30,"Caduca pronto","OK"))))))</f>
        <v/>
      </c>
      <c r="AE72" s="26" t="str">
        <f aca="false">IF(OR($A72="",AE$4=""),"",IF(NOT(OR(AE$6="Toda la plantilla",ISNUMBER(SEARCH(";"&amp;SUBSTITUTE($C72," ","")&amp;";",";"&amp;SUBSTITUTE(AE$7," ","")&amp;";")))),"—",IF(_xlfn.MAXIFS(Acuses!$C$5:$C$3004,Acuses!$A$5:$A$3004,$A72,Acuses!$B$5:$B$3004,AE$4)&lt;AE$5,"Pendiente",IF(AE$8=0,"OK",IF(EDATE(_xlfn.MAXIFS(Acuses!$D$5:$D$3004,Acuses!$A$5:$A$3004,$A72,Acuses!$B$5:$B$3004,AE$4,Acuses!$C$5:$C$3004,AE$5),AE$8)&lt;Resumen!$C$4,"Caducado",IF(EDATE(_xlfn.MAXIFS(Acuses!$D$5:$D$3004,Acuses!$A$5:$A$3004,$A72,Acuses!$B$5:$B$3004,AE$4,Acuses!$C$5:$C$3004,AE$5),AE$8)&lt;Resumen!$C$4+30,"Caduca pronto","OK"))))))</f>
        <v/>
      </c>
      <c r="AF72" s="26" t="str">
        <f aca="false">IF(OR($A72="",AF$4=""),"",IF(NOT(OR(AF$6="Toda la plantilla",ISNUMBER(SEARCH(";"&amp;SUBSTITUTE($C72," ","")&amp;";",";"&amp;SUBSTITUTE(AF$7," ","")&amp;";")))),"—",IF(_xlfn.MAXIFS(Acuses!$C$5:$C$3004,Acuses!$A$5:$A$3004,$A72,Acuses!$B$5:$B$3004,AF$4)&lt;AF$5,"Pendiente",IF(AF$8=0,"OK",IF(EDATE(_xlfn.MAXIFS(Acuses!$D$5:$D$3004,Acuses!$A$5:$A$3004,$A72,Acuses!$B$5:$B$3004,AF$4,Acuses!$C$5:$C$3004,AF$5),AF$8)&lt;Resumen!$C$4,"Caducado",IF(EDATE(_xlfn.MAXIFS(Acuses!$D$5:$D$3004,Acuses!$A$5:$A$3004,$A72,Acuses!$B$5:$B$3004,AF$4,Acuses!$C$5:$C$3004,AF$5),AF$8)&lt;Resumen!$C$4+30,"Caduca pronto","OK"))))))</f>
        <v/>
      </c>
      <c r="AG72" s="26" t="str">
        <f aca="false">IF(OR($A72="",AG$4=""),"",IF(NOT(OR(AG$6="Toda la plantilla",ISNUMBER(SEARCH(";"&amp;SUBSTITUTE($C72," ","")&amp;";",";"&amp;SUBSTITUTE(AG$7," ","")&amp;";")))),"—",IF(_xlfn.MAXIFS(Acuses!$C$5:$C$3004,Acuses!$A$5:$A$3004,$A72,Acuses!$B$5:$B$3004,AG$4)&lt;AG$5,"Pendiente",IF(AG$8=0,"OK",IF(EDATE(_xlfn.MAXIFS(Acuses!$D$5:$D$3004,Acuses!$A$5:$A$3004,$A72,Acuses!$B$5:$B$3004,AG$4,Acuses!$C$5:$C$3004,AG$5),AG$8)&lt;Resumen!$C$4,"Caducado",IF(EDATE(_xlfn.MAXIFS(Acuses!$D$5:$D$3004,Acuses!$A$5:$A$3004,$A72,Acuses!$B$5:$B$3004,AG$4,Acuses!$C$5:$C$3004,AG$5),AG$8)&lt;Resumen!$C$4+30,"Caduca pronto","OK"))))))</f>
        <v/>
      </c>
      <c r="AH72" s="26" t="str">
        <f aca="false">IF(OR($A72="",AH$4=""),"",IF(NOT(OR(AH$6="Toda la plantilla",ISNUMBER(SEARCH(";"&amp;SUBSTITUTE($C72," ","")&amp;";",";"&amp;SUBSTITUTE(AH$7," ","")&amp;";")))),"—",IF(_xlfn.MAXIFS(Acuses!$C$5:$C$3004,Acuses!$A$5:$A$3004,$A72,Acuses!$B$5:$B$3004,AH$4)&lt;AH$5,"Pendiente",IF(AH$8=0,"OK",IF(EDATE(_xlfn.MAXIFS(Acuses!$D$5:$D$3004,Acuses!$A$5:$A$3004,$A72,Acuses!$B$5:$B$3004,AH$4,Acuses!$C$5:$C$3004,AH$5),AH$8)&lt;Resumen!$C$4,"Caducado",IF(EDATE(_xlfn.MAXIFS(Acuses!$D$5:$D$3004,Acuses!$A$5:$A$3004,$A72,Acuses!$B$5:$B$3004,AH$4,Acuses!$C$5:$C$3004,AH$5),AH$8)&lt;Resumen!$C$4+30,"Caduca pronto","OK"))))))</f>
        <v/>
      </c>
      <c r="AI72" s="26" t="str">
        <f aca="false">IF(OR($A72="",AI$4=""),"",IF(NOT(OR(AI$6="Toda la plantilla",ISNUMBER(SEARCH(";"&amp;SUBSTITUTE($C72," ","")&amp;";",";"&amp;SUBSTITUTE(AI$7," ","")&amp;";")))),"—",IF(_xlfn.MAXIFS(Acuses!$C$5:$C$3004,Acuses!$A$5:$A$3004,$A72,Acuses!$B$5:$B$3004,AI$4)&lt;AI$5,"Pendiente",IF(AI$8=0,"OK",IF(EDATE(_xlfn.MAXIFS(Acuses!$D$5:$D$3004,Acuses!$A$5:$A$3004,$A72,Acuses!$B$5:$B$3004,AI$4,Acuses!$C$5:$C$3004,AI$5),AI$8)&lt;Resumen!$C$4,"Caducado",IF(EDATE(_xlfn.MAXIFS(Acuses!$D$5:$D$3004,Acuses!$A$5:$A$3004,$A72,Acuses!$B$5:$B$3004,AI$4,Acuses!$C$5:$C$3004,AI$5),AI$8)&lt;Resumen!$C$4+30,"Caduca pronto","OK"))))))</f>
        <v/>
      </c>
      <c r="AJ72" s="26" t="str">
        <f aca="false">IF(OR($A72="",AJ$4=""),"",IF(NOT(OR(AJ$6="Toda la plantilla",ISNUMBER(SEARCH(";"&amp;SUBSTITUTE($C72," ","")&amp;";",";"&amp;SUBSTITUTE(AJ$7," ","")&amp;";")))),"—",IF(_xlfn.MAXIFS(Acuses!$C$5:$C$3004,Acuses!$A$5:$A$3004,$A72,Acuses!$B$5:$B$3004,AJ$4)&lt;AJ$5,"Pendiente",IF(AJ$8=0,"OK",IF(EDATE(_xlfn.MAXIFS(Acuses!$D$5:$D$3004,Acuses!$A$5:$A$3004,$A72,Acuses!$B$5:$B$3004,AJ$4,Acuses!$C$5:$C$3004,AJ$5),AJ$8)&lt;Resumen!$C$4,"Caducado",IF(EDATE(_xlfn.MAXIFS(Acuses!$D$5:$D$3004,Acuses!$A$5:$A$3004,$A72,Acuses!$B$5:$B$3004,AJ$4,Acuses!$C$5:$C$3004,AJ$5),AJ$8)&lt;Resumen!$C$4+30,"Caduca pronto","OK"))))))</f>
        <v/>
      </c>
      <c r="AK72" s="26" t="str">
        <f aca="false">IF(OR($A72="",AK$4=""),"",IF(NOT(OR(AK$6="Toda la plantilla",ISNUMBER(SEARCH(";"&amp;SUBSTITUTE($C72," ","")&amp;";",";"&amp;SUBSTITUTE(AK$7," ","")&amp;";")))),"—",IF(_xlfn.MAXIFS(Acuses!$C$5:$C$3004,Acuses!$A$5:$A$3004,$A72,Acuses!$B$5:$B$3004,AK$4)&lt;AK$5,"Pendiente",IF(AK$8=0,"OK",IF(EDATE(_xlfn.MAXIFS(Acuses!$D$5:$D$3004,Acuses!$A$5:$A$3004,$A72,Acuses!$B$5:$B$3004,AK$4,Acuses!$C$5:$C$3004,AK$5),AK$8)&lt;Resumen!$C$4,"Caducado",IF(EDATE(_xlfn.MAXIFS(Acuses!$D$5:$D$3004,Acuses!$A$5:$A$3004,$A72,Acuses!$B$5:$B$3004,AK$4,Acuses!$C$5:$C$3004,AK$5),AK$8)&lt;Resumen!$C$4+30,"Caduca pronto","OK"))))))</f>
        <v/>
      </c>
      <c r="AL72" s="26" t="str">
        <f aca="false">IF(OR($A72="",AL$4=""),"",IF(NOT(OR(AL$6="Toda la plantilla",ISNUMBER(SEARCH(";"&amp;SUBSTITUTE($C72," ","")&amp;";",";"&amp;SUBSTITUTE(AL$7," ","")&amp;";")))),"—",IF(_xlfn.MAXIFS(Acuses!$C$5:$C$3004,Acuses!$A$5:$A$3004,$A72,Acuses!$B$5:$B$3004,AL$4)&lt;AL$5,"Pendiente",IF(AL$8=0,"OK",IF(EDATE(_xlfn.MAXIFS(Acuses!$D$5:$D$3004,Acuses!$A$5:$A$3004,$A72,Acuses!$B$5:$B$3004,AL$4,Acuses!$C$5:$C$3004,AL$5),AL$8)&lt;Resumen!$C$4,"Caducado",IF(EDATE(_xlfn.MAXIFS(Acuses!$D$5:$D$3004,Acuses!$A$5:$A$3004,$A72,Acuses!$B$5:$B$3004,AL$4,Acuses!$C$5:$C$3004,AL$5),AL$8)&lt;Resumen!$C$4+30,"Caduca pronto","OK"))))))</f>
        <v/>
      </c>
      <c r="AM72" s="26" t="str">
        <f aca="false">IF(OR($A72="",AM$4=""),"",IF(NOT(OR(AM$6="Toda la plantilla",ISNUMBER(SEARCH(";"&amp;SUBSTITUTE($C72," ","")&amp;";",";"&amp;SUBSTITUTE(AM$7," ","")&amp;";")))),"—",IF(_xlfn.MAXIFS(Acuses!$C$5:$C$3004,Acuses!$A$5:$A$3004,$A72,Acuses!$B$5:$B$3004,AM$4)&lt;AM$5,"Pendiente",IF(AM$8=0,"OK",IF(EDATE(_xlfn.MAXIFS(Acuses!$D$5:$D$3004,Acuses!$A$5:$A$3004,$A72,Acuses!$B$5:$B$3004,AM$4,Acuses!$C$5:$C$3004,AM$5),AM$8)&lt;Resumen!$C$4,"Caducado",IF(EDATE(_xlfn.MAXIFS(Acuses!$D$5:$D$3004,Acuses!$A$5:$A$3004,$A72,Acuses!$B$5:$B$3004,AM$4,Acuses!$C$5:$C$3004,AM$5),AM$8)&lt;Resumen!$C$4+30,"Caduca pronto","OK"))))))</f>
        <v/>
      </c>
      <c r="AN72" s="26" t="str">
        <f aca="false">IF(OR($A72="",AN$4=""),"",IF(NOT(OR(AN$6="Toda la plantilla",ISNUMBER(SEARCH(";"&amp;SUBSTITUTE($C72," ","")&amp;";",";"&amp;SUBSTITUTE(AN$7," ","")&amp;";")))),"—",IF(_xlfn.MAXIFS(Acuses!$C$5:$C$3004,Acuses!$A$5:$A$3004,$A72,Acuses!$B$5:$B$3004,AN$4)&lt;AN$5,"Pendiente",IF(AN$8=0,"OK",IF(EDATE(_xlfn.MAXIFS(Acuses!$D$5:$D$3004,Acuses!$A$5:$A$3004,$A72,Acuses!$B$5:$B$3004,AN$4,Acuses!$C$5:$C$3004,AN$5),AN$8)&lt;Resumen!$C$4,"Caducado",IF(EDATE(_xlfn.MAXIFS(Acuses!$D$5:$D$3004,Acuses!$A$5:$A$3004,$A72,Acuses!$B$5:$B$3004,AN$4,Acuses!$C$5:$C$3004,AN$5),AN$8)&lt;Resumen!$C$4+30,"Caduca pronto","OK"))))))</f>
        <v/>
      </c>
      <c r="AO72" s="26" t="str">
        <f aca="false">IF(OR($A72="",AO$4=""),"",IF(NOT(OR(AO$6="Toda la plantilla",ISNUMBER(SEARCH(";"&amp;SUBSTITUTE($C72," ","")&amp;";",";"&amp;SUBSTITUTE(AO$7," ","")&amp;";")))),"—",IF(_xlfn.MAXIFS(Acuses!$C$5:$C$3004,Acuses!$A$5:$A$3004,$A72,Acuses!$B$5:$B$3004,AO$4)&lt;AO$5,"Pendiente",IF(AO$8=0,"OK",IF(EDATE(_xlfn.MAXIFS(Acuses!$D$5:$D$3004,Acuses!$A$5:$A$3004,$A72,Acuses!$B$5:$B$3004,AO$4,Acuses!$C$5:$C$3004,AO$5),AO$8)&lt;Resumen!$C$4,"Caducado",IF(EDATE(_xlfn.MAXIFS(Acuses!$D$5:$D$3004,Acuses!$A$5:$A$3004,$A72,Acuses!$B$5:$B$3004,AO$4,Acuses!$C$5:$C$3004,AO$5),AO$8)&lt;Resumen!$C$4+30,"Caduca pronto","OK"))))))</f>
        <v/>
      </c>
      <c r="AP72" s="26" t="str">
        <f aca="false">IF(OR($A72="",AP$4=""),"",IF(NOT(OR(AP$6="Toda la plantilla",ISNUMBER(SEARCH(";"&amp;SUBSTITUTE($C72," ","")&amp;";",";"&amp;SUBSTITUTE(AP$7," ","")&amp;";")))),"—",IF(_xlfn.MAXIFS(Acuses!$C$5:$C$3004,Acuses!$A$5:$A$3004,$A72,Acuses!$B$5:$B$3004,AP$4)&lt;AP$5,"Pendiente",IF(AP$8=0,"OK",IF(EDATE(_xlfn.MAXIFS(Acuses!$D$5:$D$3004,Acuses!$A$5:$A$3004,$A72,Acuses!$B$5:$B$3004,AP$4,Acuses!$C$5:$C$3004,AP$5),AP$8)&lt;Resumen!$C$4,"Caducado",IF(EDATE(_xlfn.MAXIFS(Acuses!$D$5:$D$3004,Acuses!$A$5:$A$3004,$A72,Acuses!$B$5:$B$3004,AP$4,Acuses!$C$5:$C$3004,AP$5),AP$8)&lt;Resumen!$C$4+30,"Caduca pronto","OK"))))))</f>
        <v/>
      </c>
      <c r="AQ72" s="26" t="str">
        <f aca="false">IF(OR($A72="",AQ$4=""),"",IF(NOT(OR(AQ$6="Toda la plantilla",ISNUMBER(SEARCH(";"&amp;SUBSTITUTE($C72," ","")&amp;";",";"&amp;SUBSTITUTE(AQ$7," ","")&amp;";")))),"—",IF(_xlfn.MAXIFS(Acuses!$C$5:$C$3004,Acuses!$A$5:$A$3004,$A72,Acuses!$B$5:$B$3004,AQ$4)&lt;AQ$5,"Pendiente",IF(AQ$8=0,"OK",IF(EDATE(_xlfn.MAXIFS(Acuses!$D$5:$D$3004,Acuses!$A$5:$A$3004,$A72,Acuses!$B$5:$B$3004,AQ$4,Acuses!$C$5:$C$3004,AQ$5),AQ$8)&lt;Resumen!$C$4,"Caducado",IF(EDATE(_xlfn.MAXIFS(Acuses!$D$5:$D$3004,Acuses!$A$5:$A$3004,$A72,Acuses!$B$5:$B$3004,AQ$4,Acuses!$C$5:$C$3004,AQ$5),AQ$8)&lt;Resumen!$C$4+30,"Caduca pronto","OK"))))))</f>
        <v/>
      </c>
    </row>
    <row r="73" customFormat="false" ht="15" hidden="false" customHeight="false" outlineLevel="0" collapsed="false">
      <c r="A73" s="25" t="str">
        <f aca="false">IF(AND(Trabajadores!$A$68&lt;&gt;"",Trabajadores!$G$68&lt;&gt;"No"),Trabajadores!$A$68,"")</f>
        <v/>
      </c>
      <c r="B73" s="25" t="str">
        <f aca="false">IF($A73="","",Trabajadores!$B$68)</f>
        <v/>
      </c>
      <c r="C73" s="25" t="str">
        <f aca="false">IF($A73="","",Trabajadores!$C$68)</f>
        <v/>
      </c>
      <c r="D73" s="26" t="str">
        <f aca="false">IF(OR($A73="",D$4=""),"",IF(NOT(OR(D$6="Toda la plantilla",ISNUMBER(SEARCH(";"&amp;SUBSTITUTE($C73," ","")&amp;";",";"&amp;SUBSTITUTE(D$7," ","")&amp;";")))),"—",IF(_xlfn.MAXIFS(Acuses!$C$5:$C$3004,Acuses!$A$5:$A$3004,$A73,Acuses!$B$5:$B$3004,D$4)&lt;D$5,"Pendiente",IF(D$8=0,"OK",IF(EDATE(_xlfn.MAXIFS(Acuses!$D$5:$D$3004,Acuses!$A$5:$A$3004,$A73,Acuses!$B$5:$B$3004,D$4,Acuses!$C$5:$C$3004,D$5),D$8)&lt;Resumen!$C$4,"Caducado",IF(EDATE(_xlfn.MAXIFS(Acuses!$D$5:$D$3004,Acuses!$A$5:$A$3004,$A73,Acuses!$B$5:$B$3004,D$4,Acuses!$C$5:$C$3004,D$5),D$8)&lt;Resumen!$C$4+30,"Caduca pronto","OK"))))))</f>
        <v/>
      </c>
      <c r="E73" s="26" t="str">
        <f aca="false">IF(OR($A73="",E$4=""),"",IF(NOT(OR(E$6="Toda la plantilla",ISNUMBER(SEARCH(";"&amp;SUBSTITUTE($C73," ","")&amp;";",";"&amp;SUBSTITUTE(E$7," ","")&amp;";")))),"—",IF(_xlfn.MAXIFS(Acuses!$C$5:$C$3004,Acuses!$A$5:$A$3004,$A73,Acuses!$B$5:$B$3004,E$4)&lt;E$5,"Pendiente",IF(E$8=0,"OK",IF(EDATE(_xlfn.MAXIFS(Acuses!$D$5:$D$3004,Acuses!$A$5:$A$3004,$A73,Acuses!$B$5:$B$3004,E$4,Acuses!$C$5:$C$3004,E$5),E$8)&lt;Resumen!$C$4,"Caducado",IF(EDATE(_xlfn.MAXIFS(Acuses!$D$5:$D$3004,Acuses!$A$5:$A$3004,$A73,Acuses!$B$5:$B$3004,E$4,Acuses!$C$5:$C$3004,E$5),E$8)&lt;Resumen!$C$4+30,"Caduca pronto","OK"))))))</f>
        <v/>
      </c>
      <c r="F73" s="26" t="str">
        <f aca="false">IF(OR($A73="",F$4=""),"",IF(NOT(OR(F$6="Toda la plantilla",ISNUMBER(SEARCH(";"&amp;SUBSTITUTE($C73," ","")&amp;";",";"&amp;SUBSTITUTE(F$7," ","")&amp;";")))),"—",IF(_xlfn.MAXIFS(Acuses!$C$5:$C$3004,Acuses!$A$5:$A$3004,$A73,Acuses!$B$5:$B$3004,F$4)&lt;F$5,"Pendiente",IF(F$8=0,"OK",IF(EDATE(_xlfn.MAXIFS(Acuses!$D$5:$D$3004,Acuses!$A$5:$A$3004,$A73,Acuses!$B$5:$B$3004,F$4,Acuses!$C$5:$C$3004,F$5),F$8)&lt;Resumen!$C$4,"Caducado",IF(EDATE(_xlfn.MAXIFS(Acuses!$D$5:$D$3004,Acuses!$A$5:$A$3004,$A73,Acuses!$B$5:$B$3004,F$4,Acuses!$C$5:$C$3004,F$5),F$8)&lt;Resumen!$C$4+30,"Caduca pronto","OK"))))))</f>
        <v/>
      </c>
      <c r="G73" s="26" t="str">
        <f aca="false">IF(OR($A73="",G$4=""),"",IF(NOT(OR(G$6="Toda la plantilla",ISNUMBER(SEARCH(";"&amp;SUBSTITUTE($C73," ","")&amp;";",";"&amp;SUBSTITUTE(G$7," ","")&amp;";")))),"—",IF(_xlfn.MAXIFS(Acuses!$C$5:$C$3004,Acuses!$A$5:$A$3004,$A73,Acuses!$B$5:$B$3004,G$4)&lt;G$5,"Pendiente",IF(G$8=0,"OK",IF(EDATE(_xlfn.MAXIFS(Acuses!$D$5:$D$3004,Acuses!$A$5:$A$3004,$A73,Acuses!$B$5:$B$3004,G$4,Acuses!$C$5:$C$3004,G$5),G$8)&lt;Resumen!$C$4,"Caducado",IF(EDATE(_xlfn.MAXIFS(Acuses!$D$5:$D$3004,Acuses!$A$5:$A$3004,$A73,Acuses!$B$5:$B$3004,G$4,Acuses!$C$5:$C$3004,G$5),G$8)&lt;Resumen!$C$4+30,"Caduca pronto","OK"))))))</f>
        <v/>
      </c>
      <c r="H73" s="26" t="str">
        <f aca="false">IF(OR($A73="",H$4=""),"",IF(NOT(OR(H$6="Toda la plantilla",ISNUMBER(SEARCH(";"&amp;SUBSTITUTE($C73," ","")&amp;";",";"&amp;SUBSTITUTE(H$7," ","")&amp;";")))),"—",IF(_xlfn.MAXIFS(Acuses!$C$5:$C$3004,Acuses!$A$5:$A$3004,$A73,Acuses!$B$5:$B$3004,H$4)&lt;H$5,"Pendiente",IF(H$8=0,"OK",IF(EDATE(_xlfn.MAXIFS(Acuses!$D$5:$D$3004,Acuses!$A$5:$A$3004,$A73,Acuses!$B$5:$B$3004,H$4,Acuses!$C$5:$C$3004,H$5),H$8)&lt;Resumen!$C$4,"Caducado",IF(EDATE(_xlfn.MAXIFS(Acuses!$D$5:$D$3004,Acuses!$A$5:$A$3004,$A73,Acuses!$B$5:$B$3004,H$4,Acuses!$C$5:$C$3004,H$5),H$8)&lt;Resumen!$C$4+30,"Caduca pronto","OK"))))))</f>
        <v/>
      </c>
      <c r="I73" s="26" t="str">
        <f aca="false">IF(OR($A73="",I$4=""),"",IF(NOT(OR(I$6="Toda la plantilla",ISNUMBER(SEARCH(";"&amp;SUBSTITUTE($C73," ","")&amp;";",";"&amp;SUBSTITUTE(I$7," ","")&amp;";")))),"—",IF(_xlfn.MAXIFS(Acuses!$C$5:$C$3004,Acuses!$A$5:$A$3004,$A73,Acuses!$B$5:$B$3004,I$4)&lt;I$5,"Pendiente",IF(I$8=0,"OK",IF(EDATE(_xlfn.MAXIFS(Acuses!$D$5:$D$3004,Acuses!$A$5:$A$3004,$A73,Acuses!$B$5:$B$3004,I$4,Acuses!$C$5:$C$3004,I$5),I$8)&lt;Resumen!$C$4,"Caducado",IF(EDATE(_xlfn.MAXIFS(Acuses!$D$5:$D$3004,Acuses!$A$5:$A$3004,$A73,Acuses!$B$5:$B$3004,I$4,Acuses!$C$5:$C$3004,I$5),I$8)&lt;Resumen!$C$4+30,"Caduca pronto","OK"))))))</f>
        <v/>
      </c>
      <c r="J73" s="26" t="str">
        <f aca="false">IF(OR($A73="",J$4=""),"",IF(NOT(OR(J$6="Toda la plantilla",ISNUMBER(SEARCH(";"&amp;SUBSTITUTE($C73," ","")&amp;";",";"&amp;SUBSTITUTE(J$7," ","")&amp;";")))),"—",IF(_xlfn.MAXIFS(Acuses!$C$5:$C$3004,Acuses!$A$5:$A$3004,$A73,Acuses!$B$5:$B$3004,J$4)&lt;J$5,"Pendiente",IF(J$8=0,"OK",IF(EDATE(_xlfn.MAXIFS(Acuses!$D$5:$D$3004,Acuses!$A$5:$A$3004,$A73,Acuses!$B$5:$B$3004,J$4,Acuses!$C$5:$C$3004,J$5),J$8)&lt;Resumen!$C$4,"Caducado",IF(EDATE(_xlfn.MAXIFS(Acuses!$D$5:$D$3004,Acuses!$A$5:$A$3004,$A73,Acuses!$B$5:$B$3004,J$4,Acuses!$C$5:$C$3004,J$5),J$8)&lt;Resumen!$C$4+30,"Caduca pronto","OK"))))))</f>
        <v/>
      </c>
      <c r="K73" s="26" t="str">
        <f aca="false">IF(OR($A73="",K$4=""),"",IF(NOT(OR(K$6="Toda la plantilla",ISNUMBER(SEARCH(";"&amp;SUBSTITUTE($C73," ","")&amp;";",";"&amp;SUBSTITUTE(K$7," ","")&amp;";")))),"—",IF(_xlfn.MAXIFS(Acuses!$C$5:$C$3004,Acuses!$A$5:$A$3004,$A73,Acuses!$B$5:$B$3004,K$4)&lt;K$5,"Pendiente",IF(K$8=0,"OK",IF(EDATE(_xlfn.MAXIFS(Acuses!$D$5:$D$3004,Acuses!$A$5:$A$3004,$A73,Acuses!$B$5:$B$3004,K$4,Acuses!$C$5:$C$3004,K$5),K$8)&lt;Resumen!$C$4,"Caducado",IF(EDATE(_xlfn.MAXIFS(Acuses!$D$5:$D$3004,Acuses!$A$5:$A$3004,$A73,Acuses!$B$5:$B$3004,K$4,Acuses!$C$5:$C$3004,K$5),K$8)&lt;Resumen!$C$4+30,"Caduca pronto","OK"))))))</f>
        <v/>
      </c>
      <c r="L73" s="26" t="str">
        <f aca="false">IF(OR($A73="",L$4=""),"",IF(NOT(OR(L$6="Toda la plantilla",ISNUMBER(SEARCH(";"&amp;SUBSTITUTE($C73," ","")&amp;";",";"&amp;SUBSTITUTE(L$7," ","")&amp;";")))),"—",IF(_xlfn.MAXIFS(Acuses!$C$5:$C$3004,Acuses!$A$5:$A$3004,$A73,Acuses!$B$5:$B$3004,L$4)&lt;L$5,"Pendiente",IF(L$8=0,"OK",IF(EDATE(_xlfn.MAXIFS(Acuses!$D$5:$D$3004,Acuses!$A$5:$A$3004,$A73,Acuses!$B$5:$B$3004,L$4,Acuses!$C$5:$C$3004,L$5),L$8)&lt;Resumen!$C$4,"Caducado",IF(EDATE(_xlfn.MAXIFS(Acuses!$D$5:$D$3004,Acuses!$A$5:$A$3004,$A73,Acuses!$B$5:$B$3004,L$4,Acuses!$C$5:$C$3004,L$5),L$8)&lt;Resumen!$C$4+30,"Caduca pronto","OK"))))))</f>
        <v/>
      </c>
      <c r="M73" s="26" t="str">
        <f aca="false">IF(OR($A73="",M$4=""),"",IF(NOT(OR(M$6="Toda la plantilla",ISNUMBER(SEARCH(";"&amp;SUBSTITUTE($C73," ","")&amp;";",";"&amp;SUBSTITUTE(M$7," ","")&amp;";")))),"—",IF(_xlfn.MAXIFS(Acuses!$C$5:$C$3004,Acuses!$A$5:$A$3004,$A73,Acuses!$B$5:$B$3004,M$4)&lt;M$5,"Pendiente",IF(M$8=0,"OK",IF(EDATE(_xlfn.MAXIFS(Acuses!$D$5:$D$3004,Acuses!$A$5:$A$3004,$A73,Acuses!$B$5:$B$3004,M$4,Acuses!$C$5:$C$3004,M$5),M$8)&lt;Resumen!$C$4,"Caducado",IF(EDATE(_xlfn.MAXIFS(Acuses!$D$5:$D$3004,Acuses!$A$5:$A$3004,$A73,Acuses!$B$5:$B$3004,M$4,Acuses!$C$5:$C$3004,M$5),M$8)&lt;Resumen!$C$4+30,"Caduca pronto","OK"))))))</f>
        <v/>
      </c>
      <c r="N73" s="26" t="str">
        <f aca="false">IF(OR($A73="",N$4=""),"",IF(NOT(OR(N$6="Toda la plantilla",ISNUMBER(SEARCH(";"&amp;SUBSTITUTE($C73," ","")&amp;";",";"&amp;SUBSTITUTE(N$7," ","")&amp;";")))),"—",IF(_xlfn.MAXIFS(Acuses!$C$5:$C$3004,Acuses!$A$5:$A$3004,$A73,Acuses!$B$5:$B$3004,N$4)&lt;N$5,"Pendiente",IF(N$8=0,"OK",IF(EDATE(_xlfn.MAXIFS(Acuses!$D$5:$D$3004,Acuses!$A$5:$A$3004,$A73,Acuses!$B$5:$B$3004,N$4,Acuses!$C$5:$C$3004,N$5),N$8)&lt;Resumen!$C$4,"Caducado",IF(EDATE(_xlfn.MAXIFS(Acuses!$D$5:$D$3004,Acuses!$A$5:$A$3004,$A73,Acuses!$B$5:$B$3004,N$4,Acuses!$C$5:$C$3004,N$5),N$8)&lt;Resumen!$C$4+30,"Caduca pronto","OK"))))))</f>
        <v/>
      </c>
      <c r="O73" s="26" t="str">
        <f aca="false">IF(OR($A73="",O$4=""),"",IF(NOT(OR(O$6="Toda la plantilla",ISNUMBER(SEARCH(";"&amp;SUBSTITUTE($C73," ","")&amp;";",";"&amp;SUBSTITUTE(O$7," ","")&amp;";")))),"—",IF(_xlfn.MAXIFS(Acuses!$C$5:$C$3004,Acuses!$A$5:$A$3004,$A73,Acuses!$B$5:$B$3004,O$4)&lt;O$5,"Pendiente",IF(O$8=0,"OK",IF(EDATE(_xlfn.MAXIFS(Acuses!$D$5:$D$3004,Acuses!$A$5:$A$3004,$A73,Acuses!$B$5:$B$3004,O$4,Acuses!$C$5:$C$3004,O$5),O$8)&lt;Resumen!$C$4,"Caducado",IF(EDATE(_xlfn.MAXIFS(Acuses!$D$5:$D$3004,Acuses!$A$5:$A$3004,$A73,Acuses!$B$5:$B$3004,O$4,Acuses!$C$5:$C$3004,O$5),O$8)&lt;Resumen!$C$4+30,"Caduca pronto","OK"))))))</f>
        <v/>
      </c>
      <c r="P73" s="26" t="str">
        <f aca="false">IF(OR($A73="",P$4=""),"",IF(NOT(OR(P$6="Toda la plantilla",ISNUMBER(SEARCH(";"&amp;SUBSTITUTE($C73," ","")&amp;";",";"&amp;SUBSTITUTE(P$7," ","")&amp;";")))),"—",IF(_xlfn.MAXIFS(Acuses!$C$5:$C$3004,Acuses!$A$5:$A$3004,$A73,Acuses!$B$5:$B$3004,P$4)&lt;P$5,"Pendiente",IF(P$8=0,"OK",IF(EDATE(_xlfn.MAXIFS(Acuses!$D$5:$D$3004,Acuses!$A$5:$A$3004,$A73,Acuses!$B$5:$B$3004,P$4,Acuses!$C$5:$C$3004,P$5),P$8)&lt;Resumen!$C$4,"Caducado",IF(EDATE(_xlfn.MAXIFS(Acuses!$D$5:$D$3004,Acuses!$A$5:$A$3004,$A73,Acuses!$B$5:$B$3004,P$4,Acuses!$C$5:$C$3004,P$5),P$8)&lt;Resumen!$C$4+30,"Caduca pronto","OK"))))))</f>
        <v/>
      </c>
      <c r="Q73" s="26" t="str">
        <f aca="false">IF(OR($A73="",Q$4=""),"",IF(NOT(OR(Q$6="Toda la plantilla",ISNUMBER(SEARCH(";"&amp;SUBSTITUTE($C73," ","")&amp;";",";"&amp;SUBSTITUTE(Q$7," ","")&amp;";")))),"—",IF(_xlfn.MAXIFS(Acuses!$C$5:$C$3004,Acuses!$A$5:$A$3004,$A73,Acuses!$B$5:$B$3004,Q$4)&lt;Q$5,"Pendiente",IF(Q$8=0,"OK",IF(EDATE(_xlfn.MAXIFS(Acuses!$D$5:$D$3004,Acuses!$A$5:$A$3004,$A73,Acuses!$B$5:$B$3004,Q$4,Acuses!$C$5:$C$3004,Q$5),Q$8)&lt;Resumen!$C$4,"Caducado",IF(EDATE(_xlfn.MAXIFS(Acuses!$D$5:$D$3004,Acuses!$A$5:$A$3004,$A73,Acuses!$B$5:$B$3004,Q$4,Acuses!$C$5:$C$3004,Q$5),Q$8)&lt;Resumen!$C$4+30,"Caduca pronto","OK"))))))</f>
        <v/>
      </c>
      <c r="R73" s="26" t="str">
        <f aca="false">IF(OR($A73="",R$4=""),"",IF(NOT(OR(R$6="Toda la plantilla",ISNUMBER(SEARCH(";"&amp;SUBSTITUTE($C73," ","")&amp;";",";"&amp;SUBSTITUTE(R$7," ","")&amp;";")))),"—",IF(_xlfn.MAXIFS(Acuses!$C$5:$C$3004,Acuses!$A$5:$A$3004,$A73,Acuses!$B$5:$B$3004,R$4)&lt;R$5,"Pendiente",IF(R$8=0,"OK",IF(EDATE(_xlfn.MAXIFS(Acuses!$D$5:$D$3004,Acuses!$A$5:$A$3004,$A73,Acuses!$B$5:$B$3004,R$4,Acuses!$C$5:$C$3004,R$5),R$8)&lt;Resumen!$C$4,"Caducado",IF(EDATE(_xlfn.MAXIFS(Acuses!$D$5:$D$3004,Acuses!$A$5:$A$3004,$A73,Acuses!$B$5:$B$3004,R$4,Acuses!$C$5:$C$3004,R$5),R$8)&lt;Resumen!$C$4+30,"Caduca pronto","OK"))))))</f>
        <v/>
      </c>
      <c r="S73" s="26" t="str">
        <f aca="false">IF(OR($A73="",S$4=""),"",IF(NOT(OR(S$6="Toda la plantilla",ISNUMBER(SEARCH(";"&amp;SUBSTITUTE($C73," ","")&amp;";",";"&amp;SUBSTITUTE(S$7," ","")&amp;";")))),"—",IF(_xlfn.MAXIFS(Acuses!$C$5:$C$3004,Acuses!$A$5:$A$3004,$A73,Acuses!$B$5:$B$3004,S$4)&lt;S$5,"Pendiente",IF(S$8=0,"OK",IF(EDATE(_xlfn.MAXIFS(Acuses!$D$5:$D$3004,Acuses!$A$5:$A$3004,$A73,Acuses!$B$5:$B$3004,S$4,Acuses!$C$5:$C$3004,S$5),S$8)&lt;Resumen!$C$4,"Caducado",IF(EDATE(_xlfn.MAXIFS(Acuses!$D$5:$D$3004,Acuses!$A$5:$A$3004,$A73,Acuses!$B$5:$B$3004,S$4,Acuses!$C$5:$C$3004,S$5),S$8)&lt;Resumen!$C$4+30,"Caduca pronto","OK"))))))</f>
        <v/>
      </c>
      <c r="T73" s="26" t="str">
        <f aca="false">IF(OR($A73="",T$4=""),"",IF(NOT(OR(T$6="Toda la plantilla",ISNUMBER(SEARCH(";"&amp;SUBSTITUTE($C73," ","")&amp;";",";"&amp;SUBSTITUTE(T$7," ","")&amp;";")))),"—",IF(_xlfn.MAXIFS(Acuses!$C$5:$C$3004,Acuses!$A$5:$A$3004,$A73,Acuses!$B$5:$B$3004,T$4)&lt;T$5,"Pendiente",IF(T$8=0,"OK",IF(EDATE(_xlfn.MAXIFS(Acuses!$D$5:$D$3004,Acuses!$A$5:$A$3004,$A73,Acuses!$B$5:$B$3004,T$4,Acuses!$C$5:$C$3004,T$5),T$8)&lt;Resumen!$C$4,"Caducado",IF(EDATE(_xlfn.MAXIFS(Acuses!$D$5:$D$3004,Acuses!$A$5:$A$3004,$A73,Acuses!$B$5:$B$3004,T$4,Acuses!$C$5:$C$3004,T$5),T$8)&lt;Resumen!$C$4+30,"Caduca pronto","OK"))))))</f>
        <v/>
      </c>
      <c r="U73" s="26" t="str">
        <f aca="false">IF(OR($A73="",U$4=""),"",IF(NOT(OR(U$6="Toda la plantilla",ISNUMBER(SEARCH(";"&amp;SUBSTITUTE($C73," ","")&amp;";",";"&amp;SUBSTITUTE(U$7," ","")&amp;";")))),"—",IF(_xlfn.MAXIFS(Acuses!$C$5:$C$3004,Acuses!$A$5:$A$3004,$A73,Acuses!$B$5:$B$3004,U$4)&lt;U$5,"Pendiente",IF(U$8=0,"OK",IF(EDATE(_xlfn.MAXIFS(Acuses!$D$5:$D$3004,Acuses!$A$5:$A$3004,$A73,Acuses!$B$5:$B$3004,U$4,Acuses!$C$5:$C$3004,U$5),U$8)&lt;Resumen!$C$4,"Caducado",IF(EDATE(_xlfn.MAXIFS(Acuses!$D$5:$D$3004,Acuses!$A$5:$A$3004,$A73,Acuses!$B$5:$B$3004,U$4,Acuses!$C$5:$C$3004,U$5),U$8)&lt;Resumen!$C$4+30,"Caduca pronto","OK"))))))</f>
        <v/>
      </c>
      <c r="V73" s="26" t="str">
        <f aca="false">IF(OR($A73="",V$4=""),"",IF(NOT(OR(V$6="Toda la plantilla",ISNUMBER(SEARCH(";"&amp;SUBSTITUTE($C73," ","")&amp;";",";"&amp;SUBSTITUTE(V$7," ","")&amp;";")))),"—",IF(_xlfn.MAXIFS(Acuses!$C$5:$C$3004,Acuses!$A$5:$A$3004,$A73,Acuses!$B$5:$B$3004,V$4)&lt;V$5,"Pendiente",IF(V$8=0,"OK",IF(EDATE(_xlfn.MAXIFS(Acuses!$D$5:$D$3004,Acuses!$A$5:$A$3004,$A73,Acuses!$B$5:$B$3004,V$4,Acuses!$C$5:$C$3004,V$5),V$8)&lt;Resumen!$C$4,"Caducado",IF(EDATE(_xlfn.MAXIFS(Acuses!$D$5:$D$3004,Acuses!$A$5:$A$3004,$A73,Acuses!$B$5:$B$3004,V$4,Acuses!$C$5:$C$3004,V$5),V$8)&lt;Resumen!$C$4+30,"Caduca pronto","OK"))))))</f>
        <v/>
      </c>
      <c r="W73" s="26" t="str">
        <f aca="false">IF(OR($A73="",W$4=""),"",IF(NOT(OR(W$6="Toda la plantilla",ISNUMBER(SEARCH(";"&amp;SUBSTITUTE($C73," ","")&amp;";",";"&amp;SUBSTITUTE(W$7," ","")&amp;";")))),"—",IF(_xlfn.MAXIFS(Acuses!$C$5:$C$3004,Acuses!$A$5:$A$3004,$A73,Acuses!$B$5:$B$3004,W$4)&lt;W$5,"Pendiente",IF(W$8=0,"OK",IF(EDATE(_xlfn.MAXIFS(Acuses!$D$5:$D$3004,Acuses!$A$5:$A$3004,$A73,Acuses!$B$5:$B$3004,W$4,Acuses!$C$5:$C$3004,W$5),W$8)&lt;Resumen!$C$4,"Caducado",IF(EDATE(_xlfn.MAXIFS(Acuses!$D$5:$D$3004,Acuses!$A$5:$A$3004,$A73,Acuses!$B$5:$B$3004,W$4,Acuses!$C$5:$C$3004,W$5),W$8)&lt;Resumen!$C$4+30,"Caduca pronto","OK"))))))</f>
        <v/>
      </c>
      <c r="X73" s="26" t="str">
        <f aca="false">IF(OR($A73="",X$4=""),"",IF(NOT(OR(X$6="Toda la plantilla",ISNUMBER(SEARCH(";"&amp;SUBSTITUTE($C73," ","")&amp;";",";"&amp;SUBSTITUTE(X$7," ","")&amp;";")))),"—",IF(_xlfn.MAXIFS(Acuses!$C$5:$C$3004,Acuses!$A$5:$A$3004,$A73,Acuses!$B$5:$B$3004,X$4)&lt;X$5,"Pendiente",IF(X$8=0,"OK",IF(EDATE(_xlfn.MAXIFS(Acuses!$D$5:$D$3004,Acuses!$A$5:$A$3004,$A73,Acuses!$B$5:$B$3004,X$4,Acuses!$C$5:$C$3004,X$5),X$8)&lt;Resumen!$C$4,"Caducado",IF(EDATE(_xlfn.MAXIFS(Acuses!$D$5:$D$3004,Acuses!$A$5:$A$3004,$A73,Acuses!$B$5:$B$3004,X$4,Acuses!$C$5:$C$3004,X$5),X$8)&lt;Resumen!$C$4+30,"Caduca pronto","OK"))))))</f>
        <v/>
      </c>
      <c r="Y73" s="26" t="str">
        <f aca="false">IF(OR($A73="",Y$4=""),"",IF(NOT(OR(Y$6="Toda la plantilla",ISNUMBER(SEARCH(";"&amp;SUBSTITUTE($C73," ","")&amp;";",";"&amp;SUBSTITUTE(Y$7," ","")&amp;";")))),"—",IF(_xlfn.MAXIFS(Acuses!$C$5:$C$3004,Acuses!$A$5:$A$3004,$A73,Acuses!$B$5:$B$3004,Y$4)&lt;Y$5,"Pendiente",IF(Y$8=0,"OK",IF(EDATE(_xlfn.MAXIFS(Acuses!$D$5:$D$3004,Acuses!$A$5:$A$3004,$A73,Acuses!$B$5:$B$3004,Y$4,Acuses!$C$5:$C$3004,Y$5),Y$8)&lt;Resumen!$C$4,"Caducado",IF(EDATE(_xlfn.MAXIFS(Acuses!$D$5:$D$3004,Acuses!$A$5:$A$3004,$A73,Acuses!$B$5:$B$3004,Y$4,Acuses!$C$5:$C$3004,Y$5),Y$8)&lt;Resumen!$C$4+30,"Caduca pronto","OK"))))))</f>
        <v/>
      </c>
      <c r="Z73" s="26" t="str">
        <f aca="false">IF(OR($A73="",Z$4=""),"",IF(NOT(OR(Z$6="Toda la plantilla",ISNUMBER(SEARCH(";"&amp;SUBSTITUTE($C73," ","")&amp;";",";"&amp;SUBSTITUTE(Z$7," ","")&amp;";")))),"—",IF(_xlfn.MAXIFS(Acuses!$C$5:$C$3004,Acuses!$A$5:$A$3004,$A73,Acuses!$B$5:$B$3004,Z$4)&lt;Z$5,"Pendiente",IF(Z$8=0,"OK",IF(EDATE(_xlfn.MAXIFS(Acuses!$D$5:$D$3004,Acuses!$A$5:$A$3004,$A73,Acuses!$B$5:$B$3004,Z$4,Acuses!$C$5:$C$3004,Z$5),Z$8)&lt;Resumen!$C$4,"Caducado",IF(EDATE(_xlfn.MAXIFS(Acuses!$D$5:$D$3004,Acuses!$A$5:$A$3004,$A73,Acuses!$B$5:$B$3004,Z$4,Acuses!$C$5:$C$3004,Z$5),Z$8)&lt;Resumen!$C$4+30,"Caduca pronto","OK"))))))</f>
        <v/>
      </c>
      <c r="AA73" s="26" t="str">
        <f aca="false">IF(OR($A73="",AA$4=""),"",IF(NOT(OR(AA$6="Toda la plantilla",ISNUMBER(SEARCH(";"&amp;SUBSTITUTE($C73," ","")&amp;";",";"&amp;SUBSTITUTE(AA$7," ","")&amp;";")))),"—",IF(_xlfn.MAXIFS(Acuses!$C$5:$C$3004,Acuses!$A$5:$A$3004,$A73,Acuses!$B$5:$B$3004,AA$4)&lt;AA$5,"Pendiente",IF(AA$8=0,"OK",IF(EDATE(_xlfn.MAXIFS(Acuses!$D$5:$D$3004,Acuses!$A$5:$A$3004,$A73,Acuses!$B$5:$B$3004,AA$4,Acuses!$C$5:$C$3004,AA$5),AA$8)&lt;Resumen!$C$4,"Caducado",IF(EDATE(_xlfn.MAXIFS(Acuses!$D$5:$D$3004,Acuses!$A$5:$A$3004,$A73,Acuses!$B$5:$B$3004,AA$4,Acuses!$C$5:$C$3004,AA$5),AA$8)&lt;Resumen!$C$4+30,"Caduca pronto","OK"))))))</f>
        <v/>
      </c>
      <c r="AB73" s="26" t="str">
        <f aca="false">IF(OR($A73="",AB$4=""),"",IF(NOT(OR(AB$6="Toda la plantilla",ISNUMBER(SEARCH(";"&amp;SUBSTITUTE($C73," ","")&amp;";",";"&amp;SUBSTITUTE(AB$7," ","")&amp;";")))),"—",IF(_xlfn.MAXIFS(Acuses!$C$5:$C$3004,Acuses!$A$5:$A$3004,$A73,Acuses!$B$5:$B$3004,AB$4)&lt;AB$5,"Pendiente",IF(AB$8=0,"OK",IF(EDATE(_xlfn.MAXIFS(Acuses!$D$5:$D$3004,Acuses!$A$5:$A$3004,$A73,Acuses!$B$5:$B$3004,AB$4,Acuses!$C$5:$C$3004,AB$5),AB$8)&lt;Resumen!$C$4,"Caducado",IF(EDATE(_xlfn.MAXIFS(Acuses!$D$5:$D$3004,Acuses!$A$5:$A$3004,$A73,Acuses!$B$5:$B$3004,AB$4,Acuses!$C$5:$C$3004,AB$5),AB$8)&lt;Resumen!$C$4+30,"Caduca pronto","OK"))))))</f>
        <v/>
      </c>
      <c r="AC73" s="26" t="str">
        <f aca="false">IF(OR($A73="",AC$4=""),"",IF(NOT(OR(AC$6="Toda la plantilla",ISNUMBER(SEARCH(";"&amp;SUBSTITUTE($C73," ","")&amp;";",";"&amp;SUBSTITUTE(AC$7," ","")&amp;";")))),"—",IF(_xlfn.MAXIFS(Acuses!$C$5:$C$3004,Acuses!$A$5:$A$3004,$A73,Acuses!$B$5:$B$3004,AC$4)&lt;AC$5,"Pendiente",IF(AC$8=0,"OK",IF(EDATE(_xlfn.MAXIFS(Acuses!$D$5:$D$3004,Acuses!$A$5:$A$3004,$A73,Acuses!$B$5:$B$3004,AC$4,Acuses!$C$5:$C$3004,AC$5),AC$8)&lt;Resumen!$C$4,"Caducado",IF(EDATE(_xlfn.MAXIFS(Acuses!$D$5:$D$3004,Acuses!$A$5:$A$3004,$A73,Acuses!$B$5:$B$3004,AC$4,Acuses!$C$5:$C$3004,AC$5),AC$8)&lt;Resumen!$C$4+30,"Caduca pronto","OK"))))))</f>
        <v/>
      </c>
      <c r="AD73" s="26" t="str">
        <f aca="false">IF(OR($A73="",AD$4=""),"",IF(NOT(OR(AD$6="Toda la plantilla",ISNUMBER(SEARCH(";"&amp;SUBSTITUTE($C73," ","")&amp;";",";"&amp;SUBSTITUTE(AD$7," ","")&amp;";")))),"—",IF(_xlfn.MAXIFS(Acuses!$C$5:$C$3004,Acuses!$A$5:$A$3004,$A73,Acuses!$B$5:$B$3004,AD$4)&lt;AD$5,"Pendiente",IF(AD$8=0,"OK",IF(EDATE(_xlfn.MAXIFS(Acuses!$D$5:$D$3004,Acuses!$A$5:$A$3004,$A73,Acuses!$B$5:$B$3004,AD$4,Acuses!$C$5:$C$3004,AD$5),AD$8)&lt;Resumen!$C$4,"Caducado",IF(EDATE(_xlfn.MAXIFS(Acuses!$D$5:$D$3004,Acuses!$A$5:$A$3004,$A73,Acuses!$B$5:$B$3004,AD$4,Acuses!$C$5:$C$3004,AD$5),AD$8)&lt;Resumen!$C$4+30,"Caduca pronto","OK"))))))</f>
        <v/>
      </c>
      <c r="AE73" s="26" t="str">
        <f aca="false">IF(OR($A73="",AE$4=""),"",IF(NOT(OR(AE$6="Toda la plantilla",ISNUMBER(SEARCH(";"&amp;SUBSTITUTE($C73," ","")&amp;";",";"&amp;SUBSTITUTE(AE$7," ","")&amp;";")))),"—",IF(_xlfn.MAXIFS(Acuses!$C$5:$C$3004,Acuses!$A$5:$A$3004,$A73,Acuses!$B$5:$B$3004,AE$4)&lt;AE$5,"Pendiente",IF(AE$8=0,"OK",IF(EDATE(_xlfn.MAXIFS(Acuses!$D$5:$D$3004,Acuses!$A$5:$A$3004,$A73,Acuses!$B$5:$B$3004,AE$4,Acuses!$C$5:$C$3004,AE$5),AE$8)&lt;Resumen!$C$4,"Caducado",IF(EDATE(_xlfn.MAXIFS(Acuses!$D$5:$D$3004,Acuses!$A$5:$A$3004,$A73,Acuses!$B$5:$B$3004,AE$4,Acuses!$C$5:$C$3004,AE$5),AE$8)&lt;Resumen!$C$4+30,"Caduca pronto","OK"))))))</f>
        <v/>
      </c>
      <c r="AF73" s="26" t="str">
        <f aca="false">IF(OR($A73="",AF$4=""),"",IF(NOT(OR(AF$6="Toda la plantilla",ISNUMBER(SEARCH(";"&amp;SUBSTITUTE($C73," ","")&amp;";",";"&amp;SUBSTITUTE(AF$7," ","")&amp;";")))),"—",IF(_xlfn.MAXIFS(Acuses!$C$5:$C$3004,Acuses!$A$5:$A$3004,$A73,Acuses!$B$5:$B$3004,AF$4)&lt;AF$5,"Pendiente",IF(AF$8=0,"OK",IF(EDATE(_xlfn.MAXIFS(Acuses!$D$5:$D$3004,Acuses!$A$5:$A$3004,$A73,Acuses!$B$5:$B$3004,AF$4,Acuses!$C$5:$C$3004,AF$5),AF$8)&lt;Resumen!$C$4,"Caducado",IF(EDATE(_xlfn.MAXIFS(Acuses!$D$5:$D$3004,Acuses!$A$5:$A$3004,$A73,Acuses!$B$5:$B$3004,AF$4,Acuses!$C$5:$C$3004,AF$5),AF$8)&lt;Resumen!$C$4+30,"Caduca pronto","OK"))))))</f>
        <v/>
      </c>
      <c r="AG73" s="26" t="str">
        <f aca="false">IF(OR($A73="",AG$4=""),"",IF(NOT(OR(AG$6="Toda la plantilla",ISNUMBER(SEARCH(";"&amp;SUBSTITUTE($C73," ","")&amp;";",";"&amp;SUBSTITUTE(AG$7," ","")&amp;";")))),"—",IF(_xlfn.MAXIFS(Acuses!$C$5:$C$3004,Acuses!$A$5:$A$3004,$A73,Acuses!$B$5:$B$3004,AG$4)&lt;AG$5,"Pendiente",IF(AG$8=0,"OK",IF(EDATE(_xlfn.MAXIFS(Acuses!$D$5:$D$3004,Acuses!$A$5:$A$3004,$A73,Acuses!$B$5:$B$3004,AG$4,Acuses!$C$5:$C$3004,AG$5),AG$8)&lt;Resumen!$C$4,"Caducado",IF(EDATE(_xlfn.MAXIFS(Acuses!$D$5:$D$3004,Acuses!$A$5:$A$3004,$A73,Acuses!$B$5:$B$3004,AG$4,Acuses!$C$5:$C$3004,AG$5),AG$8)&lt;Resumen!$C$4+30,"Caduca pronto","OK"))))))</f>
        <v/>
      </c>
      <c r="AH73" s="26" t="str">
        <f aca="false">IF(OR($A73="",AH$4=""),"",IF(NOT(OR(AH$6="Toda la plantilla",ISNUMBER(SEARCH(";"&amp;SUBSTITUTE($C73," ","")&amp;";",";"&amp;SUBSTITUTE(AH$7," ","")&amp;";")))),"—",IF(_xlfn.MAXIFS(Acuses!$C$5:$C$3004,Acuses!$A$5:$A$3004,$A73,Acuses!$B$5:$B$3004,AH$4)&lt;AH$5,"Pendiente",IF(AH$8=0,"OK",IF(EDATE(_xlfn.MAXIFS(Acuses!$D$5:$D$3004,Acuses!$A$5:$A$3004,$A73,Acuses!$B$5:$B$3004,AH$4,Acuses!$C$5:$C$3004,AH$5),AH$8)&lt;Resumen!$C$4,"Caducado",IF(EDATE(_xlfn.MAXIFS(Acuses!$D$5:$D$3004,Acuses!$A$5:$A$3004,$A73,Acuses!$B$5:$B$3004,AH$4,Acuses!$C$5:$C$3004,AH$5),AH$8)&lt;Resumen!$C$4+30,"Caduca pronto","OK"))))))</f>
        <v/>
      </c>
      <c r="AI73" s="26" t="str">
        <f aca="false">IF(OR($A73="",AI$4=""),"",IF(NOT(OR(AI$6="Toda la plantilla",ISNUMBER(SEARCH(";"&amp;SUBSTITUTE($C73," ","")&amp;";",";"&amp;SUBSTITUTE(AI$7," ","")&amp;";")))),"—",IF(_xlfn.MAXIFS(Acuses!$C$5:$C$3004,Acuses!$A$5:$A$3004,$A73,Acuses!$B$5:$B$3004,AI$4)&lt;AI$5,"Pendiente",IF(AI$8=0,"OK",IF(EDATE(_xlfn.MAXIFS(Acuses!$D$5:$D$3004,Acuses!$A$5:$A$3004,$A73,Acuses!$B$5:$B$3004,AI$4,Acuses!$C$5:$C$3004,AI$5),AI$8)&lt;Resumen!$C$4,"Caducado",IF(EDATE(_xlfn.MAXIFS(Acuses!$D$5:$D$3004,Acuses!$A$5:$A$3004,$A73,Acuses!$B$5:$B$3004,AI$4,Acuses!$C$5:$C$3004,AI$5),AI$8)&lt;Resumen!$C$4+30,"Caduca pronto","OK"))))))</f>
        <v/>
      </c>
      <c r="AJ73" s="26" t="str">
        <f aca="false">IF(OR($A73="",AJ$4=""),"",IF(NOT(OR(AJ$6="Toda la plantilla",ISNUMBER(SEARCH(";"&amp;SUBSTITUTE($C73," ","")&amp;";",";"&amp;SUBSTITUTE(AJ$7," ","")&amp;";")))),"—",IF(_xlfn.MAXIFS(Acuses!$C$5:$C$3004,Acuses!$A$5:$A$3004,$A73,Acuses!$B$5:$B$3004,AJ$4)&lt;AJ$5,"Pendiente",IF(AJ$8=0,"OK",IF(EDATE(_xlfn.MAXIFS(Acuses!$D$5:$D$3004,Acuses!$A$5:$A$3004,$A73,Acuses!$B$5:$B$3004,AJ$4,Acuses!$C$5:$C$3004,AJ$5),AJ$8)&lt;Resumen!$C$4,"Caducado",IF(EDATE(_xlfn.MAXIFS(Acuses!$D$5:$D$3004,Acuses!$A$5:$A$3004,$A73,Acuses!$B$5:$B$3004,AJ$4,Acuses!$C$5:$C$3004,AJ$5),AJ$8)&lt;Resumen!$C$4+30,"Caduca pronto","OK"))))))</f>
        <v/>
      </c>
      <c r="AK73" s="26" t="str">
        <f aca="false">IF(OR($A73="",AK$4=""),"",IF(NOT(OR(AK$6="Toda la plantilla",ISNUMBER(SEARCH(";"&amp;SUBSTITUTE($C73," ","")&amp;";",";"&amp;SUBSTITUTE(AK$7," ","")&amp;";")))),"—",IF(_xlfn.MAXIFS(Acuses!$C$5:$C$3004,Acuses!$A$5:$A$3004,$A73,Acuses!$B$5:$B$3004,AK$4)&lt;AK$5,"Pendiente",IF(AK$8=0,"OK",IF(EDATE(_xlfn.MAXIFS(Acuses!$D$5:$D$3004,Acuses!$A$5:$A$3004,$A73,Acuses!$B$5:$B$3004,AK$4,Acuses!$C$5:$C$3004,AK$5),AK$8)&lt;Resumen!$C$4,"Caducado",IF(EDATE(_xlfn.MAXIFS(Acuses!$D$5:$D$3004,Acuses!$A$5:$A$3004,$A73,Acuses!$B$5:$B$3004,AK$4,Acuses!$C$5:$C$3004,AK$5),AK$8)&lt;Resumen!$C$4+30,"Caduca pronto","OK"))))))</f>
        <v/>
      </c>
      <c r="AL73" s="26" t="str">
        <f aca="false">IF(OR($A73="",AL$4=""),"",IF(NOT(OR(AL$6="Toda la plantilla",ISNUMBER(SEARCH(";"&amp;SUBSTITUTE($C73," ","")&amp;";",";"&amp;SUBSTITUTE(AL$7," ","")&amp;";")))),"—",IF(_xlfn.MAXIFS(Acuses!$C$5:$C$3004,Acuses!$A$5:$A$3004,$A73,Acuses!$B$5:$B$3004,AL$4)&lt;AL$5,"Pendiente",IF(AL$8=0,"OK",IF(EDATE(_xlfn.MAXIFS(Acuses!$D$5:$D$3004,Acuses!$A$5:$A$3004,$A73,Acuses!$B$5:$B$3004,AL$4,Acuses!$C$5:$C$3004,AL$5),AL$8)&lt;Resumen!$C$4,"Caducado",IF(EDATE(_xlfn.MAXIFS(Acuses!$D$5:$D$3004,Acuses!$A$5:$A$3004,$A73,Acuses!$B$5:$B$3004,AL$4,Acuses!$C$5:$C$3004,AL$5),AL$8)&lt;Resumen!$C$4+30,"Caduca pronto","OK"))))))</f>
        <v/>
      </c>
      <c r="AM73" s="26" t="str">
        <f aca="false">IF(OR($A73="",AM$4=""),"",IF(NOT(OR(AM$6="Toda la plantilla",ISNUMBER(SEARCH(";"&amp;SUBSTITUTE($C73," ","")&amp;";",";"&amp;SUBSTITUTE(AM$7," ","")&amp;";")))),"—",IF(_xlfn.MAXIFS(Acuses!$C$5:$C$3004,Acuses!$A$5:$A$3004,$A73,Acuses!$B$5:$B$3004,AM$4)&lt;AM$5,"Pendiente",IF(AM$8=0,"OK",IF(EDATE(_xlfn.MAXIFS(Acuses!$D$5:$D$3004,Acuses!$A$5:$A$3004,$A73,Acuses!$B$5:$B$3004,AM$4,Acuses!$C$5:$C$3004,AM$5),AM$8)&lt;Resumen!$C$4,"Caducado",IF(EDATE(_xlfn.MAXIFS(Acuses!$D$5:$D$3004,Acuses!$A$5:$A$3004,$A73,Acuses!$B$5:$B$3004,AM$4,Acuses!$C$5:$C$3004,AM$5),AM$8)&lt;Resumen!$C$4+30,"Caduca pronto","OK"))))))</f>
        <v/>
      </c>
      <c r="AN73" s="26" t="str">
        <f aca="false">IF(OR($A73="",AN$4=""),"",IF(NOT(OR(AN$6="Toda la plantilla",ISNUMBER(SEARCH(";"&amp;SUBSTITUTE($C73," ","")&amp;";",";"&amp;SUBSTITUTE(AN$7," ","")&amp;";")))),"—",IF(_xlfn.MAXIFS(Acuses!$C$5:$C$3004,Acuses!$A$5:$A$3004,$A73,Acuses!$B$5:$B$3004,AN$4)&lt;AN$5,"Pendiente",IF(AN$8=0,"OK",IF(EDATE(_xlfn.MAXIFS(Acuses!$D$5:$D$3004,Acuses!$A$5:$A$3004,$A73,Acuses!$B$5:$B$3004,AN$4,Acuses!$C$5:$C$3004,AN$5),AN$8)&lt;Resumen!$C$4,"Caducado",IF(EDATE(_xlfn.MAXIFS(Acuses!$D$5:$D$3004,Acuses!$A$5:$A$3004,$A73,Acuses!$B$5:$B$3004,AN$4,Acuses!$C$5:$C$3004,AN$5),AN$8)&lt;Resumen!$C$4+30,"Caduca pronto","OK"))))))</f>
        <v/>
      </c>
      <c r="AO73" s="26" t="str">
        <f aca="false">IF(OR($A73="",AO$4=""),"",IF(NOT(OR(AO$6="Toda la plantilla",ISNUMBER(SEARCH(";"&amp;SUBSTITUTE($C73," ","")&amp;";",";"&amp;SUBSTITUTE(AO$7," ","")&amp;";")))),"—",IF(_xlfn.MAXIFS(Acuses!$C$5:$C$3004,Acuses!$A$5:$A$3004,$A73,Acuses!$B$5:$B$3004,AO$4)&lt;AO$5,"Pendiente",IF(AO$8=0,"OK",IF(EDATE(_xlfn.MAXIFS(Acuses!$D$5:$D$3004,Acuses!$A$5:$A$3004,$A73,Acuses!$B$5:$B$3004,AO$4,Acuses!$C$5:$C$3004,AO$5),AO$8)&lt;Resumen!$C$4,"Caducado",IF(EDATE(_xlfn.MAXIFS(Acuses!$D$5:$D$3004,Acuses!$A$5:$A$3004,$A73,Acuses!$B$5:$B$3004,AO$4,Acuses!$C$5:$C$3004,AO$5),AO$8)&lt;Resumen!$C$4+30,"Caduca pronto","OK"))))))</f>
        <v/>
      </c>
      <c r="AP73" s="26" t="str">
        <f aca="false">IF(OR($A73="",AP$4=""),"",IF(NOT(OR(AP$6="Toda la plantilla",ISNUMBER(SEARCH(";"&amp;SUBSTITUTE($C73," ","")&amp;";",";"&amp;SUBSTITUTE(AP$7," ","")&amp;";")))),"—",IF(_xlfn.MAXIFS(Acuses!$C$5:$C$3004,Acuses!$A$5:$A$3004,$A73,Acuses!$B$5:$B$3004,AP$4)&lt;AP$5,"Pendiente",IF(AP$8=0,"OK",IF(EDATE(_xlfn.MAXIFS(Acuses!$D$5:$D$3004,Acuses!$A$5:$A$3004,$A73,Acuses!$B$5:$B$3004,AP$4,Acuses!$C$5:$C$3004,AP$5),AP$8)&lt;Resumen!$C$4,"Caducado",IF(EDATE(_xlfn.MAXIFS(Acuses!$D$5:$D$3004,Acuses!$A$5:$A$3004,$A73,Acuses!$B$5:$B$3004,AP$4,Acuses!$C$5:$C$3004,AP$5),AP$8)&lt;Resumen!$C$4+30,"Caduca pronto","OK"))))))</f>
        <v/>
      </c>
      <c r="AQ73" s="26" t="str">
        <f aca="false">IF(OR($A73="",AQ$4=""),"",IF(NOT(OR(AQ$6="Toda la plantilla",ISNUMBER(SEARCH(";"&amp;SUBSTITUTE($C73," ","")&amp;";",";"&amp;SUBSTITUTE(AQ$7," ","")&amp;";")))),"—",IF(_xlfn.MAXIFS(Acuses!$C$5:$C$3004,Acuses!$A$5:$A$3004,$A73,Acuses!$B$5:$B$3004,AQ$4)&lt;AQ$5,"Pendiente",IF(AQ$8=0,"OK",IF(EDATE(_xlfn.MAXIFS(Acuses!$D$5:$D$3004,Acuses!$A$5:$A$3004,$A73,Acuses!$B$5:$B$3004,AQ$4,Acuses!$C$5:$C$3004,AQ$5),AQ$8)&lt;Resumen!$C$4,"Caducado",IF(EDATE(_xlfn.MAXIFS(Acuses!$D$5:$D$3004,Acuses!$A$5:$A$3004,$A73,Acuses!$B$5:$B$3004,AQ$4,Acuses!$C$5:$C$3004,AQ$5),AQ$8)&lt;Resumen!$C$4+30,"Caduca pronto","OK"))))))</f>
        <v/>
      </c>
    </row>
    <row r="74" customFormat="false" ht="15" hidden="false" customHeight="false" outlineLevel="0" collapsed="false">
      <c r="A74" s="25" t="str">
        <f aca="false">IF(AND(Trabajadores!$A$69&lt;&gt;"",Trabajadores!$G$69&lt;&gt;"No"),Trabajadores!$A$69,"")</f>
        <v/>
      </c>
      <c r="B74" s="25" t="str">
        <f aca="false">IF($A74="","",Trabajadores!$B$69)</f>
        <v/>
      </c>
      <c r="C74" s="25" t="str">
        <f aca="false">IF($A74="","",Trabajadores!$C$69)</f>
        <v/>
      </c>
      <c r="D74" s="26" t="str">
        <f aca="false">IF(OR($A74="",D$4=""),"",IF(NOT(OR(D$6="Toda la plantilla",ISNUMBER(SEARCH(";"&amp;SUBSTITUTE($C74," ","")&amp;";",";"&amp;SUBSTITUTE(D$7," ","")&amp;";")))),"—",IF(_xlfn.MAXIFS(Acuses!$C$5:$C$3004,Acuses!$A$5:$A$3004,$A74,Acuses!$B$5:$B$3004,D$4)&lt;D$5,"Pendiente",IF(D$8=0,"OK",IF(EDATE(_xlfn.MAXIFS(Acuses!$D$5:$D$3004,Acuses!$A$5:$A$3004,$A74,Acuses!$B$5:$B$3004,D$4,Acuses!$C$5:$C$3004,D$5),D$8)&lt;Resumen!$C$4,"Caducado",IF(EDATE(_xlfn.MAXIFS(Acuses!$D$5:$D$3004,Acuses!$A$5:$A$3004,$A74,Acuses!$B$5:$B$3004,D$4,Acuses!$C$5:$C$3004,D$5),D$8)&lt;Resumen!$C$4+30,"Caduca pronto","OK"))))))</f>
        <v/>
      </c>
      <c r="E74" s="26" t="str">
        <f aca="false">IF(OR($A74="",E$4=""),"",IF(NOT(OR(E$6="Toda la plantilla",ISNUMBER(SEARCH(";"&amp;SUBSTITUTE($C74," ","")&amp;";",";"&amp;SUBSTITUTE(E$7," ","")&amp;";")))),"—",IF(_xlfn.MAXIFS(Acuses!$C$5:$C$3004,Acuses!$A$5:$A$3004,$A74,Acuses!$B$5:$B$3004,E$4)&lt;E$5,"Pendiente",IF(E$8=0,"OK",IF(EDATE(_xlfn.MAXIFS(Acuses!$D$5:$D$3004,Acuses!$A$5:$A$3004,$A74,Acuses!$B$5:$B$3004,E$4,Acuses!$C$5:$C$3004,E$5),E$8)&lt;Resumen!$C$4,"Caducado",IF(EDATE(_xlfn.MAXIFS(Acuses!$D$5:$D$3004,Acuses!$A$5:$A$3004,$A74,Acuses!$B$5:$B$3004,E$4,Acuses!$C$5:$C$3004,E$5),E$8)&lt;Resumen!$C$4+30,"Caduca pronto","OK"))))))</f>
        <v/>
      </c>
      <c r="F74" s="26" t="str">
        <f aca="false">IF(OR($A74="",F$4=""),"",IF(NOT(OR(F$6="Toda la plantilla",ISNUMBER(SEARCH(";"&amp;SUBSTITUTE($C74," ","")&amp;";",";"&amp;SUBSTITUTE(F$7," ","")&amp;";")))),"—",IF(_xlfn.MAXIFS(Acuses!$C$5:$C$3004,Acuses!$A$5:$A$3004,$A74,Acuses!$B$5:$B$3004,F$4)&lt;F$5,"Pendiente",IF(F$8=0,"OK",IF(EDATE(_xlfn.MAXIFS(Acuses!$D$5:$D$3004,Acuses!$A$5:$A$3004,$A74,Acuses!$B$5:$B$3004,F$4,Acuses!$C$5:$C$3004,F$5),F$8)&lt;Resumen!$C$4,"Caducado",IF(EDATE(_xlfn.MAXIFS(Acuses!$D$5:$D$3004,Acuses!$A$5:$A$3004,$A74,Acuses!$B$5:$B$3004,F$4,Acuses!$C$5:$C$3004,F$5),F$8)&lt;Resumen!$C$4+30,"Caduca pronto","OK"))))))</f>
        <v/>
      </c>
      <c r="G74" s="26" t="str">
        <f aca="false">IF(OR($A74="",G$4=""),"",IF(NOT(OR(G$6="Toda la plantilla",ISNUMBER(SEARCH(";"&amp;SUBSTITUTE($C74," ","")&amp;";",";"&amp;SUBSTITUTE(G$7," ","")&amp;";")))),"—",IF(_xlfn.MAXIFS(Acuses!$C$5:$C$3004,Acuses!$A$5:$A$3004,$A74,Acuses!$B$5:$B$3004,G$4)&lt;G$5,"Pendiente",IF(G$8=0,"OK",IF(EDATE(_xlfn.MAXIFS(Acuses!$D$5:$D$3004,Acuses!$A$5:$A$3004,$A74,Acuses!$B$5:$B$3004,G$4,Acuses!$C$5:$C$3004,G$5),G$8)&lt;Resumen!$C$4,"Caducado",IF(EDATE(_xlfn.MAXIFS(Acuses!$D$5:$D$3004,Acuses!$A$5:$A$3004,$A74,Acuses!$B$5:$B$3004,G$4,Acuses!$C$5:$C$3004,G$5),G$8)&lt;Resumen!$C$4+30,"Caduca pronto","OK"))))))</f>
        <v/>
      </c>
      <c r="H74" s="26" t="str">
        <f aca="false">IF(OR($A74="",H$4=""),"",IF(NOT(OR(H$6="Toda la plantilla",ISNUMBER(SEARCH(";"&amp;SUBSTITUTE($C74," ","")&amp;";",";"&amp;SUBSTITUTE(H$7," ","")&amp;";")))),"—",IF(_xlfn.MAXIFS(Acuses!$C$5:$C$3004,Acuses!$A$5:$A$3004,$A74,Acuses!$B$5:$B$3004,H$4)&lt;H$5,"Pendiente",IF(H$8=0,"OK",IF(EDATE(_xlfn.MAXIFS(Acuses!$D$5:$D$3004,Acuses!$A$5:$A$3004,$A74,Acuses!$B$5:$B$3004,H$4,Acuses!$C$5:$C$3004,H$5),H$8)&lt;Resumen!$C$4,"Caducado",IF(EDATE(_xlfn.MAXIFS(Acuses!$D$5:$D$3004,Acuses!$A$5:$A$3004,$A74,Acuses!$B$5:$B$3004,H$4,Acuses!$C$5:$C$3004,H$5),H$8)&lt;Resumen!$C$4+30,"Caduca pronto","OK"))))))</f>
        <v/>
      </c>
      <c r="I74" s="26" t="str">
        <f aca="false">IF(OR($A74="",I$4=""),"",IF(NOT(OR(I$6="Toda la plantilla",ISNUMBER(SEARCH(";"&amp;SUBSTITUTE($C74," ","")&amp;";",";"&amp;SUBSTITUTE(I$7," ","")&amp;";")))),"—",IF(_xlfn.MAXIFS(Acuses!$C$5:$C$3004,Acuses!$A$5:$A$3004,$A74,Acuses!$B$5:$B$3004,I$4)&lt;I$5,"Pendiente",IF(I$8=0,"OK",IF(EDATE(_xlfn.MAXIFS(Acuses!$D$5:$D$3004,Acuses!$A$5:$A$3004,$A74,Acuses!$B$5:$B$3004,I$4,Acuses!$C$5:$C$3004,I$5),I$8)&lt;Resumen!$C$4,"Caducado",IF(EDATE(_xlfn.MAXIFS(Acuses!$D$5:$D$3004,Acuses!$A$5:$A$3004,$A74,Acuses!$B$5:$B$3004,I$4,Acuses!$C$5:$C$3004,I$5),I$8)&lt;Resumen!$C$4+30,"Caduca pronto","OK"))))))</f>
        <v/>
      </c>
      <c r="J74" s="26" t="str">
        <f aca="false">IF(OR($A74="",J$4=""),"",IF(NOT(OR(J$6="Toda la plantilla",ISNUMBER(SEARCH(";"&amp;SUBSTITUTE($C74," ","")&amp;";",";"&amp;SUBSTITUTE(J$7," ","")&amp;";")))),"—",IF(_xlfn.MAXIFS(Acuses!$C$5:$C$3004,Acuses!$A$5:$A$3004,$A74,Acuses!$B$5:$B$3004,J$4)&lt;J$5,"Pendiente",IF(J$8=0,"OK",IF(EDATE(_xlfn.MAXIFS(Acuses!$D$5:$D$3004,Acuses!$A$5:$A$3004,$A74,Acuses!$B$5:$B$3004,J$4,Acuses!$C$5:$C$3004,J$5),J$8)&lt;Resumen!$C$4,"Caducado",IF(EDATE(_xlfn.MAXIFS(Acuses!$D$5:$D$3004,Acuses!$A$5:$A$3004,$A74,Acuses!$B$5:$B$3004,J$4,Acuses!$C$5:$C$3004,J$5),J$8)&lt;Resumen!$C$4+30,"Caduca pronto","OK"))))))</f>
        <v/>
      </c>
      <c r="K74" s="26" t="str">
        <f aca="false">IF(OR($A74="",K$4=""),"",IF(NOT(OR(K$6="Toda la plantilla",ISNUMBER(SEARCH(";"&amp;SUBSTITUTE($C74," ","")&amp;";",";"&amp;SUBSTITUTE(K$7," ","")&amp;";")))),"—",IF(_xlfn.MAXIFS(Acuses!$C$5:$C$3004,Acuses!$A$5:$A$3004,$A74,Acuses!$B$5:$B$3004,K$4)&lt;K$5,"Pendiente",IF(K$8=0,"OK",IF(EDATE(_xlfn.MAXIFS(Acuses!$D$5:$D$3004,Acuses!$A$5:$A$3004,$A74,Acuses!$B$5:$B$3004,K$4,Acuses!$C$5:$C$3004,K$5),K$8)&lt;Resumen!$C$4,"Caducado",IF(EDATE(_xlfn.MAXIFS(Acuses!$D$5:$D$3004,Acuses!$A$5:$A$3004,$A74,Acuses!$B$5:$B$3004,K$4,Acuses!$C$5:$C$3004,K$5),K$8)&lt;Resumen!$C$4+30,"Caduca pronto","OK"))))))</f>
        <v/>
      </c>
      <c r="L74" s="26" t="str">
        <f aca="false">IF(OR($A74="",L$4=""),"",IF(NOT(OR(L$6="Toda la plantilla",ISNUMBER(SEARCH(";"&amp;SUBSTITUTE($C74," ","")&amp;";",";"&amp;SUBSTITUTE(L$7," ","")&amp;";")))),"—",IF(_xlfn.MAXIFS(Acuses!$C$5:$C$3004,Acuses!$A$5:$A$3004,$A74,Acuses!$B$5:$B$3004,L$4)&lt;L$5,"Pendiente",IF(L$8=0,"OK",IF(EDATE(_xlfn.MAXIFS(Acuses!$D$5:$D$3004,Acuses!$A$5:$A$3004,$A74,Acuses!$B$5:$B$3004,L$4,Acuses!$C$5:$C$3004,L$5),L$8)&lt;Resumen!$C$4,"Caducado",IF(EDATE(_xlfn.MAXIFS(Acuses!$D$5:$D$3004,Acuses!$A$5:$A$3004,$A74,Acuses!$B$5:$B$3004,L$4,Acuses!$C$5:$C$3004,L$5),L$8)&lt;Resumen!$C$4+30,"Caduca pronto","OK"))))))</f>
        <v/>
      </c>
      <c r="M74" s="26" t="str">
        <f aca="false">IF(OR($A74="",M$4=""),"",IF(NOT(OR(M$6="Toda la plantilla",ISNUMBER(SEARCH(";"&amp;SUBSTITUTE($C74," ","")&amp;";",";"&amp;SUBSTITUTE(M$7," ","")&amp;";")))),"—",IF(_xlfn.MAXIFS(Acuses!$C$5:$C$3004,Acuses!$A$5:$A$3004,$A74,Acuses!$B$5:$B$3004,M$4)&lt;M$5,"Pendiente",IF(M$8=0,"OK",IF(EDATE(_xlfn.MAXIFS(Acuses!$D$5:$D$3004,Acuses!$A$5:$A$3004,$A74,Acuses!$B$5:$B$3004,M$4,Acuses!$C$5:$C$3004,M$5),M$8)&lt;Resumen!$C$4,"Caducado",IF(EDATE(_xlfn.MAXIFS(Acuses!$D$5:$D$3004,Acuses!$A$5:$A$3004,$A74,Acuses!$B$5:$B$3004,M$4,Acuses!$C$5:$C$3004,M$5),M$8)&lt;Resumen!$C$4+30,"Caduca pronto","OK"))))))</f>
        <v/>
      </c>
      <c r="N74" s="26" t="str">
        <f aca="false">IF(OR($A74="",N$4=""),"",IF(NOT(OR(N$6="Toda la plantilla",ISNUMBER(SEARCH(";"&amp;SUBSTITUTE($C74," ","")&amp;";",";"&amp;SUBSTITUTE(N$7," ","")&amp;";")))),"—",IF(_xlfn.MAXIFS(Acuses!$C$5:$C$3004,Acuses!$A$5:$A$3004,$A74,Acuses!$B$5:$B$3004,N$4)&lt;N$5,"Pendiente",IF(N$8=0,"OK",IF(EDATE(_xlfn.MAXIFS(Acuses!$D$5:$D$3004,Acuses!$A$5:$A$3004,$A74,Acuses!$B$5:$B$3004,N$4,Acuses!$C$5:$C$3004,N$5),N$8)&lt;Resumen!$C$4,"Caducado",IF(EDATE(_xlfn.MAXIFS(Acuses!$D$5:$D$3004,Acuses!$A$5:$A$3004,$A74,Acuses!$B$5:$B$3004,N$4,Acuses!$C$5:$C$3004,N$5),N$8)&lt;Resumen!$C$4+30,"Caduca pronto","OK"))))))</f>
        <v/>
      </c>
      <c r="O74" s="26" t="str">
        <f aca="false">IF(OR($A74="",O$4=""),"",IF(NOT(OR(O$6="Toda la plantilla",ISNUMBER(SEARCH(";"&amp;SUBSTITUTE($C74," ","")&amp;";",";"&amp;SUBSTITUTE(O$7," ","")&amp;";")))),"—",IF(_xlfn.MAXIFS(Acuses!$C$5:$C$3004,Acuses!$A$5:$A$3004,$A74,Acuses!$B$5:$B$3004,O$4)&lt;O$5,"Pendiente",IF(O$8=0,"OK",IF(EDATE(_xlfn.MAXIFS(Acuses!$D$5:$D$3004,Acuses!$A$5:$A$3004,$A74,Acuses!$B$5:$B$3004,O$4,Acuses!$C$5:$C$3004,O$5),O$8)&lt;Resumen!$C$4,"Caducado",IF(EDATE(_xlfn.MAXIFS(Acuses!$D$5:$D$3004,Acuses!$A$5:$A$3004,$A74,Acuses!$B$5:$B$3004,O$4,Acuses!$C$5:$C$3004,O$5),O$8)&lt;Resumen!$C$4+30,"Caduca pronto","OK"))))))</f>
        <v/>
      </c>
      <c r="P74" s="26" t="str">
        <f aca="false">IF(OR($A74="",P$4=""),"",IF(NOT(OR(P$6="Toda la plantilla",ISNUMBER(SEARCH(";"&amp;SUBSTITUTE($C74," ","")&amp;";",";"&amp;SUBSTITUTE(P$7," ","")&amp;";")))),"—",IF(_xlfn.MAXIFS(Acuses!$C$5:$C$3004,Acuses!$A$5:$A$3004,$A74,Acuses!$B$5:$B$3004,P$4)&lt;P$5,"Pendiente",IF(P$8=0,"OK",IF(EDATE(_xlfn.MAXIFS(Acuses!$D$5:$D$3004,Acuses!$A$5:$A$3004,$A74,Acuses!$B$5:$B$3004,P$4,Acuses!$C$5:$C$3004,P$5),P$8)&lt;Resumen!$C$4,"Caducado",IF(EDATE(_xlfn.MAXIFS(Acuses!$D$5:$D$3004,Acuses!$A$5:$A$3004,$A74,Acuses!$B$5:$B$3004,P$4,Acuses!$C$5:$C$3004,P$5),P$8)&lt;Resumen!$C$4+30,"Caduca pronto","OK"))))))</f>
        <v/>
      </c>
      <c r="Q74" s="26" t="str">
        <f aca="false">IF(OR($A74="",Q$4=""),"",IF(NOT(OR(Q$6="Toda la plantilla",ISNUMBER(SEARCH(";"&amp;SUBSTITUTE($C74," ","")&amp;";",";"&amp;SUBSTITUTE(Q$7," ","")&amp;";")))),"—",IF(_xlfn.MAXIFS(Acuses!$C$5:$C$3004,Acuses!$A$5:$A$3004,$A74,Acuses!$B$5:$B$3004,Q$4)&lt;Q$5,"Pendiente",IF(Q$8=0,"OK",IF(EDATE(_xlfn.MAXIFS(Acuses!$D$5:$D$3004,Acuses!$A$5:$A$3004,$A74,Acuses!$B$5:$B$3004,Q$4,Acuses!$C$5:$C$3004,Q$5),Q$8)&lt;Resumen!$C$4,"Caducado",IF(EDATE(_xlfn.MAXIFS(Acuses!$D$5:$D$3004,Acuses!$A$5:$A$3004,$A74,Acuses!$B$5:$B$3004,Q$4,Acuses!$C$5:$C$3004,Q$5),Q$8)&lt;Resumen!$C$4+30,"Caduca pronto","OK"))))))</f>
        <v/>
      </c>
      <c r="R74" s="26" t="str">
        <f aca="false">IF(OR($A74="",R$4=""),"",IF(NOT(OR(R$6="Toda la plantilla",ISNUMBER(SEARCH(";"&amp;SUBSTITUTE($C74," ","")&amp;";",";"&amp;SUBSTITUTE(R$7," ","")&amp;";")))),"—",IF(_xlfn.MAXIFS(Acuses!$C$5:$C$3004,Acuses!$A$5:$A$3004,$A74,Acuses!$B$5:$B$3004,R$4)&lt;R$5,"Pendiente",IF(R$8=0,"OK",IF(EDATE(_xlfn.MAXIFS(Acuses!$D$5:$D$3004,Acuses!$A$5:$A$3004,$A74,Acuses!$B$5:$B$3004,R$4,Acuses!$C$5:$C$3004,R$5),R$8)&lt;Resumen!$C$4,"Caducado",IF(EDATE(_xlfn.MAXIFS(Acuses!$D$5:$D$3004,Acuses!$A$5:$A$3004,$A74,Acuses!$B$5:$B$3004,R$4,Acuses!$C$5:$C$3004,R$5),R$8)&lt;Resumen!$C$4+30,"Caduca pronto","OK"))))))</f>
        <v/>
      </c>
      <c r="S74" s="26" t="str">
        <f aca="false">IF(OR($A74="",S$4=""),"",IF(NOT(OR(S$6="Toda la plantilla",ISNUMBER(SEARCH(";"&amp;SUBSTITUTE($C74," ","")&amp;";",";"&amp;SUBSTITUTE(S$7," ","")&amp;";")))),"—",IF(_xlfn.MAXIFS(Acuses!$C$5:$C$3004,Acuses!$A$5:$A$3004,$A74,Acuses!$B$5:$B$3004,S$4)&lt;S$5,"Pendiente",IF(S$8=0,"OK",IF(EDATE(_xlfn.MAXIFS(Acuses!$D$5:$D$3004,Acuses!$A$5:$A$3004,$A74,Acuses!$B$5:$B$3004,S$4,Acuses!$C$5:$C$3004,S$5),S$8)&lt;Resumen!$C$4,"Caducado",IF(EDATE(_xlfn.MAXIFS(Acuses!$D$5:$D$3004,Acuses!$A$5:$A$3004,$A74,Acuses!$B$5:$B$3004,S$4,Acuses!$C$5:$C$3004,S$5),S$8)&lt;Resumen!$C$4+30,"Caduca pronto","OK"))))))</f>
        <v/>
      </c>
      <c r="T74" s="26" t="str">
        <f aca="false">IF(OR($A74="",T$4=""),"",IF(NOT(OR(T$6="Toda la plantilla",ISNUMBER(SEARCH(";"&amp;SUBSTITUTE($C74," ","")&amp;";",";"&amp;SUBSTITUTE(T$7," ","")&amp;";")))),"—",IF(_xlfn.MAXIFS(Acuses!$C$5:$C$3004,Acuses!$A$5:$A$3004,$A74,Acuses!$B$5:$B$3004,T$4)&lt;T$5,"Pendiente",IF(T$8=0,"OK",IF(EDATE(_xlfn.MAXIFS(Acuses!$D$5:$D$3004,Acuses!$A$5:$A$3004,$A74,Acuses!$B$5:$B$3004,T$4,Acuses!$C$5:$C$3004,T$5),T$8)&lt;Resumen!$C$4,"Caducado",IF(EDATE(_xlfn.MAXIFS(Acuses!$D$5:$D$3004,Acuses!$A$5:$A$3004,$A74,Acuses!$B$5:$B$3004,T$4,Acuses!$C$5:$C$3004,T$5),T$8)&lt;Resumen!$C$4+30,"Caduca pronto","OK"))))))</f>
        <v/>
      </c>
      <c r="U74" s="26" t="str">
        <f aca="false">IF(OR($A74="",U$4=""),"",IF(NOT(OR(U$6="Toda la plantilla",ISNUMBER(SEARCH(";"&amp;SUBSTITUTE($C74," ","")&amp;";",";"&amp;SUBSTITUTE(U$7," ","")&amp;";")))),"—",IF(_xlfn.MAXIFS(Acuses!$C$5:$C$3004,Acuses!$A$5:$A$3004,$A74,Acuses!$B$5:$B$3004,U$4)&lt;U$5,"Pendiente",IF(U$8=0,"OK",IF(EDATE(_xlfn.MAXIFS(Acuses!$D$5:$D$3004,Acuses!$A$5:$A$3004,$A74,Acuses!$B$5:$B$3004,U$4,Acuses!$C$5:$C$3004,U$5),U$8)&lt;Resumen!$C$4,"Caducado",IF(EDATE(_xlfn.MAXIFS(Acuses!$D$5:$D$3004,Acuses!$A$5:$A$3004,$A74,Acuses!$B$5:$B$3004,U$4,Acuses!$C$5:$C$3004,U$5),U$8)&lt;Resumen!$C$4+30,"Caduca pronto","OK"))))))</f>
        <v/>
      </c>
      <c r="V74" s="26" t="str">
        <f aca="false">IF(OR($A74="",V$4=""),"",IF(NOT(OR(V$6="Toda la plantilla",ISNUMBER(SEARCH(";"&amp;SUBSTITUTE($C74," ","")&amp;";",";"&amp;SUBSTITUTE(V$7," ","")&amp;";")))),"—",IF(_xlfn.MAXIFS(Acuses!$C$5:$C$3004,Acuses!$A$5:$A$3004,$A74,Acuses!$B$5:$B$3004,V$4)&lt;V$5,"Pendiente",IF(V$8=0,"OK",IF(EDATE(_xlfn.MAXIFS(Acuses!$D$5:$D$3004,Acuses!$A$5:$A$3004,$A74,Acuses!$B$5:$B$3004,V$4,Acuses!$C$5:$C$3004,V$5),V$8)&lt;Resumen!$C$4,"Caducado",IF(EDATE(_xlfn.MAXIFS(Acuses!$D$5:$D$3004,Acuses!$A$5:$A$3004,$A74,Acuses!$B$5:$B$3004,V$4,Acuses!$C$5:$C$3004,V$5),V$8)&lt;Resumen!$C$4+30,"Caduca pronto","OK"))))))</f>
        <v/>
      </c>
      <c r="W74" s="26" t="str">
        <f aca="false">IF(OR($A74="",W$4=""),"",IF(NOT(OR(W$6="Toda la plantilla",ISNUMBER(SEARCH(";"&amp;SUBSTITUTE($C74," ","")&amp;";",";"&amp;SUBSTITUTE(W$7," ","")&amp;";")))),"—",IF(_xlfn.MAXIFS(Acuses!$C$5:$C$3004,Acuses!$A$5:$A$3004,$A74,Acuses!$B$5:$B$3004,W$4)&lt;W$5,"Pendiente",IF(W$8=0,"OK",IF(EDATE(_xlfn.MAXIFS(Acuses!$D$5:$D$3004,Acuses!$A$5:$A$3004,$A74,Acuses!$B$5:$B$3004,W$4,Acuses!$C$5:$C$3004,W$5),W$8)&lt;Resumen!$C$4,"Caducado",IF(EDATE(_xlfn.MAXIFS(Acuses!$D$5:$D$3004,Acuses!$A$5:$A$3004,$A74,Acuses!$B$5:$B$3004,W$4,Acuses!$C$5:$C$3004,W$5),W$8)&lt;Resumen!$C$4+30,"Caduca pronto","OK"))))))</f>
        <v/>
      </c>
      <c r="X74" s="26" t="str">
        <f aca="false">IF(OR($A74="",X$4=""),"",IF(NOT(OR(X$6="Toda la plantilla",ISNUMBER(SEARCH(";"&amp;SUBSTITUTE($C74," ","")&amp;";",";"&amp;SUBSTITUTE(X$7," ","")&amp;";")))),"—",IF(_xlfn.MAXIFS(Acuses!$C$5:$C$3004,Acuses!$A$5:$A$3004,$A74,Acuses!$B$5:$B$3004,X$4)&lt;X$5,"Pendiente",IF(X$8=0,"OK",IF(EDATE(_xlfn.MAXIFS(Acuses!$D$5:$D$3004,Acuses!$A$5:$A$3004,$A74,Acuses!$B$5:$B$3004,X$4,Acuses!$C$5:$C$3004,X$5),X$8)&lt;Resumen!$C$4,"Caducado",IF(EDATE(_xlfn.MAXIFS(Acuses!$D$5:$D$3004,Acuses!$A$5:$A$3004,$A74,Acuses!$B$5:$B$3004,X$4,Acuses!$C$5:$C$3004,X$5),X$8)&lt;Resumen!$C$4+30,"Caduca pronto","OK"))))))</f>
        <v/>
      </c>
      <c r="Y74" s="26" t="str">
        <f aca="false">IF(OR($A74="",Y$4=""),"",IF(NOT(OR(Y$6="Toda la plantilla",ISNUMBER(SEARCH(";"&amp;SUBSTITUTE($C74," ","")&amp;";",";"&amp;SUBSTITUTE(Y$7," ","")&amp;";")))),"—",IF(_xlfn.MAXIFS(Acuses!$C$5:$C$3004,Acuses!$A$5:$A$3004,$A74,Acuses!$B$5:$B$3004,Y$4)&lt;Y$5,"Pendiente",IF(Y$8=0,"OK",IF(EDATE(_xlfn.MAXIFS(Acuses!$D$5:$D$3004,Acuses!$A$5:$A$3004,$A74,Acuses!$B$5:$B$3004,Y$4,Acuses!$C$5:$C$3004,Y$5),Y$8)&lt;Resumen!$C$4,"Caducado",IF(EDATE(_xlfn.MAXIFS(Acuses!$D$5:$D$3004,Acuses!$A$5:$A$3004,$A74,Acuses!$B$5:$B$3004,Y$4,Acuses!$C$5:$C$3004,Y$5),Y$8)&lt;Resumen!$C$4+30,"Caduca pronto","OK"))))))</f>
        <v/>
      </c>
      <c r="Z74" s="26" t="str">
        <f aca="false">IF(OR($A74="",Z$4=""),"",IF(NOT(OR(Z$6="Toda la plantilla",ISNUMBER(SEARCH(";"&amp;SUBSTITUTE($C74," ","")&amp;";",";"&amp;SUBSTITUTE(Z$7," ","")&amp;";")))),"—",IF(_xlfn.MAXIFS(Acuses!$C$5:$C$3004,Acuses!$A$5:$A$3004,$A74,Acuses!$B$5:$B$3004,Z$4)&lt;Z$5,"Pendiente",IF(Z$8=0,"OK",IF(EDATE(_xlfn.MAXIFS(Acuses!$D$5:$D$3004,Acuses!$A$5:$A$3004,$A74,Acuses!$B$5:$B$3004,Z$4,Acuses!$C$5:$C$3004,Z$5),Z$8)&lt;Resumen!$C$4,"Caducado",IF(EDATE(_xlfn.MAXIFS(Acuses!$D$5:$D$3004,Acuses!$A$5:$A$3004,$A74,Acuses!$B$5:$B$3004,Z$4,Acuses!$C$5:$C$3004,Z$5),Z$8)&lt;Resumen!$C$4+30,"Caduca pronto","OK"))))))</f>
        <v/>
      </c>
      <c r="AA74" s="26" t="str">
        <f aca="false">IF(OR($A74="",AA$4=""),"",IF(NOT(OR(AA$6="Toda la plantilla",ISNUMBER(SEARCH(";"&amp;SUBSTITUTE($C74," ","")&amp;";",";"&amp;SUBSTITUTE(AA$7," ","")&amp;";")))),"—",IF(_xlfn.MAXIFS(Acuses!$C$5:$C$3004,Acuses!$A$5:$A$3004,$A74,Acuses!$B$5:$B$3004,AA$4)&lt;AA$5,"Pendiente",IF(AA$8=0,"OK",IF(EDATE(_xlfn.MAXIFS(Acuses!$D$5:$D$3004,Acuses!$A$5:$A$3004,$A74,Acuses!$B$5:$B$3004,AA$4,Acuses!$C$5:$C$3004,AA$5),AA$8)&lt;Resumen!$C$4,"Caducado",IF(EDATE(_xlfn.MAXIFS(Acuses!$D$5:$D$3004,Acuses!$A$5:$A$3004,$A74,Acuses!$B$5:$B$3004,AA$4,Acuses!$C$5:$C$3004,AA$5),AA$8)&lt;Resumen!$C$4+30,"Caduca pronto","OK"))))))</f>
        <v/>
      </c>
      <c r="AB74" s="26" t="str">
        <f aca="false">IF(OR($A74="",AB$4=""),"",IF(NOT(OR(AB$6="Toda la plantilla",ISNUMBER(SEARCH(";"&amp;SUBSTITUTE($C74," ","")&amp;";",";"&amp;SUBSTITUTE(AB$7," ","")&amp;";")))),"—",IF(_xlfn.MAXIFS(Acuses!$C$5:$C$3004,Acuses!$A$5:$A$3004,$A74,Acuses!$B$5:$B$3004,AB$4)&lt;AB$5,"Pendiente",IF(AB$8=0,"OK",IF(EDATE(_xlfn.MAXIFS(Acuses!$D$5:$D$3004,Acuses!$A$5:$A$3004,$A74,Acuses!$B$5:$B$3004,AB$4,Acuses!$C$5:$C$3004,AB$5),AB$8)&lt;Resumen!$C$4,"Caducado",IF(EDATE(_xlfn.MAXIFS(Acuses!$D$5:$D$3004,Acuses!$A$5:$A$3004,$A74,Acuses!$B$5:$B$3004,AB$4,Acuses!$C$5:$C$3004,AB$5),AB$8)&lt;Resumen!$C$4+30,"Caduca pronto","OK"))))))</f>
        <v/>
      </c>
      <c r="AC74" s="26" t="str">
        <f aca="false">IF(OR($A74="",AC$4=""),"",IF(NOT(OR(AC$6="Toda la plantilla",ISNUMBER(SEARCH(";"&amp;SUBSTITUTE($C74," ","")&amp;";",";"&amp;SUBSTITUTE(AC$7," ","")&amp;";")))),"—",IF(_xlfn.MAXIFS(Acuses!$C$5:$C$3004,Acuses!$A$5:$A$3004,$A74,Acuses!$B$5:$B$3004,AC$4)&lt;AC$5,"Pendiente",IF(AC$8=0,"OK",IF(EDATE(_xlfn.MAXIFS(Acuses!$D$5:$D$3004,Acuses!$A$5:$A$3004,$A74,Acuses!$B$5:$B$3004,AC$4,Acuses!$C$5:$C$3004,AC$5),AC$8)&lt;Resumen!$C$4,"Caducado",IF(EDATE(_xlfn.MAXIFS(Acuses!$D$5:$D$3004,Acuses!$A$5:$A$3004,$A74,Acuses!$B$5:$B$3004,AC$4,Acuses!$C$5:$C$3004,AC$5),AC$8)&lt;Resumen!$C$4+30,"Caduca pronto","OK"))))))</f>
        <v/>
      </c>
      <c r="AD74" s="26" t="str">
        <f aca="false">IF(OR($A74="",AD$4=""),"",IF(NOT(OR(AD$6="Toda la plantilla",ISNUMBER(SEARCH(";"&amp;SUBSTITUTE($C74," ","")&amp;";",";"&amp;SUBSTITUTE(AD$7," ","")&amp;";")))),"—",IF(_xlfn.MAXIFS(Acuses!$C$5:$C$3004,Acuses!$A$5:$A$3004,$A74,Acuses!$B$5:$B$3004,AD$4)&lt;AD$5,"Pendiente",IF(AD$8=0,"OK",IF(EDATE(_xlfn.MAXIFS(Acuses!$D$5:$D$3004,Acuses!$A$5:$A$3004,$A74,Acuses!$B$5:$B$3004,AD$4,Acuses!$C$5:$C$3004,AD$5),AD$8)&lt;Resumen!$C$4,"Caducado",IF(EDATE(_xlfn.MAXIFS(Acuses!$D$5:$D$3004,Acuses!$A$5:$A$3004,$A74,Acuses!$B$5:$B$3004,AD$4,Acuses!$C$5:$C$3004,AD$5),AD$8)&lt;Resumen!$C$4+30,"Caduca pronto","OK"))))))</f>
        <v/>
      </c>
      <c r="AE74" s="26" t="str">
        <f aca="false">IF(OR($A74="",AE$4=""),"",IF(NOT(OR(AE$6="Toda la plantilla",ISNUMBER(SEARCH(";"&amp;SUBSTITUTE($C74," ","")&amp;";",";"&amp;SUBSTITUTE(AE$7," ","")&amp;";")))),"—",IF(_xlfn.MAXIFS(Acuses!$C$5:$C$3004,Acuses!$A$5:$A$3004,$A74,Acuses!$B$5:$B$3004,AE$4)&lt;AE$5,"Pendiente",IF(AE$8=0,"OK",IF(EDATE(_xlfn.MAXIFS(Acuses!$D$5:$D$3004,Acuses!$A$5:$A$3004,$A74,Acuses!$B$5:$B$3004,AE$4,Acuses!$C$5:$C$3004,AE$5),AE$8)&lt;Resumen!$C$4,"Caducado",IF(EDATE(_xlfn.MAXIFS(Acuses!$D$5:$D$3004,Acuses!$A$5:$A$3004,$A74,Acuses!$B$5:$B$3004,AE$4,Acuses!$C$5:$C$3004,AE$5),AE$8)&lt;Resumen!$C$4+30,"Caduca pronto","OK"))))))</f>
        <v/>
      </c>
      <c r="AF74" s="26" t="str">
        <f aca="false">IF(OR($A74="",AF$4=""),"",IF(NOT(OR(AF$6="Toda la plantilla",ISNUMBER(SEARCH(";"&amp;SUBSTITUTE($C74," ","")&amp;";",";"&amp;SUBSTITUTE(AF$7," ","")&amp;";")))),"—",IF(_xlfn.MAXIFS(Acuses!$C$5:$C$3004,Acuses!$A$5:$A$3004,$A74,Acuses!$B$5:$B$3004,AF$4)&lt;AF$5,"Pendiente",IF(AF$8=0,"OK",IF(EDATE(_xlfn.MAXIFS(Acuses!$D$5:$D$3004,Acuses!$A$5:$A$3004,$A74,Acuses!$B$5:$B$3004,AF$4,Acuses!$C$5:$C$3004,AF$5),AF$8)&lt;Resumen!$C$4,"Caducado",IF(EDATE(_xlfn.MAXIFS(Acuses!$D$5:$D$3004,Acuses!$A$5:$A$3004,$A74,Acuses!$B$5:$B$3004,AF$4,Acuses!$C$5:$C$3004,AF$5),AF$8)&lt;Resumen!$C$4+30,"Caduca pronto","OK"))))))</f>
        <v/>
      </c>
      <c r="AG74" s="26" t="str">
        <f aca="false">IF(OR($A74="",AG$4=""),"",IF(NOT(OR(AG$6="Toda la plantilla",ISNUMBER(SEARCH(";"&amp;SUBSTITUTE($C74," ","")&amp;";",";"&amp;SUBSTITUTE(AG$7," ","")&amp;";")))),"—",IF(_xlfn.MAXIFS(Acuses!$C$5:$C$3004,Acuses!$A$5:$A$3004,$A74,Acuses!$B$5:$B$3004,AG$4)&lt;AG$5,"Pendiente",IF(AG$8=0,"OK",IF(EDATE(_xlfn.MAXIFS(Acuses!$D$5:$D$3004,Acuses!$A$5:$A$3004,$A74,Acuses!$B$5:$B$3004,AG$4,Acuses!$C$5:$C$3004,AG$5),AG$8)&lt;Resumen!$C$4,"Caducado",IF(EDATE(_xlfn.MAXIFS(Acuses!$D$5:$D$3004,Acuses!$A$5:$A$3004,$A74,Acuses!$B$5:$B$3004,AG$4,Acuses!$C$5:$C$3004,AG$5),AG$8)&lt;Resumen!$C$4+30,"Caduca pronto","OK"))))))</f>
        <v/>
      </c>
      <c r="AH74" s="26" t="str">
        <f aca="false">IF(OR($A74="",AH$4=""),"",IF(NOT(OR(AH$6="Toda la plantilla",ISNUMBER(SEARCH(";"&amp;SUBSTITUTE($C74," ","")&amp;";",";"&amp;SUBSTITUTE(AH$7," ","")&amp;";")))),"—",IF(_xlfn.MAXIFS(Acuses!$C$5:$C$3004,Acuses!$A$5:$A$3004,$A74,Acuses!$B$5:$B$3004,AH$4)&lt;AH$5,"Pendiente",IF(AH$8=0,"OK",IF(EDATE(_xlfn.MAXIFS(Acuses!$D$5:$D$3004,Acuses!$A$5:$A$3004,$A74,Acuses!$B$5:$B$3004,AH$4,Acuses!$C$5:$C$3004,AH$5),AH$8)&lt;Resumen!$C$4,"Caducado",IF(EDATE(_xlfn.MAXIFS(Acuses!$D$5:$D$3004,Acuses!$A$5:$A$3004,$A74,Acuses!$B$5:$B$3004,AH$4,Acuses!$C$5:$C$3004,AH$5),AH$8)&lt;Resumen!$C$4+30,"Caduca pronto","OK"))))))</f>
        <v/>
      </c>
      <c r="AI74" s="26" t="str">
        <f aca="false">IF(OR($A74="",AI$4=""),"",IF(NOT(OR(AI$6="Toda la plantilla",ISNUMBER(SEARCH(";"&amp;SUBSTITUTE($C74," ","")&amp;";",";"&amp;SUBSTITUTE(AI$7," ","")&amp;";")))),"—",IF(_xlfn.MAXIFS(Acuses!$C$5:$C$3004,Acuses!$A$5:$A$3004,$A74,Acuses!$B$5:$B$3004,AI$4)&lt;AI$5,"Pendiente",IF(AI$8=0,"OK",IF(EDATE(_xlfn.MAXIFS(Acuses!$D$5:$D$3004,Acuses!$A$5:$A$3004,$A74,Acuses!$B$5:$B$3004,AI$4,Acuses!$C$5:$C$3004,AI$5),AI$8)&lt;Resumen!$C$4,"Caducado",IF(EDATE(_xlfn.MAXIFS(Acuses!$D$5:$D$3004,Acuses!$A$5:$A$3004,$A74,Acuses!$B$5:$B$3004,AI$4,Acuses!$C$5:$C$3004,AI$5),AI$8)&lt;Resumen!$C$4+30,"Caduca pronto","OK"))))))</f>
        <v/>
      </c>
      <c r="AJ74" s="26" t="str">
        <f aca="false">IF(OR($A74="",AJ$4=""),"",IF(NOT(OR(AJ$6="Toda la plantilla",ISNUMBER(SEARCH(";"&amp;SUBSTITUTE($C74," ","")&amp;";",";"&amp;SUBSTITUTE(AJ$7," ","")&amp;";")))),"—",IF(_xlfn.MAXIFS(Acuses!$C$5:$C$3004,Acuses!$A$5:$A$3004,$A74,Acuses!$B$5:$B$3004,AJ$4)&lt;AJ$5,"Pendiente",IF(AJ$8=0,"OK",IF(EDATE(_xlfn.MAXIFS(Acuses!$D$5:$D$3004,Acuses!$A$5:$A$3004,$A74,Acuses!$B$5:$B$3004,AJ$4,Acuses!$C$5:$C$3004,AJ$5),AJ$8)&lt;Resumen!$C$4,"Caducado",IF(EDATE(_xlfn.MAXIFS(Acuses!$D$5:$D$3004,Acuses!$A$5:$A$3004,$A74,Acuses!$B$5:$B$3004,AJ$4,Acuses!$C$5:$C$3004,AJ$5),AJ$8)&lt;Resumen!$C$4+30,"Caduca pronto","OK"))))))</f>
        <v/>
      </c>
      <c r="AK74" s="26" t="str">
        <f aca="false">IF(OR($A74="",AK$4=""),"",IF(NOT(OR(AK$6="Toda la plantilla",ISNUMBER(SEARCH(";"&amp;SUBSTITUTE($C74," ","")&amp;";",";"&amp;SUBSTITUTE(AK$7," ","")&amp;";")))),"—",IF(_xlfn.MAXIFS(Acuses!$C$5:$C$3004,Acuses!$A$5:$A$3004,$A74,Acuses!$B$5:$B$3004,AK$4)&lt;AK$5,"Pendiente",IF(AK$8=0,"OK",IF(EDATE(_xlfn.MAXIFS(Acuses!$D$5:$D$3004,Acuses!$A$5:$A$3004,$A74,Acuses!$B$5:$B$3004,AK$4,Acuses!$C$5:$C$3004,AK$5),AK$8)&lt;Resumen!$C$4,"Caducado",IF(EDATE(_xlfn.MAXIFS(Acuses!$D$5:$D$3004,Acuses!$A$5:$A$3004,$A74,Acuses!$B$5:$B$3004,AK$4,Acuses!$C$5:$C$3004,AK$5),AK$8)&lt;Resumen!$C$4+30,"Caduca pronto","OK"))))))</f>
        <v/>
      </c>
      <c r="AL74" s="26" t="str">
        <f aca="false">IF(OR($A74="",AL$4=""),"",IF(NOT(OR(AL$6="Toda la plantilla",ISNUMBER(SEARCH(";"&amp;SUBSTITUTE($C74," ","")&amp;";",";"&amp;SUBSTITUTE(AL$7," ","")&amp;";")))),"—",IF(_xlfn.MAXIFS(Acuses!$C$5:$C$3004,Acuses!$A$5:$A$3004,$A74,Acuses!$B$5:$B$3004,AL$4)&lt;AL$5,"Pendiente",IF(AL$8=0,"OK",IF(EDATE(_xlfn.MAXIFS(Acuses!$D$5:$D$3004,Acuses!$A$5:$A$3004,$A74,Acuses!$B$5:$B$3004,AL$4,Acuses!$C$5:$C$3004,AL$5),AL$8)&lt;Resumen!$C$4,"Caducado",IF(EDATE(_xlfn.MAXIFS(Acuses!$D$5:$D$3004,Acuses!$A$5:$A$3004,$A74,Acuses!$B$5:$B$3004,AL$4,Acuses!$C$5:$C$3004,AL$5),AL$8)&lt;Resumen!$C$4+30,"Caduca pronto","OK"))))))</f>
        <v/>
      </c>
      <c r="AM74" s="26" t="str">
        <f aca="false">IF(OR($A74="",AM$4=""),"",IF(NOT(OR(AM$6="Toda la plantilla",ISNUMBER(SEARCH(";"&amp;SUBSTITUTE($C74," ","")&amp;";",";"&amp;SUBSTITUTE(AM$7," ","")&amp;";")))),"—",IF(_xlfn.MAXIFS(Acuses!$C$5:$C$3004,Acuses!$A$5:$A$3004,$A74,Acuses!$B$5:$B$3004,AM$4)&lt;AM$5,"Pendiente",IF(AM$8=0,"OK",IF(EDATE(_xlfn.MAXIFS(Acuses!$D$5:$D$3004,Acuses!$A$5:$A$3004,$A74,Acuses!$B$5:$B$3004,AM$4,Acuses!$C$5:$C$3004,AM$5),AM$8)&lt;Resumen!$C$4,"Caducado",IF(EDATE(_xlfn.MAXIFS(Acuses!$D$5:$D$3004,Acuses!$A$5:$A$3004,$A74,Acuses!$B$5:$B$3004,AM$4,Acuses!$C$5:$C$3004,AM$5),AM$8)&lt;Resumen!$C$4+30,"Caduca pronto","OK"))))))</f>
        <v/>
      </c>
      <c r="AN74" s="26" t="str">
        <f aca="false">IF(OR($A74="",AN$4=""),"",IF(NOT(OR(AN$6="Toda la plantilla",ISNUMBER(SEARCH(";"&amp;SUBSTITUTE($C74," ","")&amp;";",";"&amp;SUBSTITUTE(AN$7," ","")&amp;";")))),"—",IF(_xlfn.MAXIFS(Acuses!$C$5:$C$3004,Acuses!$A$5:$A$3004,$A74,Acuses!$B$5:$B$3004,AN$4)&lt;AN$5,"Pendiente",IF(AN$8=0,"OK",IF(EDATE(_xlfn.MAXIFS(Acuses!$D$5:$D$3004,Acuses!$A$5:$A$3004,$A74,Acuses!$B$5:$B$3004,AN$4,Acuses!$C$5:$C$3004,AN$5),AN$8)&lt;Resumen!$C$4,"Caducado",IF(EDATE(_xlfn.MAXIFS(Acuses!$D$5:$D$3004,Acuses!$A$5:$A$3004,$A74,Acuses!$B$5:$B$3004,AN$4,Acuses!$C$5:$C$3004,AN$5),AN$8)&lt;Resumen!$C$4+30,"Caduca pronto","OK"))))))</f>
        <v/>
      </c>
      <c r="AO74" s="26" t="str">
        <f aca="false">IF(OR($A74="",AO$4=""),"",IF(NOT(OR(AO$6="Toda la plantilla",ISNUMBER(SEARCH(";"&amp;SUBSTITUTE($C74," ","")&amp;";",";"&amp;SUBSTITUTE(AO$7," ","")&amp;";")))),"—",IF(_xlfn.MAXIFS(Acuses!$C$5:$C$3004,Acuses!$A$5:$A$3004,$A74,Acuses!$B$5:$B$3004,AO$4)&lt;AO$5,"Pendiente",IF(AO$8=0,"OK",IF(EDATE(_xlfn.MAXIFS(Acuses!$D$5:$D$3004,Acuses!$A$5:$A$3004,$A74,Acuses!$B$5:$B$3004,AO$4,Acuses!$C$5:$C$3004,AO$5),AO$8)&lt;Resumen!$C$4,"Caducado",IF(EDATE(_xlfn.MAXIFS(Acuses!$D$5:$D$3004,Acuses!$A$5:$A$3004,$A74,Acuses!$B$5:$B$3004,AO$4,Acuses!$C$5:$C$3004,AO$5),AO$8)&lt;Resumen!$C$4+30,"Caduca pronto","OK"))))))</f>
        <v/>
      </c>
      <c r="AP74" s="26" t="str">
        <f aca="false">IF(OR($A74="",AP$4=""),"",IF(NOT(OR(AP$6="Toda la plantilla",ISNUMBER(SEARCH(";"&amp;SUBSTITUTE($C74," ","")&amp;";",";"&amp;SUBSTITUTE(AP$7," ","")&amp;";")))),"—",IF(_xlfn.MAXIFS(Acuses!$C$5:$C$3004,Acuses!$A$5:$A$3004,$A74,Acuses!$B$5:$B$3004,AP$4)&lt;AP$5,"Pendiente",IF(AP$8=0,"OK",IF(EDATE(_xlfn.MAXIFS(Acuses!$D$5:$D$3004,Acuses!$A$5:$A$3004,$A74,Acuses!$B$5:$B$3004,AP$4,Acuses!$C$5:$C$3004,AP$5),AP$8)&lt;Resumen!$C$4,"Caducado",IF(EDATE(_xlfn.MAXIFS(Acuses!$D$5:$D$3004,Acuses!$A$5:$A$3004,$A74,Acuses!$B$5:$B$3004,AP$4,Acuses!$C$5:$C$3004,AP$5),AP$8)&lt;Resumen!$C$4+30,"Caduca pronto","OK"))))))</f>
        <v/>
      </c>
      <c r="AQ74" s="26" t="str">
        <f aca="false">IF(OR($A74="",AQ$4=""),"",IF(NOT(OR(AQ$6="Toda la plantilla",ISNUMBER(SEARCH(";"&amp;SUBSTITUTE($C74," ","")&amp;";",";"&amp;SUBSTITUTE(AQ$7," ","")&amp;";")))),"—",IF(_xlfn.MAXIFS(Acuses!$C$5:$C$3004,Acuses!$A$5:$A$3004,$A74,Acuses!$B$5:$B$3004,AQ$4)&lt;AQ$5,"Pendiente",IF(AQ$8=0,"OK",IF(EDATE(_xlfn.MAXIFS(Acuses!$D$5:$D$3004,Acuses!$A$5:$A$3004,$A74,Acuses!$B$5:$B$3004,AQ$4,Acuses!$C$5:$C$3004,AQ$5),AQ$8)&lt;Resumen!$C$4,"Caducado",IF(EDATE(_xlfn.MAXIFS(Acuses!$D$5:$D$3004,Acuses!$A$5:$A$3004,$A74,Acuses!$B$5:$B$3004,AQ$4,Acuses!$C$5:$C$3004,AQ$5),AQ$8)&lt;Resumen!$C$4+30,"Caduca pronto","OK"))))))</f>
        <v/>
      </c>
    </row>
    <row r="75" customFormat="false" ht="15" hidden="false" customHeight="false" outlineLevel="0" collapsed="false">
      <c r="A75" s="25" t="str">
        <f aca="false">IF(AND(Trabajadores!$A$70&lt;&gt;"",Trabajadores!$G$70&lt;&gt;"No"),Trabajadores!$A$70,"")</f>
        <v/>
      </c>
      <c r="B75" s="25" t="str">
        <f aca="false">IF($A75="","",Trabajadores!$B$70)</f>
        <v/>
      </c>
      <c r="C75" s="25" t="str">
        <f aca="false">IF($A75="","",Trabajadores!$C$70)</f>
        <v/>
      </c>
      <c r="D75" s="26" t="str">
        <f aca="false">IF(OR($A75="",D$4=""),"",IF(NOT(OR(D$6="Toda la plantilla",ISNUMBER(SEARCH(";"&amp;SUBSTITUTE($C75," ","")&amp;";",";"&amp;SUBSTITUTE(D$7," ","")&amp;";")))),"—",IF(_xlfn.MAXIFS(Acuses!$C$5:$C$3004,Acuses!$A$5:$A$3004,$A75,Acuses!$B$5:$B$3004,D$4)&lt;D$5,"Pendiente",IF(D$8=0,"OK",IF(EDATE(_xlfn.MAXIFS(Acuses!$D$5:$D$3004,Acuses!$A$5:$A$3004,$A75,Acuses!$B$5:$B$3004,D$4,Acuses!$C$5:$C$3004,D$5),D$8)&lt;Resumen!$C$4,"Caducado",IF(EDATE(_xlfn.MAXIFS(Acuses!$D$5:$D$3004,Acuses!$A$5:$A$3004,$A75,Acuses!$B$5:$B$3004,D$4,Acuses!$C$5:$C$3004,D$5),D$8)&lt;Resumen!$C$4+30,"Caduca pronto","OK"))))))</f>
        <v/>
      </c>
      <c r="E75" s="26" t="str">
        <f aca="false">IF(OR($A75="",E$4=""),"",IF(NOT(OR(E$6="Toda la plantilla",ISNUMBER(SEARCH(";"&amp;SUBSTITUTE($C75," ","")&amp;";",";"&amp;SUBSTITUTE(E$7," ","")&amp;";")))),"—",IF(_xlfn.MAXIFS(Acuses!$C$5:$C$3004,Acuses!$A$5:$A$3004,$A75,Acuses!$B$5:$B$3004,E$4)&lt;E$5,"Pendiente",IF(E$8=0,"OK",IF(EDATE(_xlfn.MAXIFS(Acuses!$D$5:$D$3004,Acuses!$A$5:$A$3004,$A75,Acuses!$B$5:$B$3004,E$4,Acuses!$C$5:$C$3004,E$5),E$8)&lt;Resumen!$C$4,"Caducado",IF(EDATE(_xlfn.MAXIFS(Acuses!$D$5:$D$3004,Acuses!$A$5:$A$3004,$A75,Acuses!$B$5:$B$3004,E$4,Acuses!$C$5:$C$3004,E$5),E$8)&lt;Resumen!$C$4+30,"Caduca pronto","OK"))))))</f>
        <v/>
      </c>
      <c r="F75" s="26" t="str">
        <f aca="false">IF(OR($A75="",F$4=""),"",IF(NOT(OR(F$6="Toda la plantilla",ISNUMBER(SEARCH(";"&amp;SUBSTITUTE($C75," ","")&amp;";",";"&amp;SUBSTITUTE(F$7," ","")&amp;";")))),"—",IF(_xlfn.MAXIFS(Acuses!$C$5:$C$3004,Acuses!$A$5:$A$3004,$A75,Acuses!$B$5:$B$3004,F$4)&lt;F$5,"Pendiente",IF(F$8=0,"OK",IF(EDATE(_xlfn.MAXIFS(Acuses!$D$5:$D$3004,Acuses!$A$5:$A$3004,$A75,Acuses!$B$5:$B$3004,F$4,Acuses!$C$5:$C$3004,F$5),F$8)&lt;Resumen!$C$4,"Caducado",IF(EDATE(_xlfn.MAXIFS(Acuses!$D$5:$D$3004,Acuses!$A$5:$A$3004,$A75,Acuses!$B$5:$B$3004,F$4,Acuses!$C$5:$C$3004,F$5),F$8)&lt;Resumen!$C$4+30,"Caduca pronto","OK"))))))</f>
        <v/>
      </c>
      <c r="G75" s="26" t="str">
        <f aca="false">IF(OR($A75="",G$4=""),"",IF(NOT(OR(G$6="Toda la plantilla",ISNUMBER(SEARCH(";"&amp;SUBSTITUTE($C75," ","")&amp;";",";"&amp;SUBSTITUTE(G$7," ","")&amp;";")))),"—",IF(_xlfn.MAXIFS(Acuses!$C$5:$C$3004,Acuses!$A$5:$A$3004,$A75,Acuses!$B$5:$B$3004,G$4)&lt;G$5,"Pendiente",IF(G$8=0,"OK",IF(EDATE(_xlfn.MAXIFS(Acuses!$D$5:$D$3004,Acuses!$A$5:$A$3004,$A75,Acuses!$B$5:$B$3004,G$4,Acuses!$C$5:$C$3004,G$5),G$8)&lt;Resumen!$C$4,"Caducado",IF(EDATE(_xlfn.MAXIFS(Acuses!$D$5:$D$3004,Acuses!$A$5:$A$3004,$A75,Acuses!$B$5:$B$3004,G$4,Acuses!$C$5:$C$3004,G$5),G$8)&lt;Resumen!$C$4+30,"Caduca pronto","OK"))))))</f>
        <v/>
      </c>
      <c r="H75" s="26" t="str">
        <f aca="false">IF(OR($A75="",H$4=""),"",IF(NOT(OR(H$6="Toda la plantilla",ISNUMBER(SEARCH(";"&amp;SUBSTITUTE($C75," ","")&amp;";",";"&amp;SUBSTITUTE(H$7," ","")&amp;";")))),"—",IF(_xlfn.MAXIFS(Acuses!$C$5:$C$3004,Acuses!$A$5:$A$3004,$A75,Acuses!$B$5:$B$3004,H$4)&lt;H$5,"Pendiente",IF(H$8=0,"OK",IF(EDATE(_xlfn.MAXIFS(Acuses!$D$5:$D$3004,Acuses!$A$5:$A$3004,$A75,Acuses!$B$5:$B$3004,H$4,Acuses!$C$5:$C$3004,H$5),H$8)&lt;Resumen!$C$4,"Caducado",IF(EDATE(_xlfn.MAXIFS(Acuses!$D$5:$D$3004,Acuses!$A$5:$A$3004,$A75,Acuses!$B$5:$B$3004,H$4,Acuses!$C$5:$C$3004,H$5),H$8)&lt;Resumen!$C$4+30,"Caduca pronto","OK"))))))</f>
        <v/>
      </c>
      <c r="I75" s="26" t="str">
        <f aca="false">IF(OR($A75="",I$4=""),"",IF(NOT(OR(I$6="Toda la plantilla",ISNUMBER(SEARCH(";"&amp;SUBSTITUTE($C75," ","")&amp;";",";"&amp;SUBSTITUTE(I$7," ","")&amp;";")))),"—",IF(_xlfn.MAXIFS(Acuses!$C$5:$C$3004,Acuses!$A$5:$A$3004,$A75,Acuses!$B$5:$B$3004,I$4)&lt;I$5,"Pendiente",IF(I$8=0,"OK",IF(EDATE(_xlfn.MAXIFS(Acuses!$D$5:$D$3004,Acuses!$A$5:$A$3004,$A75,Acuses!$B$5:$B$3004,I$4,Acuses!$C$5:$C$3004,I$5),I$8)&lt;Resumen!$C$4,"Caducado",IF(EDATE(_xlfn.MAXIFS(Acuses!$D$5:$D$3004,Acuses!$A$5:$A$3004,$A75,Acuses!$B$5:$B$3004,I$4,Acuses!$C$5:$C$3004,I$5),I$8)&lt;Resumen!$C$4+30,"Caduca pronto","OK"))))))</f>
        <v/>
      </c>
      <c r="J75" s="26" t="str">
        <f aca="false">IF(OR($A75="",J$4=""),"",IF(NOT(OR(J$6="Toda la plantilla",ISNUMBER(SEARCH(";"&amp;SUBSTITUTE($C75," ","")&amp;";",";"&amp;SUBSTITUTE(J$7," ","")&amp;";")))),"—",IF(_xlfn.MAXIFS(Acuses!$C$5:$C$3004,Acuses!$A$5:$A$3004,$A75,Acuses!$B$5:$B$3004,J$4)&lt;J$5,"Pendiente",IF(J$8=0,"OK",IF(EDATE(_xlfn.MAXIFS(Acuses!$D$5:$D$3004,Acuses!$A$5:$A$3004,$A75,Acuses!$B$5:$B$3004,J$4,Acuses!$C$5:$C$3004,J$5),J$8)&lt;Resumen!$C$4,"Caducado",IF(EDATE(_xlfn.MAXIFS(Acuses!$D$5:$D$3004,Acuses!$A$5:$A$3004,$A75,Acuses!$B$5:$B$3004,J$4,Acuses!$C$5:$C$3004,J$5),J$8)&lt;Resumen!$C$4+30,"Caduca pronto","OK"))))))</f>
        <v/>
      </c>
      <c r="K75" s="26" t="str">
        <f aca="false">IF(OR($A75="",K$4=""),"",IF(NOT(OR(K$6="Toda la plantilla",ISNUMBER(SEARCH(";"&amp;SUBSTITUTE($C75," ","")&amp;";",";"&amp;SUBSTITUTE(K$7," ","")&amp;";")))),"—",IF(_xlfn.MAXIFS(Acuses!$C$5:$C$3004,Acuses!$A$5:$A$3004,$A75,Acuses!$B$5:$B$3004,K$4)&lt;K$5,"Pendiente",IF(K$8=0,"OK",IF(EDATE(_xlfn.MAXIFS(Acuses!$D$5:$D$3004,Acuses!$A$5:$A$3004,$A75,Acuses!$B$5:$B$3004,K$4,Acuses!$C$5:$C$3004,K$5),K$8)&lt;Resumen!$C$4,"Caducado",IF(EDATE(_xlfn.MAXIFS(Acuses!$D$5:$D$3004,Acuses!$A$5:$A$3004,$A75,Acuses!$B$5:$B$3004,K$4,Acuses!$C$5:$C$3004,K$5),K$8)&lt;Resumen!$C$4+30,"Caduca pronto","OK"))))))</f>
        <v/>
      </c>
      <c r="L75" s="26" t="str">
        <f aca="false">IF(OR($A75="",L$4=""),"",IF(NOT(OR(L$6="Toda la plantilla",ISNUMBER(SEARCH(";"&amp;SUBSTITUTE($C75," ","")&amp;";",";"&amp;SUBSTITUTE(L$7," ","")&amp;";")))),"—",IF(_xlfn.MAXIFS(Acuses!$C$5:$C$3004,Acuses!$A$5:$A$3004,$A75,Acuses!$B$5:$B$3004,L$4)&lt;L$5,"Pendiente",IF(L$8=0,"OK",IF(EDATE(_xlfn.MAXIFS(Acuses!$D$5:$D$3004,Acuses!$A$5:$A$3004,$A75,Acuses!$B$5:$B$3004,L$4,Acuses!$C$5:$C$3004,L$5),L$8)&lt;Resumen!$C$4,"Caducado",IF(EDATE(_xlfn.MAXIFS(Acuses!$D$5:$D$3004,Acuses!$A$5:$A$3004,$A75,Acuses!$B$5:$B$3004,L$4,Acuses!$C$5:$C$3004,L$5),L$8)&lt;Resumen!$C$4+30,"Caduca pronto","OK"))))))</f>
        <v/>
      </c>
      <c r="M75" s="26" t="str">
        <f aca="false">IF(OR($A75="",M$4=""),"",IF(NOT(OR(M$6="Toda la plantilla",ISNUMBER(SEARCH(";"&amp;SUBSTITUTE($C75," ","")&amp;";",";"&amp;SUBSTITUTE(M$7," ","")&amp;";")))),"—",IF(_xlfn.MAXIFS(Acuses!$C$5:$C$3004,Acuses!$A$5:$A$3004,$A75,Acuses!$B$5:$B$3004,M$4)&lt;M$5,"Pendiente",IF(M$8=0,"OK",IF(EDATE(_xlfn.MAXIFS(Acuses!$D$5:$D$3004,Acuses!$A$5:$A$3004,$A75,Acuses!$B$5:$B$3004,M$4,Acuses!$C$5:$C$3004,M$5),M$8)&lt;Resumen!$C$4,"Caducado",IF(EDATE(_xlfn.MAXIFS(Acuses!$D$5:$D$3004,Acuses!$A$5:$A$3004,$A75,Acuses!$B$5:$B$3004,M$4,Acuses!$C$5:$C$3004,M$5),M$8)&lt;Resumen!$C$4+30,"Caduca pronto","OK"))))))</f>
        <v/>
      </c>
      <c r="N75" s="26" t="str">
        <f aca="false">IF(OR($A75="",N$4=""),"",IF(NOT(OR(N$6="Toda la plantilla",ISNUMBER(SEARCH(";"&amp;SUBSTITUTE($C75," ","")&amp;";",";"&amp;SUBSTITUTE(N$7," ","")&amp;";")))),"—",IF(_xlfn.MAXIFS(Acuses!$C$5:$C$3004,Acuses!$A$5:$A$3004,$A75,Acuses!$B$5:$B$3004,N$4)&lt;N$5,"Pendiente",IF(N$8=0,"OK",IF(EDATE(_xlfn.MAXIFS(Acuses!$D$5:$D$3004,Acuses!$A$5:$A$3004,$A75,Acuses!$B$5:$B$3004,N$4,Acuses!$C$5:$C$3004,N$5),N$8)&lt;Resumen!$C$4,"Caducado",IF(EDATE(_xlfn.MAXIFS(Acuses!$D$5:$D$3004,Acuses!$A$5:$A$3004,$A75,Acuses!$B$5:$B$3004,N$4,Acuses!$C$5:$C$3004,N$5),N$8)&lt;Resumen!$C$4+30,"Caduca pronto","OK"))))))</f>
        <v/>
      </c>
      <c r="O75" s="26" t="str">
        <f aca="false">IF(OR($A75="",O$4=""),"",IF(NOT(OR(O$6="Toda la plantilla",ISNUMBER(SEARCH(";"&amp;SUBSTITUTE($C75," ","")&amp;";",";"&amp;SUBSTITUTE(O$7," ","")&amp;";")))),"—",IF(_xlfn.MAXIFS(Acuses!$C$5:$C$3004,Acuses!$A$5:$A$3004,$A75,Acuses!$B$5:$B$3004,O$4)&lt;O$5,"Pendiente",IF(O$8=0,"OK",IF(EDATE(_xlfn.MAXIFS(Acuses!$D$5:$D$3004,Acuses!$A$5:$A$3004,$A75,Acuses!$B$5:$B$3004,O$4,Acuses!$C$5:$C$3004,O$5),O$8)&lt;Resumen!$C$4,"Caducado",IF(EDATE(_xlfn.MAXIFS(Acuses!$D$5:$D$3004,Acuses!$A$5:$A$3004,$A75,Acuses!$B$5:$B$3004,O$4,Acuses!$C$5:$C$3004,O$5),O$8)&lt;Resumen!$C$4+30,"Caduca pronto","OK"))))))</f>
        <v/>
      </c>
      <c r="P75" s="26" t="str">
        <f aca="false">IF(OR($A75="",P$4=""),"",IF(NOT(OR(P$6="Toda la plantilla",ISNUMBER(SEARCH(";"&amp;SUBSTITUTE($C75," ","")&amp;";",";"&amp;SUBSTITUTE(P$7," ","")&amp;";")))),"—",IF(_xlfn.MAXIFS(Acuses!$C$5:$C$3004,Acuses!$A$5:$A$3004,$A75,Acuses!$B$5:$B$3004,P$4)&lt;P$5,"Pendiente",IF(P$8=0,"OK",IF(EDATE(_xlfn.MAXIFS(Acuses!$D$5:$D$3004,Acuses!$A$5:$A$3004,$A75,Acuses!$B$5:$B$3004,P$4,Acuses!$C$5:$C$3004,P$5),P$8)&lt;Resumen!$C$4,"Caducado",IF(EDATE(_xlfn.MAXIFS(Acuses!$D$5:$D$3004,Acuses!$A$5:$A$3004,$A75,Acuses!$B$5:$B$3004,P$4,Acuses!$C$5:$C$3004,P$5),P$8)&lt;Resumen!$C$4+30,"Caduca pronto","OK"))))))</f>
        <v/>
      </c>
      <c r="Q75" s="26" t="str">
        <f aca="false">IF(OR($A75="",Q$4=""),"",IF(NOT(OR(Q$6="Toda la plantilla",ISNUMBER(SEARCH(";"&amp;SUBSTITUTE($C75," ","")&amp;";",";"&amp;SUBSTITUTE(Q$7," ","")&amp;";")))),"—",IF(_xlfn.MAXIFS(Acuses!$C$5:$C$3004,Acuses!$A$5:$A$3004,$A75,Acuses!$B$5:$B$3004,Q$4)&lt;Q$5,"Pendiente",IF(Q$8=0,"OK",IF(EDATE(_xlfn.MAXIFS(Acuses!$D$5:$D$3004,Acuses!$A$5:$A$3004,$A75,Acuses!$B$5:$B$3004,Q$4,Acuses!$C$5:$C$3004,Q$5),Q$8)&lt;Resumen!$C$4,"Caducado",IF(EDATE(_xlfn.MAXIFS(Acuses!$D$5:$D$3004,Acuses!$A$5:$A$3004,$A75,Acuses!$B$5:$B$3004,Q$4,Acuses!$C$5:$C$3004,Q$5),Q$8)&lt;Resumen!$C$4+30,"Caduca pronto","OK"))))))</f>
        <v/>
      </c>
      <c r="R75" s="26" t="str">
        <f aca="false">IF(OR($A75="",R$4=""),"",IF(NOT(OR(R$6="Toda la plantilla",ISNUMBER(SEARCH(";"&amp;SUBSTITUTE($C75," ","")&amp;";",";"&amp;SUBSTITUTE(R$7," ","")&amp;";")))),"—",IF(_xlfn.MAXIFS(Acuses!$C$5:$C$3004,Acuses!$A$5:$A$3004,$A75,Acuses!$B$5:$B$3004,R$4)&lt;R$5,"Pendiente",IF(R$8=0,"OK",IF(EDATE(_xlfn.MAXIFS(Acuses!$D$5:$D$3004,Acuses!$A$5:$A$3004,$A75,Acuses!$B$5:$B$3004,R$4,Acuses!$C$5:$C$3004,R$5),R$8)&lt;Resumen!$C$4,"Caducado",IF(EDATE(_xlfn.MAXIFS(Acuses!$D$5:$D$3004,Acuses!$A$5:$A$3004,$A75,Acuses!$B$5:$B$3004,R$4,Acuses!$C$5:$C$3004,R$5),R$8)&lt;Resumen!$C$4+30,"Caduca pronto","OK"))))))</f>
        <v/>
      </c>
      <c r="S75" s="26" t="str">
        <f aca="false">IF(OR($A75="",S$4=""),"",IF(NOT(OR(S$6="Toda la plantilla",ISNUMBER(SEARCH(";"&amp;SUBSTITUTE($C75," ","")&amp;";",";"&amp;SUBSTITUTE(S$7," ","")&amp;";")))),"—",IF(_xlfn.MAXIFS(Acuses!$C$5:$C$3004,Acuses!$A$5:$A$3004,$A75,Acuses!$B$5:$B$3004,S$4)&lt;S$5,"Pendiente",IF(S$8=0,"OK",IF(EDATE(_xlfn.MAXIFS(Acuses!$D$5:$D$3004,Acuses!$A$5:$A$3004,$A75,Acuses!$B$5:$B$3004,S$4,Acuses!$C$5:$C$3004,S$5),S$8)&lt;Resumen!$C$4,"Caducado",IF(EDATE(_xlfn.MAXIFS(Acuses!$D$5:$D$3004,Acuses!$A$5:$A$3004,$A75,Acuses!$B$5:$B$3004,S$4,Acuses!$C$5:$C$3004,S$5),S$8)&lt;Resumen!$C$4+30,"Caduca pronto","OK"))))))</f>
        <v/>
      </c>
      <c r="T75" s="26" t="str">
        <f aca="false">IF(OR($A75="",T$4=""),"",IF(NOT(OR(T$6="Toda la plantilla",ISNUMBER(SEARCH(";"&amp;SUBSTITUTE($C75," ","")&amp;";",";"&amp;SUBSTITUTE(T$7," ","")&amp;";")))),"—",IF(_xlfn.MAXIFS(Acuses!$C$5:$C$3004,Acuses!$A$5:$A$3004,$A75,Acuses!$B$5:$B$3004,T$4)&lt;T$5,"Pendiente",IF(T$8=0,"OK",IF(EDATE(_xlfn.MAXIFS(Acuses!$D$5:$D$3004,Acuses!$A$5:$A$3004,$A75,Acuses!$B$5:$B$3004,T$4,Acuses!$C$5:$C$3004,T$5),T$8)&lt;Resumen!$C$4,"Caducado",IF(EDATE(_xlfn.MAXIFS(Acuses!$D$5:$D$3004,Acuses!$A$5:$A$3004,$A75,Acuses!$B$5:$B$3004,T$4,Acuses!$C$5:$C$3004,T$5),T$8)&lt;Resumen!$C$4+30,"Caduca pronto","OK"))))))</f>
        <v/>
      </c>
      <c r="U75" s="26" t="str">
        <f aca="false">IF(OR($A75="",U$4=""),"",IF(NOT(OR(U$6="Toda la plantilla",ISNUMBER(SEARCH(";"&amp;SUBSTITUTE($C75," ","")&amp;";",";"&amp;SUBSTITUTE(U$7," ","")&amp;";")))),"—",IF(_xlfn.MAXIFS(Acuses!$C$5:$C$3004,Acuses!$A$5:$A$3004,$A75,Acuses!$B$5:$B$3004,U$4)&lt;U$5,"Pendiente",IF(U$8=0,"OK",IF(EDATE(_xlfn.MAXIFS(Acuses!$D$5:$D$3004,Acuses!$A$5:$A$3004,$A75,Acuses!$B$5:$B$3004,U$4,Acuses!$C$5:$C$3004,U$5),U$8)&lt;Resumen!$C$4,"Caducado",IF(EDATE(_xlfn.MAXIFS(Acuses!$D$5:$D$3004,Acuses!$A$5:$A$3004,$A75,Acuses!$B$5:$B$3004,U$4,Acuses!$C$5:$C$3004,U$5),U$8)&lt;Resumen!$C$4+30,"Caduca pronto","OK"))))))</f>
        <v/>
      </c>
      <c r="V75" s="26" t="str">
        <f aca="false">IF(OR($A75="",V$4=""),"",IF(NOT(OR(V$6="Toda la plantilla",ISNUMBER(SEARCH(";"&amp;SUBSTITUTE($C75," ","")&amp;";",";"&amp;SUBSTITUTE(V$7," ","")&amp;";")))),"—",IF(_xlfn.MAXIFS(Acuses!$C$5:$C$3004,Acuses!$A$5:$A$3004,$A75,Acuses!$B$5:$B$3004,V$4)&lt;V$5,"Pendiente",IF(V$8=0,"OK",IF(EDATE(_xlfn.MAXIFS(Acuses!$D$5:$D$3004,Acuses!$A$5:$A$3004,$A75,Acuses!$B$5:$B$3004,V$4,Acuses!$C$5:$C$3004,V$5),V$8)&lt;Resumen!$C$4,"Caducado",IF(EDATE(_xlfn.MAXIFS(Acuses!$D$5:$D$3004,Acuses!$A$5:$A$3004,$A75,Acuses!$B$5:$B$3004,V$4,Acuses!$C$5:$C$3004,V$5),V$8)&lt;Resumen!$C$4+30,"Caduca pronto","OK"))))))</f>
        <v/>
      </c>
      <c r="W75" s="26" t="str">
        <f aca="false">IF(OR($A75="",W$4=""),"",IF(NOT(OR(W$6="Toda la plantilla",ISNUMBER(SEARCH(";"&amp;SUBSTITUTE($C75," ","")&amp;";",";"&amp;SUBSTITUTE(W$7," ","")&amp;";")))),"—",IF(_xlfn.MAXIFS(Acuses!$C$5:$C$3004,Acuses!$A$5:$A$3004,$A75,Acuses!$B$5:$B$3004,W$4)&lt;W$5,"Pendiente",IF(W$8=0,"OK",IF(EDATE(_xlfn.MAXIFS(Acuses!$D$5:$D$3004,Acuses!$A$5:$A$3004,$A75,Acuses!$B$5:$B$3004,W$4,Acuses!$C$5:$C$3004,W$5),W$8)&lt;Resumen!$C$4,"Caducado",IF(EDATE(_xlfn.MAXIFS(Acuses!$D$5:$D$3004,Acuses!$A$5:$A$3004,$A75,Acuses!$B$5:$B$3004,W$4,Acuses!$C$5:$C$3004,W$5),W$8)&lt;Resumen!$C$4+30,"Caduca pronto","OK"))))))</f>
        <v/>
      </c>
      <c r="X75" s="26" t="str">
        <f aca="false">IF(OR($A75="",X$4=""),"",IF(NOT(OR(X$6="Toda la plantilla",ISNUMBER(SEARCH(";"&amp;SUBSTITUTE($C75," ","")&amp;";",";"&amp;SUBSTITUTE(X$7," ","")&amp;";")))),"—",IF(_xlfn.MAXIFS(Acuses!$C$5:$C$3004,Acuses!$A$5:$A$3004,$A75,Acuses!$B$5:$B$3004,X$4)&lt;X$5,"Pendiente",IF(X$8=0,"OK",IF(EDATE(_xlfn.MAXIFS(Acuses!$D$5:$D$3004,Acuses!$A$5:$A$3004,$A75,Acuses!$B$5:$B$3004,X$4,Acuses!$C$5:$C$3004,X$5),X$8)&lt;Resumen!$C$4,"Caducado",IF(EDATE(_xlfn.MAXIFS(Acuses!$D$5:$D$3004,Acuses!$A$5:$A$3004,$A75,Acuses!$B$5:$B$3004,X$4,Acuses!$C$5:$C$3004,X$5),X$8)&lt;Resumen!$C$4+30,"Caduca pronto","OK"))))))</f>
        <v/>
      </c>
      <c r="Y75" s="26" t="str">
        <f aca="false">IF(OR($A75="",Y$4=""),"",IF(NOT(OR(Y$6="Toda la plantilla",ISNUMBER(SEARCH(";"&amp;SUBSTITUTE($C75," ","")&amp;";",";"&amp;SUBSTITUTE(Y$7," ","")&amp;";")))),"—",IF(_xlfn.MAXIFS(Acuses!$C$5:$C$3004,Acuses!$A$5:$A$3004,$A75,Acuses!$B$5:$B$3004,Y$4)&lt;Y$5,"Pendiente",IF(Y$8=0,"OK",IF(EDATE(_xlfn.MAXIFS(Acuses!$D$5:$D$3004,Acuses!$A$5:$A$3004,$A75,Acuses!$B$5:$B$3004,Y$4,Acuses!$C$5:$C$3004,Y$5),Y$8)&lt;Resumen!$C$4,"Caducado",IF(EDATE(_xlfn.MAXIFS(Acuses!$D$5:$D$3004,Acuses!$A$5:$A$3004,$A75,Acuses!$B$5:$B$3004,Y$4,Acuses!$C$5:$C$3004,Y$5),Y$8)&lt;Resumen!$C$4+30,"Caduca pronto","OK"))))))</f>
        <v/>
      </c>
      <c r="Z75" s="26" t="str">
        <f aca="false">IF(OR($A75="",Z$4=""),"",IF(NOT(OR(Z$6="Toda la plantilla",ISNUMBER(SEARCH(";"&amp;SUBSTITUTE($C75," ","")&amp;";",";"&amp;SUBSTITUTE(Z$7," ","")&amp;";")))),"—",IF(_xlfn.MAXIFS(Acuses!$C$5:$C$3004,Acuses!$A$5:$A$3004,$A75,Acuses!$B$5:$B$3004,Z$4)&lt;Z$5,"Pendiente",IF(Z$8=0,"OK",IF(EDATE(_xlfn.MAXIFS(Acuses!$D$5:$D$3004,Acuses!$A$5:$A$3004,$A75,Acuses!$B$5:$B$3004,Z$4,Acuses!$C$5:$C$3004,Z$5),Z$8)&lt;Resumen!$C$4,"Caducado",IF(EDATE(_xlfn.MAXIFS(Acuses!$D$5:$D$3004,Acuses!$A$5:$A$3004,$A75,Acuses!$B$5:$B$3004,Z$4,Acuses!$C$5:$C$3004,Z$5),Z$8)&lt;Resumen!$C$4+30,"Caduca pronto","OK"))))))</f>
        <v/>
      </c>
      <c r="AA75" s="26" t="str">
        <f aca="false">IF(OR($A75="",AA$4=""),"",IF(NOT(OR(AA$6="Toda la plantilla",ISNUMBER(SEARCH(";"&amp;SUBSTITUTE($C75," ","")&amp;";",";"&amp;SUBSTITUTE(AA$7," ","")&amp;";")))),"—",IF(_xlfn.MAXIFS(Acuses!$C$5:$C$3004,Acuses!$A$5:$A$3004,$A75,Acuses!$B$5:$B$3004,AA$4)&lt;AA$5,"Pendiente",IF(AA$8=0,"OK",IF(EDATE(_xlfn.MAXIFS(Acuses!$D$5:$D$3004,Acuses!$A$5:$A$3004,$A75,Acuses!$B$5:$B$3004,AA$4,Acuses!$C$5:$C$3004,AA$5),AA$8)&lt;Resumen!$C$4,"Caducado",IF(EDATE(_xlfn.MAXIFS(Acuses!$D$5:$D$3004,Acuses!$A$5:$A$3004,$A75,Acuses!$B$5:$B$3004,AA$4,Acuses!$C$5:$C$3004,AA$5),AA$8)&lt;Resumen!$C$4+30,"Caduca pronto","OK"))))))</f>
        <v/>
      </c>
      <c r="AB75" s="26" t="str">
        <f aca="false">IF(OR($A75="",AB$4=""),"",IF(NOT(OR(AB$6="Toda la plantilla",ISNUMBER(SEARCH(";"&amp;SUBSTITUTE($C75," ","")&amp;";",";"&amp;SUBSTITUTE(AB$7," ","")&amp;";")))),"—",IF(_xlfn.MAXIFS(Acuses!$C$5:$C$3004,Acuses!$A$5:$A$3004,$A75,Acuses!$B$5:$B$3004,AB$4)&lt;AB$5,"Pendiente",IF(AB$8=0,"OK",IF(EDATE(_xlfn.MAXIFS(Acuses!$D$5:$D$3004,Acuses!$A$5:$A$3004,$A75,Acuses!$B$5:$B$3004,AB$4,Acuses!$C$5:$C$3004,AB$5),AB$8)&lt;Resumen!$C$4,"Caducado",IF(EDATE(_xlfn.MAXIFS(Acuses!$D$5:$D$3004,Acuses!$A$5:$A$3004,$A75,Acuses!$B$5:$B$3004,AB$4,Acuses!$C$5:$C$3004,AB$5),AB$8)&lt;Resumen!$C$4+30,"Caduca pronto","OK"))))))</f>
        <v/>
      </c>
      <c r="AC75" s="26" t="str">
        <f aca="false">IF(OR($A75="",AC$4=""),"",IF(NOT(OR(AC$6="Toda la plantilla",ISNUMBER(SEARCH(";"&amp;SUBSTITUTE($C75," ","")&amp;";",";"&amp;SUBSTITUTE(AC$7," ","")&amp;";")))),"—",IF(_xlfn.MAXIFS(Acuses!$C$5:$C$3004,Acuses!$A$5:$A$3004,$A75,Acuses!$B$5:$B$3004,AC$4)&lt;AC$5,"Pendiente",IF(AC$8=0,"OK",IF(EDATE(_xlfn.MAXIFS(Acuses!$D$5:$D$3004,Acuses!$A$5:$A$3004,$A75,Acuses!$B$5:$B$3004,AC$4,Acuses!$C$5:$C$3004,AC$5),AC$8)&lt;Resumen!$C$4,"Caducado",IF(EDATE(_xlfn.MAXIFS(Acuses!$D$5:$D$3004,Acuses!$A$5:$A$3004,$A75,Acuses!$B$5:$B$3004,AC$4,Acuses!$C$5:$C$3004,AC$5),AC$8)&lt;Resumen!$C$4+30,"Caduca pronto","OK"))))))</f>
        <v/>
      </c>
      <c r="AD75" s="26" t="str">
        <f aca="false">IF(OR($A75="",AD$4=""),"",IF(NOT(OR(AD$6="Toda la plantilla",ISNUMBER(SEARCH(";"&amp;SUBSTITUTE($C75," ","")&amp;";",";"&amp;SUBSTITUTE(AD$7," ","")&amp;";")))),"—",IF(_xlfn.MAXIFS(Acuses!$C$5:$C$3004,Acuses!$A$5:$A$3004,$A75,Acuses!$B$5:$B$3004,AD$4)&lt;AD$5,"Pendiente",IF(AD$8=0,"OK",IF(EDATE(_xlfn.MAXIFS(Acuses!$D$5:$D$3004,Acuses!$A$5:$A$3004,$A75,Acuses!$B$5:$B$3004,AD$4,Acuses!$C$5:$C$3004,AD$5),AD$8)&lt;Resumen!$C$4,"Caducado",IF(EDATE(_xlfn.MAXIFS(Acuses!$D$5:$D$3004,Acuses!$A$5:$A$3004,$A75,Acuses!$B$5:$B$3004,AD$4,Acuses!$C$5:$C$3004,AD$5),AD$8)&lt;Resumen!$C$4+30,"Caduca pronto","OK"))))))</f>
        <v/>
      </c>
      <c r="AE75" s="26" t="str">
        <f aca="false">IF(OR($A75="",AE$4=""),"",IF(NOT(OR(AE$6="Toda la plantilla",ISNUMBER(SEARCH(";"&amp;SUBSTITUTE($C75," ","")&amp;";",";"&amp;SUBSTITUTE(AE$7," ","")&amp;";")))),"—",IF(_xlfn.MAXIFS(Acuses!$C$5:$C$3004,Acuses!$A$5:$A$3004,$A75,Acuses!$B$5:$B$3004,AE$4)&lt;AE$5,"Pendiente",IF(AE$8=0,"OK",IF(EDATE(_xlfn.MAXIFS(Acuses!$D$5:$D$3004,Acuses!$A$5:$A$3004,$A75,Acuses!$B$5:$B$3004,AE$4,Acuses!$C$5:$C$3004,AE$5),AE$8)&lt;Resumen!$C$4,"Caducado",IF(EDATE(_xlfn.MAXIFS(Acuses!$D$5:$D$3004,Acuses!$A$5:$A$3004,$A75,Acuses!$B$5:$B$3004,AE$4,Acuses!$C$5:$C$3004,AE$5),AE$8)&lt;Resumen!$C$4+30,"Caduca pronto","OK"))))))</f>
        <v/>
      </c>
      <c r="AF75" s="26" t="str">
        <f aca="false">IF(OR($A75="",AF$4=""),"",IF(NOT(OR(AF$6="Toda la plantilla",ISNUMBER(SEARCH(";"&amp;SUBSTITUTE($C75," ","")&amp;";",";"&amp;SUBSTITUTE(AF$7," ","")&amp;";")))),"—",IF(_xlfn.MAXIFS(Acuses!$C$5:$C$3004,Acuses!$A$5:$A$3004,$A75,Acuses!$B$5:$B$3004,AF$4)&lt;AF$5,"Pendiente",IF(AF$8=0,"OK",IF(EDATE(_xlfn.MAXIFS(Acuses!$D$5:$D$3004,Acuses!$A$5:$A$3004,$A75,Acuses!$B$5:$B$3004,AF$4,Acuses!$C$5:$C$3004,AF$5),AF$8)&lt;Resumen!$C$4,"Caducado",IF(EDATE(_xlfn.MAXIFS(Acuses!$D$5:$D$3004,Acuses!$A$5:$A$3004,$A75,Acuses!$B$5:$B$3004,AF$4,Acuses!$C$5:$C$3004,AF$5),AF$8)&lt;Resumen!$C$4+30,"Caduca pronto","OK"))))))</f>
        <v/>
      </c>
      <c r="AG75" s="26" t="str">
        <f aca="false">IF(OR($A75="",AG$4=""),"",IF(NOT(OR(AG$6="Toda la plantilla",ISNUMBER(SEARCH(";"&amp;SUBSTITUTE($C75," ","")&amp;";",";"&amp;SUBSTITUTE(AG$7," ","")&amp;";")))),"—",IF(_xlfn.MAXIFS(Acuses!$C$5:$C$3004,Acuses!$A$5:$A$3004,$A75,Acuses!$B$5:$B$3004,AG$4)&lt;AG$5,"Pendiente",IF(AG$8=0,"OK",IF(EDATE(_xlfn.MAXIFS(Acuses!$D$5:$D$3004,Acuses!$A$5:$A$3004,$A75,Acuses!$B$5:$B$3004,AG$4,Acuses!$C$5:$C$3004,AG$5),AG$8)&lt;Resumen!$C$4,"Caducado",IF(EDATE(_xlfn.MAXIFS(Acuses!$D$5:$D$3004,Acuses!$A$5:$A$3004,$A75,Acuses!$B$5:$B$3004,AG$4,Acuses!$C$5:$C$3004,AG$5),AG$8)&lt;Resumen!$C$4+30,"Caduca pronto","OK"))))))</f>
        <v/>
      </c>
      <c r="AH75" s="26" t="str">
        <f aca="false">IF(OR($A75="",AH$4=""),"",IF(NOT(OR(AH$6="Toda la plantilla",ISNUMBER(SEARCH(";"&amp;SUBSTITUTE($C75," ","")&amp;";",";"&amp;SUBSTITUTE(AH$7," ","")&amp;";")))),"—",IF(_xlfn.MAXIFS(Acuses!$C$5:$C$3004,Acuses!$A$5:$A$3004,$A75,Acuses!$B$5:$B$3004,AH$4)&lt;AH$5,"Pendiente",IF(AH$8=0,"OK",IF(EDATE(_xlfn.MAXIFS(Acuses!$D$5:$D$3004,Acuses!$A$5:$A$3004,$A75,Acuses!$B$5:$B$3004,AH$4,Acuses!$C$5:$C$3004,AH$5),AH$8)&lt;Resumen!$C$4,"Caducado",IF(EDATE(_xlfn.MAXIFS(Acuses!$D$5:$D$3004,Acuses!$A$5:$A$3004,$A75,Acuses!$B$5:$B$3004,AH$4,Acuses!$C$5:$C$3004,AH$5),AH$8)&lt;Resumen!$C$4+30,"Caduca pronto","OK"))))))</f>
        <v/>
      </c>
      <c r="AI75" s="26" t="str">
        <f aca="false">IF(OR($A75="",AI$4=""),"",IF(NOT(OR(AI$6="Toda la plantilla",ISNUMBER(SEARCH(";"&amp;SUBSTITUTE($C75," ","")&amp;";",";"&amp;SUBSTITUTE(AI$7," ","")&amp;";")))),"—",IF(_xlfn.MAXIFS(Acuses!$C$5:$C$3004,Acuses!$A$5:$A$3004,$A75,Acuses!$B$5:$B$3004,AI$4)&lt;AI$5,"Pendiente",IF(AI$8=0,"OK",IF(EDATE(_xlfn.MAXIFS(Acuses!$D$5:$D$3004,Acuses!$A$5:$A$3004,$A75,Acuses!$B$5:$B$3004,AI$4,Acuses!$C$5:$C$3004,AI$5),AI$8)&lt;Resumen!$C$4,"Caducado",IF(EDATE(_xlfn.MAXIFS(Acuses!$D$5:$D$3004,Acuses!$A$5:$A$3004,$A75,Acuses!$B$5:$B$3004,AI$4,Acuses!$C$5:$C$3004,AI$5),AI$8)&lt;Resumen!$C$4+30,"Caduca pronto","OK"))))))</f>
        <v/>
      </c>
      <c r="AJ75" s="26" t="str">
        <f aca="false">IF(OR($A75="",AJ$4=""),"",IF(NOT(OR(AJ$6="Toda la plantilla",ISNUMBER(SEARCH(";"&amp;SUBSTITUTE($C75," ","")&amp;";",";"&amp;SUBSTITUTE(AJ$7," ","")&amp;";")))),"—",IF(_xlfn.MAXIFS(Acuses!$C$5:$C$3004,Acuses!$A$5:$A$3004,$A75,Acuses!$B$5:$B$3004,AJ$4)&lt;AJ$5,"Pendiente",IF(AJ$8=0,"OK",IF(EDATE(_xlfn.MAXIFS(Acuses!$D$5:$D$3004,Acuses!$A$5:$A$3004,$A75,Acuses!$B$5:$B$3004,AJ$4,Acuses!$C$5:$C$3004,AJ$5),AJ$8)&lt;Resumen!$C$4,"Caducado",IF(EDATE(_xlfn.MAXIFS(Acuses!$D$5:$D$3004,Acuses!$A$5:$A$3004,$A75,Acuses!$B$5:$B$3004,AJ$4,Acuses!$C$5:$C$3004,AJ$5),AJ$8)&lt;Resumen!$C$4+30,"Caduca pronto","OK"))))))</f>
        <v/>
      </c>
      <c r="AK75" s="26" t="str">
        <f aca="false">IF(OR($A75="",AK$4=""),"",IF(NOT(OR(AK$6="Toda la plantilla",ISNUMBER(SEARCH(";"&amp;SUBSTITUTE($C75," ","")&amp;";",";"&amp;SUBSTITUTE(AK$7," ","")&amp;";")))),"—",IF(_xlfn.MAXIFS(Acuses!$C$5:$C$3004,Acuses!$A$5:$A$3004,$A75,Acuses!$B$5:$B$3004,AK$4)&lt;AK$5,"Pendiente",IF(AK$8=0,"OK",IF(EDATE(_xlfn.MAXIFS(Acuses!$D$5:$D$3004,Acuses!$A$5:$A$3004,$A75,Acuses!$B$5:$B$3004,AK$4,Acuses!$C$5:$C$3004,AK$5),AK$8)&lt;Resumen!$C$4,"Caducado",IF(EDATE(_xlfn.MAXIFS(Acuses!$D$5:$D$3004,Acuses!$A$5:$A$3004,$A75,Acuses!$B$5:$B$3004,AK$4,Acuses!$C$5:$C$3004,AK$5),AK$8)&lt;Resumen!$C$4+30,"Caduca pronto","OK"))))))</f>
        <v/>
      </c>
      <c r="AL75" s="26" t="str">
        <f aca="false">IF(OR($A75="",AL$4=""),"",IF(NOT(OR(AL$6="Toda la plantilla",ISNUMBER(SEARCH(";"&amp;SUBSTITUTE($C75," ","")&amp;";",";"&amp;SUBSTITUTE(AL$7," ","")&amp;";")))),"—",IF(_xlfn.MAXIFS(Acuses!$C$5:$C$3004,Acuses!$A$5:$A$3004,$A75,Acuses!$B$5:$B$3004,AL$4)&lt;AL$5,"Pendiente",IF(AL$8=0,"OK",IF(EDATE(_xlfn.MAXIFS(Acuses!$D$5:$D$3004,Acuses!$A$5:$A$3004,$A75,Acuses!$B$5:$B$3004,AL$4,Acuses!$C$5:$C$3004,AL$5),AL$8)&lt;Resumen!$C$4,"Caducado",IF(EDATE(_xlfn.MAXIFS(Acuses!$D$5:$D$3004,Acuses!$A$5:$A$3004,$A75,Acuses!$B$5:$B$3004,AL$4,Acuses!$C$5:$C$3004,AL$5),AL$8)&lt;Resumen!$C$4+30,"Caduca pronto","OK"))))))</f>
        <v/>
      </c>
      <c r="AM75" s="26" t="str">
        <f aca="false">IF(OR($A75="",AM$4=""),"",IF(NOT(OR(AM$6="Toda la plantilla",ISNUMBER(SEARCH(";"&amp;SUBSTITUTE($C75," ","")&amp;";",";"&amp;SUBSTITUTE(AM$7," ","")&amp;";")))),"—",IF(_xlfn.MAXIFS(Acuses!$C$5:$C$3004,Acuses!$A$5:$A$3004,$A75,Acuses!$B$5:$B$3004,AM$4)&lt;AM$5,"Pendiente",IF(AM$8=0,"OK",IF(EDATE(_xlfn.MAXIFS(Acuses!$D$5:$D$3004,Acuses!$A$5:$A$3004,$A75,Acuses!$B$5:$B$3004,AM$4,Acuses!$C$5:$C$3004,AM$5),AM$8)&lt;Resumen!$C$4,"Caducado",IF(EDATE(_xlfn.MAXIFS(Acuses!$D$5:$D$3004,Acuses!$A$5:$A$3004,$A75,Acuses!$B$5:$B$3004,AM$4,Acuses!$C$5:$C$3004,AM$5),AM$8)&lt;Resumen!$C$4+30,"Caduca pronto","OK"))))))</f>
        <v/>
      </c>
      <c r="AN75" s="26" t="str">
        <f aca="false">IF(OR($A75="",AN$4=""),"",IF(NOT(OR(AN$6="Toda la plantilla",ISNUMBER(SEARCH(";"&amp;SUBSTITUTE($C75," ","")&amp;";",";"&amp;SUBSTITUTE(AN$7," ","")&amp;";")))),"—",IF(_xlfn.MAXIFS(Acuses!$C$5:$C$3004,Acuses!$A$5:$A$3004,$A75,Acuses!$B$5:$B$3004,AN$4)&lt;AN$5,"Pendiente",IF(AN$8=0,"OK",IF(EDATE(_xlfn.MAXIFS(Acuses!$D$5:$D$3004,Acuses!$A$5:$A$3004,$A75,Acuses!$B$5:$B$3004,AN$4,Acuses!$C$5:$C$3004,AN$5),AN$8)&lt;Resumen!$C$4,"Caducado",IF(EDATE(_xlfn.MAXIFS(Acuses!$D$5:$D$3004,Acuses!$A$5:$A$3004,$A75,Acuses!$B$5:$B$3004,AN$4,Acuses!$C$5:$C$3004,AN$5),AN$8)&lt;Resumen!$C$4+30,"Caduca pronto","OK"))))))</f>
        <v/>
      </c>
      <c r="AO75" s="26" t="str">
        <f aca="false">IF(OR($A75="",AO$4=""),"",IF(NOT(OR(AO$6="Toda la plantilla",ISNUMBER(SEARCH(";"&amp;SUBSTITUTE($C75," ","")&amp;";",";"&amp;SUBSTITUTE(AO$7," ","")&amp;";")))),"—",IF(_xlfn.MAXIFS(Acuses!$C$5:$C$3004,Acuses!$A$5:$A$3004,$A75,Acuses!$B$5:$B$3004,AO$4)&lt;AO$5,"Pendiente",IF(AO$8=0,"OK",IF(EDATE(_xlfn.MAXIFS(Acuses!$D$5:$D$3004,Acuses!$A$5:$A$3004,$A75,Acuses!$B$5:$B$3004,AO$4,Acuses!$C$5:$C$3004,AO$5),AO$8)&lt;Resumen!$C$4,"Caducado",IF(EDATE(_xlfn.MAXIFS(Acuses!$D$5:$D$3004,Acuses!$A$5:$A$3004,$A75,Acuses!$B$5:$B$3004,AO$4,Acuses!$C$5:$C$3004,AO$5),AO$8)&lt;Resumen!$C$4+30,"Caduca pronto","OK"))))))</f>
        <v/>
      </c>
      <c r="AP75" s="26" t="str">
        <f aca="false">IF(OR($A75="",AP$4=""),"",IF(NOT(OR(AP$6="Toda la plantilla",ISNUMBER(SEARCH(";"&amp;SUBSTITUTE($C75," ","")&amp;";",";"&amp;SUBSTITUTE(AP$7," ","")&amp;";")))),"—",IF(_xlfn.MAXIFS(Acuses!$C$5:$C$3004,Acuses!$A$5:$A$3004,$A75,Acuses!$B$5:$B$3004,AP$4)&lt;AP$5,"Pendiente",IF(AP$8=0,"OK",IF(EDATE(_xlfn.MAXIFS(Acuses!$D$5:$D$3004,Acuses!$A$5:$A$3004,$A75,Acuses!$B$5:$B$3004,AP$4,Acuses!$C$5:$C$3004,AP$5),AP$8)&lt;Resumen!$C$4,"Caducado",IF(EDATE(_xlfn.MAXIFS(Acuses!$D$5:$D$3004,Acuses!$A$5:$A$3004,$A75,Acuses!$B$5:$B$3004,AP$4,Acuses!$C$5:$C$3004,AP$5),AP$8)&lt;Resumen!$C$4+30,"Caduca pronto","OK"))))))</f>
        <v/>
      </c>
      <c r="AQ75" s="26" t="str">
        <f aca="false">IF(OR($A75="",AQ$4=""),"",IF(NOT(OR(AQ$6="Toda la plantilla",ISNUMBER(SEARCH(";"&amp;SUBSTITUTE($C75," ","")&amp;";",";"&amp;SUBSTITUTE(AQ$7," ","")&amp;";")))),"—",IF(_xlfn.MAXIFS(Acuses!$C$5:$C$3004,Acuses!$A$5:$A$3004,$A75,Acuses!$B$5:$B$3004,AQ$4)&lt;AQ$5,"Pendiente",IF(AQ$8=0,"OK",IF(EDATE(_xlfn.MAXIFS(Acuses!$D$5:$D$3004,Acuses!$A$5:$A$3004,$A75,Acuses!$B$5:$B$3004,AQ$4,Acuses!$C$5:$C$3004,AQ$5),AQ$8)&lt;Resumen!$C$4,"Caducado",IF(EDATE(_xlfn.MAXIFS(Acuses!$D$5:$D$3004,Acuses!$A$5:$A$3004,$A75,Acuses!$B$5:$B$3004,AQ$4,Acuses!$C$5:$C$3004,AQ$5),AQ$8)&lt;Resumen!$C$4+30,"Caduca pronto","OK"))))))</f>
        <v/>
      </c>
    </row>
    <row r="76" customFormat="false" ht="15" hidden="false" customHeight="false" outlineLevel="0" collapsed="false">
      <c r="A76" s="25" t="str">
        <f aca="false">IF(AND(Trabajadores!$A$71&lt;&gt;"",Trabajadores!$G$71&lt;&gt;"No"),Trabajadores!$A$71,"")</f>
        <v/>
      </c>
      <c r="B76" s="25" t="str">
        <f aca="false">IF($A76="","",Trabajadores!$B$71)</f>
        <v/>
      </c>
      <c r="C76" s="25" t="str">
        <f aca="false">IF($A76="","",Trabajadores!$C$71)</f>
        <v/>
      </c>
      <c r="D76" s="26" t="str">
        <f aca="false">IF(OR($A76="",D$4=""),"",IF(NOT(OR(D$6="Toda la plantilla",ISNUMBER(SEARCH(";"&amp;SUBSTITUTE($C76," ","")&amp;";",";"&amp;SUBSTITUTE(D$7," ","")&amp;";")))),"—",IF(_xlfn.MAXIFS(Acuses!$C$5:$C$3004,Acuses!$A$5:$A$3004,$A76,Acuses!$B$5:$B$3004,D$4)&lt;D$5,"Pendiente",IF(D$8=0,"OK",IF(EDATE(_xlfn.MAXIFS(Acuses!$D$5:$D$3004,Acuses!$A$5:$A$3004,$A76,Acuses!$B$5:$B$3004,D$4,Acuses!$C$5:$C$3004,D$5),D$8)&lt;Resumen!$C$4,"Caducado",IF(EDATE(_xlfn.MAXIFS(Acuses!$D$5:$D$3004,Acuses!$A$5:$A$3004,$A76,Acuses!$B$5:$B$3004,D$4,Acuses!$C$5:$C$3004,D$5),D$8)&lt;Resumen!$C$4+30,"Caduca pronto","OK"))))))</f>
        <v/>
      </c>
      <c r="E76" s="26" t="str">
        <f aca="false">IF(OR($A76="",E$4=""),"",IF(NOT(OR(E$6="Toda la plantilla",ISNUMBER(SEARCH(";"&amp;SUBSTITUTE($C76," ","")&amp;";",";"&amp;SUBSTITUTE(E$7," ","")&amp;";")))),"—",IF(_xlfn.MAXIFS(Acuses!$C$5:$C$3004,Acuses!$A$5:$A$3004,$A76,Acuses!$B$5:$B$3004,E$4)&lt;E$5,"Pendiente",IF(E$8=0,"OK",IF(EDATE(_xlfn.MAXIFS(Acuses!$D$5:$D$3004,Acuses!$A$5:$A$3004,$A76,Acuses!$B$5:$B$3004,E$4,Acuses!$C$5:$C$3004,E$5),E$8)&lt;Resumen!$C$4,"Caducado",IF(EDATE(_xlfn.MAXIFS(Acuses!$D$5:$D$3004,Acuses!$A$5:$A$3004,$A76,Acuses!$B$5:$B$3004,E$4,Acuses!$C$5:$C$3004,E$5),E$8)&lt;Resumen!$C$4+30,"Caduca pronto","OK"))))))</f>
        <v/>
      </c>
      <c r="F76" s="26" t="str">
        <f aca="false">IF(OR($A76="",F$4=""),"",IF(NOT(OR(F$6="Toda la plantilla",ISNUMBER(SEARCH(";"&amp;SUBSTITUTE($C76," ","")&amp;";",";"&amp;SUBSTITUTE(F$7," ","")&amp;";")))),"—",IF(_xlfn.MAXIFS(Acuses!$C$5:$C$3004,Acuses!$A$5:$A$3004,$A76,Acuses!$B$5:$B$3004,F$4)&lt;F$5,"Pendiente",IF(F$8=0,"OK",IF(EDATE(_xlfn.MAXIFS(Acuses!$D$5:$D$3004,Acuses!$A$5:$A$3004,$A76,Acuses!$B$5:$B$3004,F$4,Acuses!$C$5:$C$3004,F$5),F$8)&lt;Resumen!$C$4,"Caducado",IF(EDATE(_xlfn.MAXIFS(Acuses!$D$5:$D$3004,Acuses!$A$5:$A$3004,$A76,Acuses!$B$5:$B$3004,F$4,Acuses!$C$5:$C$3004,F$5),F$8)&lt;Resumen!$C$4+30,"Caduca pronto","OK"))))))</f>
        <v/>
      </c>
      <c r="G76" s="26" t="str">
        <f aca="false">IF(OR($A76="",G$4=""),"",IF(NOT(OR(G$6="Toda la plantilla",ISNUMBER(SEARCH(";"&amp;SUBSTITUTE($C76," ","")&amp;";",";"&amp;SUBSTITUTE(G$7," ","")&amp;";")))),"—",IF(_xlfn.MAXIFS(Acuses!$C$5:$C$3004,Acuses!$A$5:$A$3004,$A76,Acuses!$B$5:$B$3004,G$4)&lt;G$5,"Pendiente",IF(G$8=0,"OK",IF(EDATE(_xlfn.MAXIFS(Acuses!$D$5:$D$3004,Acuses!$A$5:$A$3004,$A76,Acuses!$B$5:$B$3004,G$4,Acuses!$C$5:$C$3004,G$5),G$8)&lt;Resumen!$C$4,"Caducado",IF(EDATE(_xlfn.MAXIFS(Acuses!$D$5:$D$3004,Acuses!$A$5:$A$3004,$A76,Acuses!$B$5:$B$3004,G$4,Acuses!$C$5:$C$3004,G$5),G$8)&lt;Resumen!$C$4+30,"Caduca pronto","OK"))))))</f>
        <v/>
      </c>
      <c r="H76" s="26" t="str">
        <f aca="false">IF(OR($A76="",H$4=""),"",IF(NOT(OR(H$6="Toda la plantilla",ISNUMBER(SEARCH(";"&amp;SUBSTITUTE($C76," ","")&amp;";",";"&amp;SUBSTITUTE(H$7," ","")&amp;";")))),"—",IF(_xlfn.MAXIFS(Acuses!$C$5:$C$3004,Acuses!$A$5:$A$3004,$A76,Acuses!$B$5:$B$3004,H$4)&lt;H$5,"Pendiente",IF(H$8=0,"OK",IF(EDATE(_xlfn.MAXIFS(Acuses!$D$5:$D$3004,Acuses!$A$5:$A$3004,$A76,Acuses!$B$5:$B$3004,H$4,Acuses!$C$5:$C$3004,H$5),H$8)&lt;Resumen!$C$4,"Caducado",IF(EDATE(_xlfn.MAXIFS(Acuses!$D$5:$D$3004,Acuses!$A$5:$A$3004,$A76,Acuses!$B$5:$B$3004,H$4,Acuses!$C$5:$C$3004,H$5),H$8)&lt;Resumen!$C$4+30,"Caduca pronto","OK"))))))</f>
        <v/>
      </c>
      <c r="I76" s="26" t="str">
        <f aca="false">IF(OR($A76="",I$4=""),"",IF(NOT(OR(I$6="Toda la plantilla",ISNUMBER(SEARCH(";"&amp;SUBSTITUTE($C76," ","")&amp;";",";"&amp;SUBSTITUTE(I$7," ","")&amp;";")))),"—",IF(_xlfn.MAXIFS(Acuses!$C$5:$C$3004,Acuses!$A$5:$A$3004,$A76,Acuses!$B$5:$B$3004,I$4)&lt;I$5,"Pendiente",IF(I$8=0,"OK",IF(EDATE(_xlfn.MAXIFS(Acuses!$D$5:$D$3004,Acuses!$A$5:$A$3004,$A76,Acuses!$B$5:$B$3004,I$4,Acuses!$C$5:$C$3004,I$5),I$8)&lt;Resumen!$C$4,"Caducado",IF(EDATE(_xlfn.MAXIFS(Acuses!$D$5:$D$3004,Acuses!$A$5:$A$3004,$A76,Acuses!$B$5:$B$3004,I$4,Acuses!$C$5:$C$3004,I$5),I$8)&lt;Resumen!$C$4+30,"Caduca pronto","OK"))))))</f>
        <v/>
      </c>
      <c r="J76" s="26" t="str">
        <f aca="false">IF(OR($A76="",J$4=""),"",IF(NOT(OR(J$6="Toda la plantilla",ISNUMBER(SEARCH(";"&amp;SUBSTITUTE($C76," ","")&amp;";",";"&amp;SUBSTITUTE(J$7," ","")&amp;";")))),"—",IF(_xlfn.MAXIFS(Acuses!$C$5:$C$3004,Acuses!$A$5:$A$3004,$A76,Acuses!$B$5:$B$3004,J$4)&lt;J$5,"Pendiente",IF(J$8=0,"OK",IF(EDATE(_xlfn.MAXIFS(Acuses!$D$5:$D$3004,Acuses!$A$5:$A$3004,$A76,Acuses!$B$5:$B$3004,J$4,Acuses!$C$5:$C$3004,J$5),J$8)&lt;Resumen!$C$4,"Caducado",IF(EDATE(_xlfn.MAXIFS(Acuses!$D$5:$D$3004,Acuses!$A$5:$A$3004,$A76,Acuses!$B$5:$B$3004,J$4,Acuses!$C$5:$C$3004,J$5),J$8)&lt;Resumen!$C$4+30,"Caduca pronto","OK"))))))</f>
        <v/>
      </c>
      <c r="K76" s="26" t="str">
        <f aca="false">IF(OR($A76="",K$4=""),"",IF(NOT(OR(K$6="Toda la plantilla",ISNUMBER(SEARCH(";"&amp;SUBSTITUTE($C76," ","")&amp;";",";"&amp;SUBSTITUTE(K$7," ","")&amp;";")))),"—",IF(_xlfn.MAXIFS(Acuses!$C$5:$C$3004,Acuses!$A$5:$A$3004,$A76,Acuses!$B$5:$B$3004,K$4)&lt;K$5,"Pendiente",IF(K$8=0,"OK",IF(EDATE(_xlfn.MAXIFS(Acuses!$D$5:$D$3004,Acuses!$A$5:$A$3004,$A76,Acuses!$B$5:$B$3004,K$4,Acuses!$C$5:$C$3004,K$5),K$8)&lt;Resumen!$C$4,"Caducado",IF(EDATE(_xlfn.MAXIFS(Acuses!$D$5:$D$3004,Acuses!$A$5:$A$3004,$A76,Acuses!$B$5:$B$3004,K$4,Acuses!$C$5:$C$3004,K$5),K$8)&lt;Resumen!$C$4+30,"Caduca pronto","OK"))))))</f>
        <v/>
      </c>
      <c r="L76" s="26" t="str">
        <f aca="false">IF(OR($A76="",L$4=""),"",IF(NOT(OR(L$6="Toda la plantilla",ISNUMBER(SEARCH(";"&amp;SUBSTITUTE($C76," ","")&amp;";",";"&amp;SUBSTITUTE(L$7," ","")&amp;";")))),"—",IF(_xlfn.MAXIFS(Acuses!$C$5:$C$3004,Acuses!$A$5:$A$3004,$A76,Acuses!$B$5:$B$3004,L$4)&lt;L$5,"Pendiente",IF(L$8=0,"OK",IF(EDATE(_xlfn.MAXIFS(Acuses!$D$5:$D$3004,Acuses!$A$5:$A$3004,$A76,Acuses!$B$5:$B$3004,L$4,Acuses!$C$5:$C$3004,L$5),L$8)&lt;Resumen!$C$4,"Caducado",IF(EDATE(_xlfn.MAXIFS(Acuses!$D$5:$D$3004,Acuses!$A$5:$A$3004,$A76,Acuses!$B$5:$B$3004,L$4,Acuses!$C$5:$C$3004,L$5),L$8)&lt;Resumen!$C$4+30,"Caduca pronto","OK"))))))</f>
        <v/>
      </c>
      <c r="M76" s="26" t="str">
        <f aca="false">IF(OR($A76="",M$4=""),"",IF(NOT(OR(M$6="Toda la plantilla",ISNUMBER(SEARCH(";"&amp;SUBSTITUTE($C76," ","")&amp;";",";"&amp;SUBSTITUTE(M$7," ","")&amp;";")))),"—",IF(_xlfn.MAXIFS(Acuses!$C$5:$C$3004,Acuses!$A$5:$A$3004,$A76,Acuses!$B$5:$B$3004,M$4)&lt;M$5,"Pendiente",IF(M$8=0,"OK",IF(EDATE(_xlfn.MAXIFS(Acuses!$D$5:$D$3004,Acuses!$A$5:$A$3004,$A76,Acuses!$B$5:$B$3004,M$4,Acuses!$C$5:$C$3004,M$5),M$8)&lt;Resumen!$C$4,"Caducado",IF(EDATE(_xlfn.MAXIFS(Acuses!$D$5:$D$3004,Acuses!$A$5:$A$3004,$A76,Acuses!$B$5:$B$3004,M$4,Acuses!$C$5:$C$3004,M$5),M$8)&lt;Resumen!$C$4+30,"Caduca pronto","OK"))))))</f>
        <v/>
      </c>
      <c r="N76" s="26" t="str">
        <f aca="false">IF(OR($A76="",N$4=""),"",IF(NOT(OR(N$6="Toda la plantilla",ISNUMBER(SEARCH(";"&amp;SUBSTITUTE($C76," ","")&amp;";",";"&amp;SUBSTITUTE(N$7," ","")&amp;";")))),"—",IF(_xlfn.MAXIFS(Acuses!$C$5:$C$3004,Acuses!$A$5:$A$3004,$A76,Acuses!$B$5:$B$3004,N$4)&lt;N$5,"Pendiente",IF(N$8=0,"OK",IF(EDATE(_xlfn.MAXIFS(Acuses!$D$5:$D$3004,Acuses!$A$5:$A$3004,$A76,Acuses!$B$5:$B$3004,N$4,Acuses!$C$5:$C$3004,N$5),N$8)&lt;Resumen!$C$4,"Caducado",IF(EDATE(_xlfn.MAXIFS(Acuses!$D$5:$D$3004,Acuses!$A$5:$A$3004,$A76,Acuses!$B$5:$B$3004,N$4,Acuses!$C$5:$C$3004,N$5),N$8)&lt;Resumen!$C$4+30,"Caduca pronto","OK"))))))</f>
        <v/>
      </c>
      <c r="O76" s="26" t="str">
        <f aca="false">IF(OR($A76="",O$4=""),"",IF(NOT(OR(O$6="Toda la plantilla",ISNUMBER(SEARCH(";"&amp;SUBSTITUTE($C76," ","")&amp;";",";"&amp;SUBSTITUTE(O$7," ","")&amp;";")))),"—",IF(_xlfn.MAXIFS(Acuses!$C$5:$C$3004,Acuses!$A$5:$A$3004,$A76,Acuses!$B$5:$B$3004,O$4)&lt;O$5,"Pendiente",IF(O$8=0,"OK",IF(EDATE(_xlfn.MAXIFS(Acuses!$D$5:$D$3004,Acuses!$A$5:$A$3004,$A76,Acuses!$B$5:$B$3004,O$4,Acuses!$C$5:$C$3004,O$5),O$8)&lt;Resumen!$C$4,"Caducado",IF(EDATE(_xlfn.MAXIFS(Acuses!$D$5:$D$3004,Acuses!$A$5:$A$3004,$A76,Acuses!$B$5:$B$3004,O$4,Acuses!$C$5:$C$3004,O$5),O$8)&lt;Resumen!$C$4+30,"Caduca pronto","OK"))))))</f>
        <v/>
      </c>
      <c r="P76" s="26" t="str">
        <f aca="false">IF(OR($A76="",P$4=""),"",IF(NOT(OR(P$6="Toda la plantilla",ISNUMBER(SEARCH(";"&amp;SUBSTITUTE($C76," ","")&amp;";",";"&amp;SUBSTITUTE(P$7," ","")&amp;";")))),"—",IF(_xlfn.MAXIFS(Acuses!$C$5:$C$3004,Acuses!$A$5:$A$3004,$A76,Acuses!$B$5:$B$3004,P$4)&lt;P$5,"Pendiente",IF(P$8=0,"OK",IF(EDATE(_xlfn.MAXIFS(Acuses!$D$5:$D$3004,Acuses!$A$5:$A$3004,$A76,Acuses!$B$5:$B$3004,P$4,Acuses!$C$5:$C$3004,P$5),P$8)&lt;Resumen!$C$4,"Caducado",IF(EDATE(_xlfn.MAXIFS(Acuses!$D$5:$D$3004,Acuses!$A$5:$A$3004,$A76,Acuses!$B$5:$B$3004,P$4,Acuses!$C$5:$C$3004,P$5),P$8)&lt;Resumen!$C$4+30,"Caduca pronto","OK"))))))</f>
        <v/>
      </c>
      <c r="Q76" s="26" t="str">
        <f aca="false">IF(OR($A76="",Q$4=""),"",IF(NOT(OR(Q$6="Toda la plantilla",ISNUMBER(SEARCH(";"&amp;SUBSTITUTE($C76," ","")&amp;";",";"&amp;SUBSTITUTE(Q$7," ","")&amp;";")))),"—",IF(_xlfn.MAXIFS(Acuses!$C$5:$C$3004,Acuses!$A$5:$A$3004,$A76,Acuses!$B$5:$B$3004,Q$4)&lt;Q$5,"Pendiente",IF(Q$8=0,"OK",IF(EDATE(_xlfn.MAXIFS(Acuses!$D$5:$D$3004,Acuses!$A$5:$A$3004,$A76,Acuses!$B$5:$B$3004,Q$4,Acuses!$C$5:$C$3004,Q$5),Q$8)&lt;Resumen!$C$4,"Caducado",IF(EDATE(_xlfn.MAXIFS(Acuses!$D$5:$D$3004,Acuses!$A$5:$A$3004,$A76,Acuses!$B$5:$B$3004,Q$4,Acuses!$C$5:$C$3004,Q$5),Q$8)&lt;Resumen!$C$4+30,"Caduca pronto","OK"))))))</f>
        <v/>
      </c>
      <c r="R76" s="26" t="str">
        <f aca="false">IF(OR($A76="",R$4=""),"",IF(NOT(OR(R$6="Toda la plantilla",ISNUMBER(SEARCH(";"&amp;SUBSTITUTE($C76," ","")&amp;";",";"&amp;SUBSTITUTE(R$7," ","")&amp;";")))),"—",IF(_xlfn.MAXIFS(Acuses!$C$5:$C$3004,Acuses!$A$5:$A$3004,$A76,Acuses!$B$5:$B$3004,R$4)&lt;R$5,"Pendiente",IF(R$8=0,"OK",IF(EDATE(_xlfn.MAXIFS(Acuses!$D$5:$D$3004,Acuses!$A$5:$A$3004,$A76,Acuses!$B$5:$B$3004,R$4,Acuses!$C$5:$C$3004,R$5),R$8)&lt;Resumen!$C$4,"Caducado",IF(EDATE(_xlfn.MAXIFS(Acuses!$D$5:$D$3004,Acuses!$A$5:$A$3004,$A76,Acuses!$B$5:$B$3004,R$4,Acuses!$C$5:$C$3004,R$5),R$8)&lt;Resumen!$C$4+30,"Caduca pronto","OK"))))))</f>
        <v/>
      </c>
      <c r="S76" s="26" t="str">
        <f aca="false">IF(OR($A76="",S$4=""),"",IF(NOT(OR(S$6="Toda la plantilla",ISNUMBER(SEARCH(";"&amp;SUBSTITUTE($C76," ","")&amp;";",";"&amp;SUBSTITUTE(S$7," ","")&amp;";")))),"—",IF(_xlfn.MAXIFS(Acuses!$C$5:$C$3004,Acuses!$A$5:$A$3004,$A76,Acuses!$B$5:$B$3004,S$4)&lt;S$5,"Pendiente",IF(S$8=0,"OK",IF(EDATE(_xlfn.MAXIFS(Acuses!$D$5:$D$3004,Acuses!$A$5:$A$3004,$A76,Acuses!$B$5:$B$3004,S$4,Acuses!$C$5:$C$3004,S$5),S$8)&lt;Resumen!$C$4,"Caducado",IF(EDATE(_xlfn.MAXIFS(Acuses!$D$5:$D$3004,Acuses!$A$5:$A$3004,$A76,Acuses!$B$5:$B$3004,S$4,Acuses!$C$5:$C$3004,S$5),S$8)&lt;Resumen!$C$4+30,"Caduca pronto","OK"))))))</f>
        <v/>
      </c>
      <c r="T76" s="26" t="str">
        <f aca="false">IF(OR($A76="",T$4=""),"",IF(NOT(OR(T$6="Toda la plantilla",ISNUMBER(SEARCH(";"&amp;SUBSTITUTE($C76," ","")&amp;";",";"&amp;SUBSTITUTE(T$7," ","")&amp;";")))),"—",IF(_xlfn.MAXIFS(Acuses!$C$5:$C$3004,Acuses!$A$5:$A$3004,$A76,Acuses!$B$5:$B$3004,T$4)&lt;T$5,"Pendiente",IF(T$8=0,"OK",IF(EDATE(_xlfn.MAXIFS(Acuses!$D$5:$D$3004,Acuses!$A$5:$A$3004,$A76,Acuses!$B$5:$B$3004,T$4,Acuses!$C$5:$C$3004,T$5),T$8)&lt;Resumen!$C$4,"Caducado",IF(EDATE(_xlfn.MAXIFS(Acuses!$D$5:$D$3004,Acuses!$A$5:$A$3004,$A76,Acuses!$B$5:$B$3004,T$4,Acuses!$C$5:$C$3004,T$5),T$8)&lt;Resumen!$C$4+30,"Caduca pronto","OK"))))))</f>
        <v/>
      </c>
      <c r="U76" s="26" t="str">
        <f aca="false">IF(OR($A76="",U$4=""),"",IF(NOT(OR(U$6="Toda la plantilla",ISNUMBER(SEARCH(";"&amp;SUBSTITUTE($C76," ","")&amp;";",";"&amp;SUBSTITUTE(U$7," ","")&amp;";")))),"—",IF(_xlfn.MAXIFS(Acuses!$C$5:$C$3004,Acuses!$A$5:$A$3004,$A76,Acuses!$B$5:$B$3004,U$4)&lt;U$5,"Pendiente",IF(U$8=0,"OK",IF(EDATE(_xlfn.MAXIFS(Acuses!$D$5:$D$3004,Acuses!$A$5:$A$3004,$A76,Acuses!$B$5:$B$3004,U$4,Acuses!$C$5:$C$3004,U$5),U$8)&lt;Resumen!$C$4,"Caducado",IF(EDATE(_xlfn.MAXIFS(Acuses!$D$5:$D$3004,Acuses!$A$5:$A$3004,$A76,Acuses!$B$5:$B$3004,U$4,Acuses!$C$5:$C$3004,U$5),U$8)&lt;Resumen!$C$4+30,"Caduca pronto","OK"))))))</f>
        <v/>
      </c>
      <c r="V76" s="26" t="str">
        <f aca="false">IF(OR($A76="",V$4=""),"",IF(NOT(OR(V$6="Toda la plantilla",ISNUMBER(SEARCH(";"&amp;SUBSTITUTE($C76," ","")&amp;";",";"&amp;SUBSTITUTE(V$7," ","")&amp;";")))),"—",IF(_xlfn.MAXIFS(Acuses!$C$5:$C$3004,Acuses!$A$5:$A$3004,$A76,Acuses!$B$5:$B$3004,V$4)&lt;V$5,"Pendiente",IF(V$8=0,"OK",IF(EDATE(_xlfn.MAXIFS(Acuses!$D$5:$D$3004,Acuses!$A$5:$A$3004,$A76,Acuses!$B$5:$B$3004,V$4,Acuses!$C$5:$C$3004,V$5),V$8)&lt;Resumen!$C$4,"Caducado",IF(EDATE(_xlfn.MAXIFS(Acuses!$D$5:$D$3004,Acuses!$A$5:$A$3004,$A76,Acuses!$B$5:$B$3004,V$4,Acuses!$C$5:$C$3004,V$5),V$8)&lt;Resumen!$C$4+30,"Caduca pronto","OK"))))))</f>
        <v/>
      </c>
      <c r="W76" s="26" t="str">
        <f aca="false">IF(OR($A76="",W$4=""),"",IF(NOT(OR(W$6="Toda la plantilla",ISNUMBER(SEARCH(";"&amp;SUBSTITUTE($C76," ","")&amp;";",";"&amp;SUBSTITUTE(W$7," ","")&amp;";")))),"—",IF(_xlfn.MAXIFS(Acuses!$C$5:$C$3004,Acuses!$A$5:$A$3004,$A76,Acuses!$B$5:$B$3004,W$4)&lt;W$5,"Pendiente",IF(W$8=0,"OK",IF(EDATE(_xlfn.MAXIFS(Acuses!$D$5:$D$3004,Acuses!$A$5:$A$3004,$A76,Acuses!$B$5:$B$3004,W$4,Acuses!$C$5:$C$3004,W$5),W$8)&lt;Resumen!$C$4,"Caducado",IF(EDATE(_xlfn.MAXIFS(Acuses!$D$5:$D$3004,Acuses!$A$5:$A$3004,$A76,Acuses!$B$5:$B$3004,W$4,Acuses!$C$5:$C$3004,W$5),W$8)&lt;Resumen!$C$4+30,"Caduca pronto","OK"))))))</f>
        <v/>
      </c>
      <c r="X76" s="26" t="str">
        <f aca="false">IF(OR($A76="",X$4=""),"",IF(NOT(OR(X$6="Toda la plantilla",ISNUMBER(SEARCH(";"&amp;SUBSTITUTE($C76," ","")&amp;";",";"&amp;SUBSTITUTE(X$7," ","")&amp;";")))),"—",IF(_xlfn.MAXIFS(Acuses!$C$5:$C$3004,Acuses!$A$5:$A$3004,$A76,Acuses!$B$5:$B$3004,X$4)&lt;X$5,"Pendiente",IF(X$8=0,"OK",IF(EDATE(_xlfn.MAXIFS(Acuses!$D$5:$D$3004,Acuses!$A$5:$A$3004,$A76,Acuses!$B$5:$B$3004,X$4,Acuses!$C$5:$C$3004,X$5),X$8)&lt;Resumen!$C$4,"Caducado",IF(EDATE(_xlfn.MAXIFS(Acuses!$D$5:$D$3004,Acuses!$A$5:$A$3004,$A76,Acuses!$B$5:$B$3004,X$4,Acuses!$C$5:$C$3004,X$5),X$8)&lt;Resumen!$C$4+30,"Caduca pronto","OK"))))))</f>
        <v/>
      </c>
      <c r="Y76" s="26" t="str">
        <f aca="false">IF(OR($A76="",Y$4=""),"",IF(NOT(OR(Y$6="Toda la plantilla",ISNUMBER(SEARCH(";"&amp;SUBSTITUTE($C76," ","")&amp;";",";"&amp;SUBSTITUTE(Y$7," ","")&amp;";")))),"—",IF(_xlfn.MAXIFS(Acuses!$C$5:$C$3004,Acuses!$A$5:$A$3004,$A76,Acuses!$B$5:$B$3004,Y$4)&lt;Y$5,"Pendiente",IF(Y$8=0,"OK",IF(EDATE(_xlfn.MAXIFS(Acuses!$D$5:$D$3004,Acuses!$A$5:$A$3004,$A76,Acuses!$B$5:$B$3004,Y$4,Acuses!$C$5:$C$3004,Y$5),Y$8)&lt;Resumen!$C$4,"Caducado",IF(EDATE(_xlfn.MAXIFS(Acuses!$D$5:$D$3004,Acuses!$A$5:$A$3004,$A76,Acuses!$B$5:$B$3004,Y$4,Acuses!$C$5:$C$3004,Y$5),Y$8)&lt;Resumen!$C$4+30,"Caduca pronto","OK"))))))</f>
        <v/>
      </c>
      <c r="Z76" s="26" t="str">
        <f aca="false">IF(OR($A76="",Z$4=""),"",IF(NOT(OR(Z$6="Toda la plantilla",ISNUMBER(SEARCH(";"&amp;SUBSTITUTE($C76," ","")&amp;";",";"&amp;SUBSTITUTE(Z$7," ","")&amp;";")))),"—",IF(_xlfn.MAXIFS(Acuses!$C$5:$C$3004,Acuses!$A$5:$A$3004,$A76,Acuses!$B$5:$B$3004,Z$4)&lt;Z$5,"Pendiente",IF(Z$8=0,"OK",IF(EDATE(_xlfn.MAXIFS(Acuses!$D$5:$D$3004,Acuses!$A$5:$A$3004,$A76,Acuses!$B$5:$B$3004,Z$4,Acuses!$C$5:$C$3004,Z$5),Z$8)&lt;Resumen!$C$4,"Caducado",IF(EDATE(_xlfn.MAXIFS(Acuses!$D$5:$D$3004,Acuses!$A$5:$A$3004,$A76,Acuses!$B$5:$B$3004,Z$4,Acuses!$C$5:$C$3004,Z$5),Z$8)&lt;Resumen!$C$4+30,"Caduca pronto","OK"))))))</f>
        <v/>
      </c>
      <c r="AA76" s="26" t="str">
        <f aca="false">IF(OR($A76="",AA$4=""),"",IF(NOT(OR(AA$6="Toda la plantilla",ISNUMBER(SEARCH(";"&amp;SUBSTITUTE($C76," ","")&amp;";",";"&amp;SUBSTITUTE(AA$7," ","")&amp;";")))),"—",IF(_xlfn.MAXIFS(Acuses!$C$5:$C$3004,Acuses!$A$5:$A$3004,$A76,Acuses!$B$5:$B$3004,AA$4)&lt;AA$5,"Pendiente",IF(AA$8=0,"OK",IF(EDATE(_xlfn.MAXIFS(Acuses!$D$5:$D$3004,Acuses!$A$5:$A$3004,$A76,Acuses!$B$5:$B$3004,AA$4,Acuses!$C$5:$C$3004,AA$5),AA$8)&lt;Resumen!$C$4,"Caducado",IF(EDATE(_xlfn.MAXIFS(Acuses!$D$5:$D$3004,Acuses!$A$5:$A$3004,$A76,Acuses!$B$5:$B$3004,AA$4,Acuses!$C$5:$C$3004,AA$5),AA$8)&lt;Resumen!$C$4+30,"Caduca pronto","OK"))))))</f>
        <v/>
      </c>
      <c r="AB76" s="26" t="str">
        <f aca="false">IF(OR($A76="",AB$4=""),"",IF(NOT(OR(AB$6="Toda la plantilla",ISNUMBER(SEARCH(";"&amp;SUBSTITUTE($C76," ","")&amp;";",";"&amp;SUBSTITUTE(AB$7," ","")&amp;";")))),"—",IF(_xlfn.MAXIFS(Acuses!$C$5:$C$3004,Acuses!$A$5:$A$3004,$A76,Acuses!$B$5:$B$3004,AB$4)&lt;AB$5,"Pendiente",IF(AB$8=0,"OK",IF(EDATE(_xlfn.MAXIFS(Acuses!$D$5:$D$3004,Acuses!$A$5:$A$3004,$A76,Acuses!$B$5:$B$3004,AB$4,Acuses!$C$5:$C$3004,AB$5),AB$8)&lt;Resumen!$C$4,"Caducado",IF(EDATE(_xlfn.MAXIFS(Acuses!$D$5:$D$3004,Acuses!$A$5:$A$3004,$A76,Acuses!$B$5:$B$3004,AB$4,Acuses!$C$5:$C$3004,AB$5),AB$8)&lt;Resumen!$C$4+30,"Caduca pronto","OK"))))))</f>
        <v/>
      </c>
      <c r="AC76" s="26" t="str">
        <f aca="false">IF(OR($A76="",AC$4=""),"",IF(NOT(OR(AC$6="Toda la plantilla",ISNUMBER(SEARCH(";"&amp;SUBSTITUTE($C76," ","")&amp;";",";"&amp;SUBSTITUTE(AC$7," ","")&amp;";")))),"—",IF(_xlfn.MAXIFS(Acuses!$C$5:$C$3004,Acuses!$A$5:$A$3004,$A76,Acuses!$B$5:$B$3004,AC$4)&lt;AC$5,"Pendiente",IF(AC$8=0,"OK",IF(EDATE(_xlfn.MAXIFS(Acuses!$D$5:$D$3004,Acuses!$A$5:$A$3004,$A76,Acuses!$B$5:$B$3004,AC$4,Acuses!$C$5:$C$3004,AC$5),AC$8)&lt;Resumen!$C$4,"Caducado",IF(EDATE(_xlfn.MAXIFS(Acuses!$D$5:$D$3004,Acuses!$A$5:$A$3004,$A76,Acuses!$B$5:$B$3004,AC$4,Acuses!$C$5:$C$3004,AC$5),AC$8)&lt;Resumen!$C$4+30,"Caduca pronto","OK"))))))</f>
        <v/>
      </c>
      <c r="AD76" s="26" t="str">
        <f aca="false">IF(OR($A76="",AD$4=""),"",IF(NOT(OR(AD$6="Toda la plantilla",ISNUMBER(SEARCH(";"&amp;SUBSTITUTE($C76," ","")&amp;";",";"&amp;SUBSTITUTE(AD$7," ","")&amp;";")))),"—",IF(_xlfn.MAXIFS(Acuses!$C$5:$C$3004,Acuses!$A$5:$A$3004,$A76,Acuses!$B$5:$B$3004,AD$4)&lt;AD$5,"Pendiente",IF(AD$8=0,"OK",IF(EDATE(_xlfn.MAXIFS(Acuses!$D$5:$D$3004,Acuses!$A$5:$A$3004,$A76,Acuses!$B$5:$B$3004,AD$4,Acuses!$C$5:$C$3004,AD$5),AD$8)&lt;Resumen!$C$4,"Caducado",IF(EDATE(_xlfn.MAXIFS(Acuses!$D$5:$D$3004,Acuses!$A$5:$A$3004,$A76,Acuses!$B$5:$B$3004,AD$4,Acuses!$C$5:$C$3004,AD$5),AD$8)&lt;Resumen!$C$4+30,"Caduca pronto","OK"))))))</f>
        <v/>
      </c>
      <c r="AE76" s="26" t="str">
        <f aca="false">IF(OR($A76="",AE$4=""),"",IF(NOT(OR(AE$6="Toda la plantilla",ISNUMBER(SEARCH(";"&amp;SUBSTITUTE($C76," ","")&amp;";",";"&amp;SUBSTITUTE(AE$7," ","")&amp;";")))),"—",IF(_xlfn.MAXIFS(Acuses!$C$5:$C$3004,Acuses!$A$5:$A$3004,$A76,Acuses!$B$5:$B$3004,AE$4)&lt;AE$5,"Pendiente",IF(AE$8=0,"OK",IF(EDATE(_xlfn.MAXIFS(Acuses!$D$5:$D$3004,Acuses!$A$5:$A$3004,$A76,Acuses!$B$5:$B$3004,AE$4,Acuses!$C$5:$C$3004,AE$5),AE$8)&lt;Resumen!$C$4,"Caducado",IF(EDATE(_xlfn.MAXIFS(Acuses!$D$5:$D$3004,Acuses!$A$5:$A$3004,$A76,Acuses!$B$5:$B$3004,AE$4,Acuses!$C$5:$C$3004,AE$5),AE$8)&lt;Resumen!$C$4+30,"Caduca pronto","OK"))))))</f>
        <v/>
      </c>
      <c r="AF76" s="26" t="str">
        <f aca="false">IF(OR($A76="",AF$4=""),"",IF(NOT(OR(AF$6="Toda la plantilla",ISNUMBER(SEARCH(";"&amp;SUBSTITUTE($C76," ","")&amp;";",";"&amp;SUBSTITUTE(AF$7," ","")&amp;";")))),"—",IF(_xlfn.MAXIFS(Acuses!$C$5:$C$3004,Acuses!$A$5:$A$3004,$A76,Acuses!$B$5:$B$3004,AF$4)&lt;AF$5,"Pendiente",IF(AF$8=0,"OK",IF(EDATE(_xlfn.MAXIFS(Acuses!$D$5:$D$3004,Acuses!$A$5:$A$3004,$A76,Acuses!$B$5:$B$3004,AF$4,Acuses!$C$5:$C$3004,AF$5),AF$8)&lt;Resumen!$C$4,"Caducado",IF(EDATE(_xlfn.MAXIFS(Acuses!$D$5:$D$3004,Acuses!$A$5:$A$3004,$A76,Acuses!$B$5:$B$3004,AF$4,Acuses!$C$5:$C$3004,AF$5),AF$8)&lt;Resumen!$C$4+30,"Caduca pronto","OK"))))))</f>
        <v/>
      </c>
      <c r="AG76" s="26" t="str">
        <f aca="false">IF(OR($A76="",AG$4=""),"",IF(NOT(OR(AG$6="Toda la plantilla",ISNUMBER(SEARCH(";"&amp;SUBSTITUTE($C76," ","")&amp;";",";"&amp;SUBSTITUTE(AG$7," ","")&amp;";")))),"—",IF(_xlfn.MAXIFS(Acuses!$C$5:$C$3004,Acuses!$A$5:$A$3004,$A76,Acuses!$B$5:$B$3004,AG$4)&lt;AG$5,"Pendiente",IF(AG$8=0,"OK",IF(EDATE(_xlfn.MAXIFS(Acuses!$D$5:$D$3004,Acuses!$A$5:$A$3004,$A76,Acuses!$B$5:$B$3004,AG$4,Acuses!$C$5:$C$3004,AG$5),AG$8)&lt;Resumen!$C$4,"Caducado",IF(EDATE(_xlfn.MAXIFS(Acuses!$D$5:$D$3004,Acuses!$A$5:$A$3004,$A76,Acuses!$B$5:$B$3004,AG$4,Acuses!$C$5:$C$3004,AG$5),AG$8)&lt;Resumen!$C$4+30,"Caduca pronto","OK"))))))</f>
        <v/>
      </c>
      <c r="AH76" s="26" t="str">
        <f aca="false">IF(OR($A76="",AH$4=""),"",IF(NOT(OR(AH$6="Toda la plantilla",ISNUMBER(SEARCH(";"&amp;SUBSTITUTE($C76," ","")&amp;";",";"&amp;SUBSTITUTE(AH$7," ","")&amp;";")))),"—",IF(_xlfn.MAXIFS(Acuses!$C$5:$C$3004,Acuses!$A$5:$A$3004,$A76,Acuses!$B$5:$B$3004,AH$4)&lt;AH$5,"Pendiente",IF(AH$8=0,"OK",IF(EDATE(_xlfn.MAXIFS(Acuses!$D$5:$D$3004,Acuses!$A$5:$A$3004,$A76,Acuses!$B$5:$B$3004,AH$4,Acuses!$C$5:$C$3004,AH$5),AH$8)&lt;Resumen!$C$4,"Caducado",IF(EDATE(_xlfn.MAXIFS(Acuses!$D$5:$D$3004,Acuses!$A$5:$A$3004,$A76,Acuses!$B$5:$B$3004,AH$4,Acuses!$C$5:$C$3004,AH$5),AH$8)&lt;Resumen!$C$4+30,"Caduca pronto","OK"))))))</f>
        <v/>
      </c>
      <c r="AI76" s="26" t="str">
        <f aca="false">IF(OR($A76="",AI$4=""),"",IF(NOT(OR(AI$6="Toda la plantilla",ISNUMBER(SEARCH(";"&amp;SUBSTITUTE($C76," ","")&amp;";",";"&amp;SUBSTITUTE(AI$7," ","")&amp;";")))),"—",IF(_xlfn.MAXIFS(Acuses!$C$5:$C$3004,Acuses!$A$5:$A$3004,$A76,Acuses!$B$5:$B$3004,AI$4)&lt;AI$5,"Pendiente",IF(AI$8=0,"OK",IF(EDATE(_xlfn.MAXIFS(Acuses!$D$5:$D$3004,Acuses!$A$5:$A$3004,$A76,Acuses!$B$5:$B$3004,AI$4,Acuses!$C$5:$C$3004,AI$5),AI$8)&lt;Resumen!$C$4,"Caducado",IF(EDATE(_xlfn.MAXIFS(Acuses!$D$5:$D$3004,Acuses!$A$5:$A$3004,$A76,Acuses!$B$5:$B$3004,AI$4,Acuses!$C$5:$C$3004,AI$5),AI$8)&lt;Resumen!$C$4+30,"Caduca pronto","OK"))))))</f>
        <v/>
      </c>
      <c r="AJ76" s="26" t="str">
        <f aca="false">IF(OR($A76="",AJ$4=""),"",IF(NOT(OR(AJ$6="Toda la plantilla",ISNUMBER(SEARCH(";"&amp;SUBSTITUTE($C76," ","")&amp;";",";"&amp;SUBSTITUTE(AJ$7," ","")&amp;";")))),"—",IF(_xlfn.MAXIFS(Acuses!$C$5:$C$3004,Acuses!$A$5:$A$3004,$A76,Acuses!$B$5:$B$3004,AJ$4)&lt;AJ$5,"Pendiente",IF(AJ$8=0,"OK",IF(EDATE(_xlfn.MAXIFS(Acuses!$D$5:$D$3004,Acuses!$A$5:$A$3004,$A76,Acuses!$B$5:$B$3004,AJ$4,Acuses!$C$5:$C$3004,AJ$5),AJ$8)&lt;Resumen!$C$4,"Caducado",IF(EDATE(_xlfn.MAXIFS(Acuses!$D$5:$D$3004,Acuses!$A$5:$A$3004,$A76,Acuses!$B$5:$B$3004,AJ$4,Acuses!$C$5:$C$3004,AJ$5),AJ$8)&lt;Resumen!$C$4+30,"Caduca pronto","OK"))))))</f>
        <v/>
      </c>
      <c r="AK76" s="26" t="str">
        <f aca="false">IF(OR($A76="",AK$4=""),"",IF(NOT(OR(AK$6="Toda la plantilla",ISNUMBER(SEARCH(";"&amp;SUBSTITUTE($C76," ","")&amp;";",";"&amp;SUBSTITUTE(AK$7," ","")&amp;";")))),"—",IF(_xlfn.MAXIFS(Acuses!$C$5:$C$3004,Acuses!$A$5:$A$3004,$A76,Acuses!$B$5:$B$3004,AK$4)&lt;AK$5,"Pendiente",IF(AK$8=0,"OK",IF(EDATE(_xlfn.MAXIFS(Acuses!$D$5:$D$3004,Acuses!$A$5:$A$3004,$A76,Acuses!$B$5:$B$3004,AK$4,Acuses!$C$5:$C$3004,AK$5),AK$8)&lt;Resumen!$C$4,"Caducado",IF(EDATE(_xlfn.MAXIFS(Acuses!$D$5:$D$3004,Acuses!$A$5:$A$3004,$A76,Acuses!$B$5:$B$3004,AK$4,Acuses!$C$5:$C$3004,AK$5),AK$8)&lt;Resumen!$C$4+30,"Caduca pronto","OK"))))))</f>
        <v/>
      </c>
      <c r="AL76" s="26" t="str">
        <f aca="false">IF(OR($A76="",AL$4=""),"",IF(NOT(OR(AL$6="Toda la plantilla",ISNUMBER(SEARCH(";"&amp;SUBSTITUTE($C76," ","")&amp;";",";"&amp;SUBSTITUTE(AL$7," ","")&amp;";")))),"—",IF(_xlfn.MAXIFS(Acuses!$C$5:$C$3004,Acuses!$A$5:$A$3004,$A76,Acuses!$B$5:$B$3004,AL$4)&lt;AL$5,"Pendiente",IF(AL$8=0,"OK",IF(EDATE(_xlfn.MAXIFS(Acuses!$D$5:$D$3004,Acuses!$A$5:$A$3004,$A76,Acuses!$B$5:$B$3004,AL$4,Acuses!$C$5:$C$3004,AL$5),AL$8)&lt;Resumen!$C$4,"Caducado",IF(EDATE(_xlfn.MAXIFS(Acuses!$D$5:$D$3004,Acuses!$A$5:$A$3004,$A76,Acuses!$B$5:$B$3004,AL$4,Acuses!$C$5:$C$3004,AL$5),AL$8)&lt;Resumen!$C$4+30,"Caduca pronto","OK"))))))</f>
        <v/>
      </c>
      <c r="AM76" s="26" t="str">
        <f aca="false">IF(OR($A76="",AM$4=""),"",IF(NOT(OR(AM$6="Toda la plantilla",ISNUMBER(SEARCH(";"&amp;SUBSTITUTE($C76," ","")&amp;";",";"&amp;SUBSTITUTE(AM$7," ","")&amp;";")))),"—",IF(_xlfn.MAXIFS(Acuses!$C$5:$C$3004,Acuses!$A$5:$A$3004,$A76,Acuses!$B$5:$B$3004,AM$4)&lt;AM$5,"Pendiente",IF(AM$8=0,"OK",IF(EDATE(_xlfn.MAXIFS(Acuses!$D$5:$D$3004,Acuses!$A$5:$A$3004,$A76,Acuses!$B$5:$B$3004,AM$4,Acuses!$C$5:$C$3004,AM$5),AM$8)&lt;Resumen!$C$4,"Caducado",IF(EDATE(_xlfn.MAXIFS(Acuses!$D$5:$D$3004,Acuses!$A$5:$A$3004,$A76,Acuses!$B$5:$B$3004,AM$4,Acuses!$C$5:$C$3004,AM$5),AM$8)&lt;Resumen!$C$4+30,"Caduca pronto","OK"))))))</f>
        <v/>
      </c>
      <c r="AN76" s="26" t="str">
        <f aca="false">IF(OR($A76="",AN$4=""),"",IF(NOT(OR(AN$6="Toda la plantilla",ISNUMBER(SEARCH(";"&amp;SUBSTITUTE($C76," ","")&amp;";",";"&amp;SUBSTITUTE(AN$7," ","")&amp;";")))),"—",IF(_xlfn.MAXIFS(Acuses!$C$5:$C$3004,Acuses!$A$5:$A$3004,$A76,Acuses!$B$5:$B$3004,AN$4)&lt;AN$5,"Pendiente",IF(AN$8=0,"OK",IF(EDATE(_xlfn.MAXIFS(Acuses!$D$5:$D$3004,Acuses!$A$5:$A$3004,$A76,Acuses!$B$5:$B$3004,AN$4,Acuses!$C$5:$C$3004,AN$5),AN$8)&lt;Resumen!$C$4,"Caducado",IF(EDATE(_xlfn.MAXIFS(Acuses!$D$5:$D$3004,Acuses!$A$5:$A$3004,$A76,Acuses!$B$5:$B$3004,AN$4,Acuses!$C$5:$C$3004,AN$5),AN$8)&lt;Resumen!$C$4+30,"Caduca pronto","OK"))))))</f>
        <v/>
      </c>
      <c r="AO76" s="26" t="str">
        <f aca="false">IF(OR($A76="",AO$4=""),"",IF(NOT(OR(AO$6="Toda la plantilla",ISNUMBER(SEARCH(";"&amp;SUBSTITUTE($C76," ","")&amp;";",";"&amp;SUBSTITUTE(AO$7," ","")&amp;";")))),"—",IF(_xlfn.MAXIFS(Acuses!$C$5:$C$3004,Acuses!$A$5:$A$3004,$A76,Acuses!$B$5:$B$3004,AO$4)&lt;AO$5,"Pendiente",IF(AO$8=0,"OK",IF(EDATE(_xlfn.MAXIFS(Acuses!$D$5:$D$3004,Acuses!$A$5:$A$3004,$A76,Acuses!$B$5:$B$3004,AO$4,Acuses!$C$5:$C$3004,AO$5),AO$8)&lt;Resumen!$C$4,"Caducado",IF(EDATE(_xlfn.MAXIFS(Acuses!$D$5:$D$3004,Acuses!$A$5:$A$3004,$A76,Acuses!$B$5:$B$3004,AO$4,Acuses!$C$5:$C$3004,AO$5),AO$8)&lt;Resumen!$C$4+30,"Caduca pronto","OK"))))))</f>
        <v/>
      </c>
      <c r="AP76" s="26" t="str">
        <f aca="false">IF(OR($A76="",AP$4=""),"",IF(NOT(OR(AP$6="Toda la plantilla",ISNUMBER(SEARCH(";"&amp;SUBSTITUTE($C76," ","")&amp;";",";"&amp;SUBSTITUTE(AP$7," ","")&amp;";")))),"—",IF(_xlfn.MAXIFS(Acuses!$C$5:$C$3004,Acuses!$A$5:$A$3004,$A76,Acuses!$B$5:$B$3004,AP$4)&lt;AP$5,"Pendiente",IF(AP$8=0,"OK",IF(EDATE(_xlfn.MAXIFS(Acuses!$D$5:$D$3004,Acuses!$A$5:$A$3004,$A76,Acuses!$B$5:$B$3004,AP$4,Acuses!$C$5:$C$3004,AP$5),AP$8)&lt;Resumen!$C$4,"Caducado",IF(EDATE(_xlfn.MAXIFS(Acuses!$D$5:$D$3004,Acuses!$A$5:$A$3004,$A76,Acuses!$B$5:$B$3004,AP$4,Acuses!$C$5:$C$3004,AP$5),AP$8)&lt;Resumen!$C$4+30,"Caduca pronto","OK"))))))</f>
        <v/>
      </c>
      <c r="AQ76" s="26" t="str">
        <f aca="false">IF(OR($A76="",AQ$4=""),"",IF(NOT(OR(AQ$6="Toda la plantilla",ISNUMBER(SEARCH(";"&amp;SUBSTITUTE($C76," ","")&amp;";",";"&amp;SUBSTITUTE(AQ$7," ","")&amp;";")))),"—",IF(_xlfn.MAXIFS(Acuses!$C$5:$C$3004,Acuses!$A$5:$A$3004,$A76,Acuses!$B$5:$B$3004,AQ$4)&lt;AQ$5,"Pendiente",IF(AQ$8=0,"OK",IF(EDATE(_xlfn.MAXIFS(Acuses!$D$5:$D$3004,Acuses!$A$5:$A$3004,$A76,Acuses!$B$5:$B$3004,AQ$4,Acuses!$C$5:$C$3004,AQ$5),AQ$8)&lt;Resumen!$C$4,"Caducado",IF(EDATE(_xlfn.MAXIFS(Acuses!$D$5:$D$3004,Acuses!$A$5:$A$3004,$A76,Acuses!$B$5:$B$3004,AQ$4,Acuses!$C$5:$C$3004,AQ$5),AQ$8)&lt;Resumen!$C$4+30,"Caduca pronto","OK"))))))</f>
        <v/>
      </c>
    </row>
    <row r="77" customFormat="false" ht="15" hidden="false" customHeight="false" outlineLevel="0" collapsed="false">
      <c r="A77" s="25" t="str">
        <f aca="false">IF(AND(Trabajadores!$A$72&lt;&gt;"",Trabajadores!$G$72&lt;&gt;"No"),Trabajadores!$A$72,"")</f>
        <v/>
      </c>
      <c r="B77" s="25" t="str">
        <f aca="false">IF($A77="","",Trabajadores!$B$72)</f>
        <v/>
      </c>
      <c r="C77" s="25" t="str">
        <f aca="false">IF($A77="","",Trabajadores!$C$72)</f>
        <v/>
      </c>
      <c r="D77" s="26" t="str">
        <f aca="false">IF(OR($A77="",D$4=""),"",IF(NOT(OR(D$6="Toda la plantilla",ISNUMBER(SEARCH(";"&amp;SUBSTITUTE($C77," ","")&amp;";",";"&amp;SUBSTITUTE(D$7," ","")&amp;";")))),"—",IF(_xlfn.MAXIFS(Acuses!$C$5:$C$3004,Acuses!$A$5:$A$3004,$A77,Acuses!$B$5:$B$3004,D$4)&lt;D$5,"Pendiente",IF(D$8=0,"OK",IF(EDATE(_xlfn.MAXIFS(Acuses!$D$5:$D$3004,Acuses!$A$5:$A$3004,$A77,Acuses!$B$5:$B$3004,D$4,Acuses!$C$5:$C$3004,D$5),D$8)&lt;Resumen!$C$4,"Caducado",IF(EDATE(_xlfn.MAXIFS(Acuses!$D$5:$D$3004,Acuses!$A$5:$A$3004,$A77,Acuses!$B$5:$B$3004,D$4,Acuses!$C$5:$C$3004,D$5),D$8)&lt;Resumen!$C$4+30,"Caduca pronto","OK"))))))</f>
        <v/>
      </c>
      <c r="E77" s="26" t="str">
        <f aca="false">IF(OR($A77="",E$4=""),"",IF(NOT(OR(E$6="Toda la plantilla",ISNUMBER(SEARCH(";"&amp;SUBSTITUTE($C77," ","")&amp;";",";"&amp;SUBSTITUTE(E$7," ","")&amp;";")))),"—",IF(_xlfn.MAXIFS(Acuses!$C$5:$C$3004,Acuses!$A$5:$A$3004,$A77,Acuses!$B$5:$B$3004,E$4)&lt;E$5,"Pendiente",IF(E$8=0,"OK",IF(EDATE(_xlfn.MAXIFS(Acuses!$D$5:$D$3004,Acuses!$A$5:$A$3004,$A77,Acuses!$B$5:$B$3004,E$4,Acuses!$C$5:$C$3004,E$5),E$8)&lt;Resumen!$C$4,"Caducado",IF(EDATE(_xlfn.MAXIFS(Acuses!$D$5:$D$3004,Acuses!$A$5:$A$3004,$A77,Acuses!$B$5:$B$3004,E$4,Acuses!$C$5:$C$3004,E$5),E$8)&lt;Resumen!$C$4+30,"Caduca pronto","OK"))))))</f>
        <v/>
      </c>
      <c r="F77" s="26" t="str">
        <f aca="false">IF(OR($A77="",F$4=""),"",IF(NOT(OR(F$6="Toda la plantilla",ISNUMBER(SEARCH(";"&amp;SUBSTITUTE($C77," ","")&amp;";",";"&amp;SUBSTITUTE(F$7," ","")&amp;";")))),"—",IF(_xlfn.MAXIFS(Acuses!$C$5:$C$3004,Acuses!$A$5:$A$3004,$A77,Acuses!$B$5:$B$3004,F$4)&lt;F$5,"Pendiente",IF(F$8=0,"OK",IF(EDATE(_xlfn.MAXIFS(Acuses!$D$5:$D$3004,Acuses!$A$5:$A$3004,$A77,Acuses!$B$5:$B$3004,F$4,Acuses!$C$5:$C$3004,F$5),F$8)&lt;Resumen!$C$4,"Caducado",IF(EDATE(_xlfn.MAXIFS(Acuses!$D$5:$D$3004,Acuses!$A$5:$A$3004,$A77,Acuses!$B$5:$B$3004,F$4,Acuses!$C$5:$C$3004,F$5),F$8)&lt;Resumen!$C$4+30,"Caduca pronto","OK"))))))</f>
        <v/>
      </c>
      <c r="G77" s="26" t="str">
        <f aca="false">IF(OR($A77="",G$4=""),"",IF(NOT(OR(G$6="Toda la plantilla",ISNUMBER(SEARCH(";"&amp;SUBSTITUTE($C77," ","")&amp;";",";"&amp;SUBSTITUTE(G$7," ","")&amp;";")))),"—",IF(_xlfn.MAXIFS(Acuses!$C$5:$C$3004,Acuses!$A$5:$A$3004,$A77,Acuses!$B$5:$B$3004,G$4)&lt;G$5,"Pendiente",IF(G$8=0,"OK",IF(EDATE(_xlfn.MAXIFS(Acuses!$D$5:$D$3004,Acuses!$A$5:$A$3004,$A77,Acuses!$B$5:$B$3004,G$4,Acuses!$C$5:$C$3004,G$5),G$8)&lt;Resumen!$C$4,"Caducado",IF(EDATE(_xlfn.MAXIFS(Acuses!$D$5:$D$3004,Acuses!$A$5:$A$3004,$A77,Acuses!$B$5:$B$3004,G$4,Acuses!$C$5:$C$3004,G$5),G$8)&lt;Resumen!$C$4+30,"Caduca pronto","OK"))))))</f>
        <v/>
      </c>
      <c r="H77" s="26" t="str">
        <f aca="false">IF(OR($A77="",H$4=""),"",IF(NOT(OR(H$6="Toda la plantilla",ISNUMBER(SEARCH(";"&amp;SUBSTITUTE($C77," ","")&amp;";",";"&amp;SUBSTITUTE(H$7," ","")&amp;";")))),"—",IF(_xlfn.MAXIFS(Acuses!$C$5:$C$3004,Acuses!$A$5:$A$3004,$A77,Acuses!$B$5:$B$3004,H$4)&lt;H$5,"Pendiente",IF(H$8=0,"OK",IF(EDATE(_xlfn.MAXIFS(Acuses!$D$5:$D$3004,Acuses!$A$5:$A$3004,$A77,Acuses!$B$5:$B$3004,H$4,Acuses!$C$5:$C$3004,H$5),H$8)&lt;Resumen!$C$4,"Caducado",IF(EDATE(_xlfn.MAXIFS(Acuses!$D$5:$D$3004,Acuses!$A$5:$A$3004,$A77,Acuses!$B$5:$B$3004,H$4,Acuses!$C$5:$C$3004,H$5),H$8)&lt;Resumen!$C$4+30,"Caduca pronto","OK"))))))</f>
        <v/>
      </c>
      <c r="I77" s="26" t="str">
        <f aca="false">IF(OR($A77="",I$4=""),"",IF(NOT(OR(I$6="Toda la plantilla",ISNUMBER(SEARCH(";"&amp;SUBSTITUTE($C77," ","")&amp;";",";"&amp;SUBSTITUTE(I$7," ","")&amp;";")))),"—",IF(_xlfn.MAXIFS(Acuses!$C$5:$C$3004,Acuses!$A$5:$A$3004,$A77,Acuses!$B$5:$B$3004,I$4)&lt;I$5,"Pendiente",IF(I$8=0,"OK",IF(EDATE(_xlfn.MAXIFS(Acuses!$D$5:$D$3004,Acuses!$A$5:$A$3004,$A77,Acuses!$B$5:$B$3004,I$4,Acuses!$C$5:$C$3004,I$5),I$8)&lt;Resumen!$C$4,"Caducado",IF(EDATE(_xlfn.MAXIFS(Acuses!$D$5:$D$3004,Acuses!$A$5:$A$3004,$A77,Acuses!$B$5:$B$3004,I$4,Acuses!$C$5:$C$3004,I$5),I$8)&lt;Resumen!$C$4+30,"Caduca pronto","OK"))))))</f>
        <v/>
      </c>
      <c r="J77" s="26" t="str">
        <f aca="false">IF(OR($A77="",J$4=""),"",IF(NOT(OR(J$6="Toda la plantilla",ISNUMBER(SEARCH(";"&amp;SUBSTITUTE($C77," ","")&amp;";",";"&amp;SUBSTITUTE(J$7," ","")&amp;";")))),"—",IF(_xlfn.MAXIFS(Acuses!$C$5:$C$3004,Acuses!$A$5:$A$3004,$A77,Acuses!$B$5:$B$3004,J$4)&lt;J$5,"Pendiente",IF(J$8=0,"OK",IF(EDATE(_xlfn.MAXIFS(Acuses!$D$5:$D$3004,Acuses!$A$5:$A$3004,$A77,Acuses!$B$5:$B$3004,J$4,Acuses!$C$5:$C$3004,J$5),J$8)&lt;Resumen!$C$4,"Caducado",IF(EDATE(_xlfn.MAXIFS(Acuses!$D$5:$D$3004,Acuses!$A$5:$A$3004,$A77,Acuses!$B$5:$B$3004,J$4,Acuses!$C$5:$C$3004,J$5),J$8)&lt;Resumen!$C$4+30,"Caduca pronto","OK"))))))</f>
        <v/>
      </c>
      <c r="K77" s="26" t="str">
        <f aca="false">IF(OR($A77="",K$4=""),"",IF(NOT(OR(K$6="Toda la plantilla",ISNUMBER(SEARCH(";"&amp;SUBSTITUTE($C77," ","")&amp;";",";"&amp;SUBSTITUTE(K$7," ","")&amp;";")))),"—",IF(_xlfn.MAXIFS(Acuses!$C$5:$C$3004,Acuses!$A$5:$A$3004,$A77,Acuses!$B$5:$B$3004,K$4)&lt;K$5,"Pendiente",IF(K$8=0,"OK",IF(EDATE(_xlfn.MAXIFS(Acuses!$D$5:$D$3004,Acuses!$A$5:$A$3004,$A77,Acuses!$B$5:$B$3004,K$4,Acuses!$C$5:$C$3004,K$5),K$8)&lt;Resumen!$C$4,"Caducado",IF(EDATE(_xlfn.MAXIFS(Acuses!$D$5:$D$3004,Acuses!$A$5:$A$3004,$A77,Acuses!$B$5:$B$3004,K$4,Acuses!$C$5:$C$3004,K$5),K$8)&lt;Resumen!$C$4+30,"Caduca pronto","OK"))))))</f>
        <v/>
      </c>
      <c r="L77" s="26" t="str">
        <f aca="false">IF(OR($A77="",L$4=""),"",IF(NOT(OR(L$6="Toda la plantilla",ISNUMBER(SEARCH(";"&amp;SUBSTITUTE($C77," ","")&amp;";",";"&amp;SUBSTITUTE(L$7," ","")&amp;";")))),"—",IF(_xlfn.MAXIFS(Acuses!$C$5:$C$3004,Acuses!$A$5:$A$3004,$A77,Acuses!$B$5:$B$3004,L$4)&lt;L$5,"Pendiente",IF(L$8=0,"OK",IF(EDATE(_xlfn.MAXIFS(Acuses!$D$5:$D$3004,Acuses!$A$5:$A$3004,$A77,Acuses!$B$5:$B$3004,L$4,Acuses!$C$5:$C$3004,L$5),L$8)&lt;Resumen!$C$4,"Caducado",IF(EDATE(_xlfn.MAXIFS(Acuses!$D$5:$D$3004,Acuses!$A$5:$A$3004,$A77,Acuses!$B$5:$B$3004,L$4,Acuses!$C$5:$C$3004,L$5),L$8)&lt;Resumen!$C$4+30,"Caduca pronto","OK"))))))</f>
        <v/>
      </c>
      <c r="M77" s="26" t="str">
        <f aca="false">IF(OR($A77="",M$4=""),"",IF(NOT(OR(M$6="Toda la plantilla",ISNUMBER(SEARCH(";"&amp;SUBSTITUTE($C77," ","")&amp;";",";"&amp;SUBSTITUTE(M$7," ","")&amp;";")))),"—",IF(_xlfn.MAXIFS(Acuses!$C$5:$C$3004,Acuses!$A$5:$A$3004,$A77,Acuses!$B$5:$B$3004,M$4)&lt;M$5,"Pendiente",IF(M$8=0,"OK",IF(EDATE(_xlfn.MAXIFS(Acuses!$D$5:$D$3004,Acuses!$A$5:$A$3004,$A77,Acuses!$B$5:$B$3004,M$4,Acuses!$C$5:$C$3004,M$5),M$8)&lt;Resumen!$C$4,"Caducado",IF(EDATE(_xlfn.MAXIFS(Acuses!$D$5:$D$3004,Acuses!$A$5:$A$3004,$A77,Acuses!$B$5:$B$3004,M$4,Acuses!$C$5:$C$3004,M$5),M$8)&lt;Resumen!$C$4+30,"Caduca pronto","OK"))))))</f>
        <v/>
      </c>
      <c r="N77" s="26" t="str">
        <f aca="false">IF(OR($A77="",N$4=""),"",IF(NOT(OR(N$6="Toda la plantilla",ISNUMBER(SEARCH(";"&amp;SUBSTITUTE($C77," ","")&amp;";",";"&amp;SUBSTITUTE(N$7," ","")&amp;";")))),"—",IF(_xlfn.MAXIFS(Acuses!$C$5:$C$3004,Acuses!$A$5:$A$3004,$A77,Acuses!$B$5:$B$3004,N$4)&lt;N$5,"Pendiente",IF(N$8=0,"OK",IF(EDATE(_xlfn.MAXIFS(Acuses!$D$5:$D$3004,Acuses!$A$5:$A$3004,$A77,Acuses!$B$5:$B$3004,N$4,Acuses!$C$5:$C$3004,N$5),N$8)&lt;Resumen!$C$4,"Caducado",IF(EDATE(_xlfn.MAXIFS(Acuses!$D$5:$D$3004,Acuses!$A$5:$A$3004,$A77,Acuses!$B$5:$B$3004,N$4,Acuses!$C$5:$C$3004,N$5),N$8)&lt;Resumen!$C$4+30,"Caduca pronto","OK"))))))</f>
        <v/>
      </c>
      <c r="O77" s="26" t="str">
        <f aca="false">IF(OR($A77="",O$4=""),"",IF(NOT(OR(O$6="Toda la plantilla",ISNUMBER(SEARCH(";"&amp;SUBSTITUTE($C77," ","")&amp;";",";"&amp;SUBSTITUTE(O$7," ","")&amp;";")))),"—",IF(_xlfn.MAXIFS(Acuses!$C$5:$C$3004,Acuses!$A$5:$A$3004,$A77,Acuses!$B$5:$B$3004,O$4)&lt;O$5,"Pendiente",IF(O$8=0,"OK",IF(EDATE(_xlfn.MAXIFS(Acuses!$D$5:$D$3004,Acuses!$A$5:$A$3004,$A77,Acuses!$B$5:$B$3004,O$4,Acuses!$C$5:$C$3004,O$5),O$8)&lt;Resumen!$C$4,"Caducado",IF(EDATE(_xlfn.MAXIFS(Acuses!$D$5:$D$3004,Acuses!$A$5:$A$3004,$A77,Acuses!$B$5:$B$3004,O$4,Acuses!$C$5:$C$3004,O$5),O$8)&lt;Resumen!$C$4+30,"Caduca pronto","OK"))))))</f>
        <v/>
      </c>
      <c r="P77" s="26" t="str">
        <f aca="false">IF(OR($A77="",P$4=""),"",IF(NOT(OR(P$6="Toda la plantilla",ISNUMBER(SEARCH(";"&amp;SUBSTITUTE($C77," ","")&amp;";",";"&amp;SUBSTITUTE(P$7," ","")&amp;";")))),"—",IF(_xlfn.MAXIFS(Acuses!$C$5:$C$3004,Acuses!$A$5:$A$3004,$A77,Acuses!$B$5:$B$3004,P$4)&lt;P$5,"Pendiente",IF(P$8=0,"OK",IF(EDATE(_xlfn.MAXIFS(Acuses!$D$5:$D$3004,Acuses!$A$5:$A$3004,$A77,Acuses!$B$5:$B$3004,P$4,Acuses!$C$5:$C$3004,P$5),P$8)&lt;Resumen!$C$4,"Caducado",IF(EDATE(_xlfn.MAXIFS(Acuses!$D$5:$D$3004,Acuses!$A$5:$A$3004,$A77,Acuses!$B$5:$B$3004,P$4,Acuses!$C$5:$C$3004,P$5),P$8)&lt;Resumen!$C$4+30,"Caduca pronto","OK"))))))</f>
        <v/>
      </c>
      <c r="Q77" s="26" t="str">
        <f aca="false">IF(OR($A77="",Q$4=""),"",IF(NOT(OR(Q$6="Toda la plantilla",ISNUMBER(SEARCH(";"&amp;SUBSTITUTE($C77," ","")&amp;";",";"&amp;SUBSTITUTE(Q$7," ","")&amp;";")))),"—",IF(_xlfn.MAXIFS(Acuses!$C$5:$C$3004,Acuses!$A$5:$A$3004,$A77,Acuses!$B$5:$B$3004,Q$4)&lt;Q$5,"Pendiente",IF(Q$8=0,"OK",IF(EDATE(_xlfn.MAXIFS(Acuses!$D$5:$D$3004,Acuses!$A$5:$A$3004,$A77,Acuses!$B$5:$B$3004,Q$4,Acuses!$C$5:$C$3004,Q$5),Q$8)&lt;Resumen!$C$4,"Caducado",IF(EDATE(_xlfn.MAXIFS(Acuses!$D$5:$D$3004,Acuses!$A$5:$A$3004,$A77,Acuses!$B$5:$B$3004,Q$4,Acuses!$C$5:$C$3004,Q$5),Q$8)&lt;Resumen!$C$4+30,"Caduca pronto","OK"))))))</f>
        <v/>
      </c>
      <c r="R77" s="26" t="str">
        <f aca="false">IF(OR($A77="",R$4=""),"",IF(NOT(OR(R$6="Toda la plantilla",ISNUMBER(SEARCH(";"&amp;SUBSTITUTE($C77," ","")&amp;";",";"&amp;SUBSTITUTE(R$7," ","")&amp;";")))),"—",IF(_xlfn.MAXIFS(Acuses!$C$5:$C$3004,Acuses!$A$5:$A$3004,$A77,Acuses!$B$5:$B$3004,R$4)&lt;R$5,"Pendiente",IF(R$8=0,"OK",IF(EDATE(_xlfn.MAXIFS(Acuses!$D$5:$D$3004,Acuses!$A$5:$A$3004,$A77,Acuses!$B$5:$B$3004,R$4,Acuses!$C$5:$C$3004,R$5),R$8)&lt;Resumen!$C$4,"Caducado",IF(EDATE(_xlfn.MAXIFS(Acuses!$D$5:$D$3004,Acuses!$A$5:$A$3004,$A77,Acuses!$B$5:$B$3004,R$4,Acuses!$C$5:$C$3004,R$5),R$8)&lt;Resumen!$C$4+30,"Caduca pronto","OK"))))))</f>
        <v/>
      </c>
      <c r="S77" s="26" t="str">
        <f aca="false">IF(OR($A77="",S$4=""),"",IF(NOT(OR(S$6="Toda la plantilla",ISNUMBER(SEARCH(";"&amp;SUBSTITUTE($C77," ","")&amp;";",";"&amp;SUBSTITUTE(S$7," ","")&amp;";")))),"—",IF(_xlfn.MAXIFS(Acuses!$C$5:$C$3004,Acuses!$A$5:$A$3004,$A77,Acuses!$B$5:$B$3004,S$4)&lt;S$5,"Pendiente",IF(S$8=0,"OK",IF(EDATE(_xlfn.MAXIFS(Acuses!$D$5:$D$3004,Acuses!$A$5:$A$3004,$A77,Acuses!$B$5:$B$3004,S$4,Acuses!$C$5:$C$3004,S$5),S$8)&lt;Resumen!$C$4,"Caducado",IF(EDATE(_xlfn.MAXIFS(Acuses!$D$5:$D$3004,Acuses!$A$5:$A$3004,$A77,Acuses!$B$5:$B$3004,S$4,Acuses!$C$5:$C$3004,S$5),S$8)&lt;Resumen!$C$4+30,"Caduca pronto","OK"))))))</f>
        <v/>
      </c>
      <c r="T77" s="26" t="str">
        <f aca="false">IF(OR($A77="",T$4=""),"",IF(NOT(OR(T$6="Toda la plantilla",ISNUMBER(SEARCH(";"&amp;SUBSTITUTE($C77," ","")&amp;";",";"&amp;SUBSTITUTE(T$7," ","")&amp;";")))),"—",IF(_xlfn.MAXIFS(Acuses!$C$5:$C$3004,Acuses!$A$5:$A$3004,$A77,Acuses!$B$5:$B$3004,T$4)&lt;T$5,"Pendiente",IF(T$8=0,"OK",IF(EDATE(_xlfn.MAXIFS(Acuses!$D$5:$D$3004,Acuses!$A$5:$A$3004,$A77,Acuses!$B$5:$B$3004,T$4,Acuses!$C$5:$C$3004,T$5),T$8)&lt;Resumen!$C$4,"Caducado",IF(EDATE(_xlfn.MAXIFS(Acuses!$D$5:$D$3004,Acuses!$A$5:$A$3004,$A77,Acuses!$B$5:$B$3004,T$4,Acuses!$C$5:$C$3004,T$5),T$8)&lt;Resumen!$C$4+30,"Caduca pronto","OK"))))))</f>
        <v/>
      </c>
      <c r="U77" s="26" t="str">
        <f aca="false">IF(OR($A77="",U$4=""),"",IF(NOT(OR(U$6="Toda la plantilla",ISNUMBER(SEARCH(";"&amp;SUBSTITUTE($C77," ","")&amp;";",";"&amp;SUBSTITUTE(U$7," ","")&amp;";")))),"—",IF(_xlfn.MAXIFS(Acuses!$C$5:$C$3004,Acuses!$A$5:$A$3004,$A77,Acuses!$B$5:$B$3004,U$4)&lt;U$5,"Pendiente",IF(U$8=0,"OK",IF(EDATE(_xlfn.MAXIFS(Acuses!$D$5:$D$3004,Acuses!$A$5:$A$3004,$A77,Acuses!$B$5:$B$3004,U$4,Acuses!$C$5:$C$3004,U$5),U$8)&lt;Resumen!$C$4,"Caducado",IF(EDATE(_xlfn.MAXIFS(Acuses!$D$5:$D$3004,Acuses!$A$5:$A$3004,$A77,Acuses!$B$5:$B$3004,U$4,Acuses!$C$5:$C$3004,U$5),U$8)&lt;Resumen!$C$4+30,"Caduca pronto","OK"))))))</f>
        <v/>
      </c>
      <c r="V77" s="26" t="str">
        <f aca="false">IF(OR($A77="",V$4=""),"",IF(NOT(OR(V$6="Toda la plantilla",ISNUMBER(SEARCH(";"&amp;SUBSTITUTE($C77," ","")&amp;";",";"&amp;SUBSTITUTE(V$7," ","")&amp;";")))),"—",IF(_xlfn.MAXIFS(Acuses!$C$5:$C$3004,Acuses!$A$5:$A$3004,$A77,Acuses!$B$5:$B$3004,V$4)&lt;V$5,"Pendiente",IF(V$8=0,"OK",IF(EDATE(_xlfn.MAXIFS(Acuses!$D$5:$D$3004,Acuses!$A$5:$A$3004,$A77,Acuses!$B$5:$B$3004,V$4,Acuses!$C$5:$C$3004,V$5),V$8)&lt;Resumen!$C$4,"Caducado",IF(EDATE(_xlfn.MAXIFS(Acuses!$D$5:$D$3004,Acuses!$A$5:$A$3004,$A77,Acuses!$B$5:$B$3004,V$4,Acuses!$C$5:$C$3004,V$5),V$8)&lt;Resumen!$C$4+30,"Caduca pronto","OK"))))))</f>
        <v/>
      </c>
      <c r="W77" s="26" t="str">
        <f aca="false">IF(OR($A77="",W$4=""),"",IF(NOT(OR(W$6="Toda la plantilla",ISNUMBER(SEARCH(";"&amp;SUBSTITUTE($C77," ","")&amp;";",";"&amp;SUBSTITUTE(W$7," ","")&amp;";")))),"—",IF(_xlfn.MAXIFS(Acuses!$C$5:$C$3004,Acuses!$A$5:$A$3004,$A77,Acuses!$B$5:$B$3004,W$4)&lt;W$5,"Pendiente",IF(W$8=0,"OK",IF(EDATE(_xlfn.MAXIFS(Acuses!$D$5:$D$3004,Acuses!$A$5:$A$3004,$A77,Acuses!$B$5:$B$3004,W$4,Acuses!$C$5:$C$3004,W$5),W$8)&lt;Resumen!$C$4,"Caducado",IF(EDATE(_xlfn.MAXIFS(Acuses!$D$5:$D$3004,Acuses!$A$5:$A$3004,$A77,Acuses!$B$5:$B$3004,W$4,Acuses!$C$5:$C$3004,W$5),W$8)&lt;Resumen!$C$4+30,"Caduca pronto","OK"))))))</f>
        <v/>
      </c>
      <c r="X77" s="26" t="str">
        <f aca="false">IF(OR($A77="",X$4=""),"",IF(NOT(OR(X$6="Toda la plantilla",ISNUMBER(SEARCH(";"&amp;SUBSTITUTE($C77," ","")&amp;";",";"&amp;SUBSTITUTE(X$7," ","")&amp;";")))),"—",IF(_xlfn.MAXIFS(Acuses!$C$5:$C$3004,Acuses!$A$5:$A$3004,$A77,Acuses!$B$5:$B$3004,X$4)&lt;X$5,"Pendiente",IF(X$8=0,"OK",IF(EDATE(_xlfn.MAXIFS(Acuses!$D$5:$D$3004,Acuses!$A$5:$A$3004,$A77,Acuses!$B$5:$B$3004,X$4,Acuses!$C$5:$C$3004,X$5),X$8)&lt;Resumen!$C$4,"Caducado",IF(EDATE(_xlfn.MAXIFS(Acuses!$D$5:$D$3004,Acuses!$A$5:$A$3004,$A77,Acuses!$B$5:$B$3004,X$4,Acuses!$C$5:$C$3004,X$5),X$8)&lt;Resumen!$C$4+30,"Caduca pronto","OK"))))))</f>
        <v/>
      </c>
      <c r="Y77" s="26" t="str">
        <f aca="false">IF(OR($A77="",Y$4=""),"",IF(NOT(OR(Y$6="Toda la plantilla",ISNUMBER(SEARCH(";"&amp;SUBSTITUTE($C77," ","")&amp;";",";"&amp;SUBSTITUTE(Y$7," ","")&amp;";")))),"—",IF(_xlfn.MAXIFS(Acuses!$C$5:$C$3004,Acuses!$A$5:$A$3004,$A77,Acuses!$B$5:$B$3004,Y$4)&lt;Y$5,"Pendiente",IF(Y$8=0,"OK",IF(EDATE(_xlfn.MAXIFS(Acuses!$D$5:$D$3004,Acuses!$A$5:$A$3004,$A77,Acuses!$B$5:$B$3004,Y$4,Acuses!$C$5:$C$3004,Y$5),Y$8)&lt;Resumen!$C$4,"Caducado",IF(EDATE(_xlfn.MAXIFS(Acuses!$D$5:$D$3004,Acuses!$A$5:$A$3004,$A77,Acuses!$B$5:$B$3004,Y$4,Acuses!$C$5:$C$3004,Y$5),Y$8)&lt;Resumen!$C$4+30,"Caduca pronto","OK"))))))</f>
        <v/>
      </c>
      <c r="Z77" s="26" t="str">
        <f aca="false">IF(OR($A77="",Z$4=""),"",IF(NOT(OR(Z$6="Toda la plantilla",ISNUMBER(SEARCH(";"&amp;SUBSTITUTE($C77," ","")&amp;";",";"&amp;SUBSTITUTE(Z$7," ","")&amp;";")))),"—",IF(_xlfn.MAXIFS(Acuses!$C$5:$C$3004,Acuses!$A$5:$A$3004,$A77,Acuses!$B$5:$B$3004,Z$4)&lt;Z$5,"Pendiente",IF(Z$8=0,"OK",IF(EDATE(_xlfn.MAXIFS(Acuses!$D$5:$D$3004,Acuses!$A$5:$A$3004,$A77,Acuses!$B$5:$B$3004,Z$4,Acuses!$C$5:$C$3004,Z$5),Z$8)&lt;Resumen!$C$4,"Caducado",IF(EDATE(_xlfn.MAXIFS(Acuses!$D$5:$D$3004,Acuses!$A$5:$A$3004,$A77,Acuses!$B$5:$B$3004,Z$4,Acuses!$C$5:$C$3004,Z$5),Z$8)&lt;Resumen!$C$4+30,"Caduca pronto","OK"))))))</f>
        <v/>
      </c>
      <c r="AA77" s="26" t="str">
        <f aca="false">IF(OR($A77="",AA$4=""),"",IF(NOT(OR(AA$6="Toda la plantilla",ISNUMBER(SEARCH(";"&amp;SUBSTITUTE($C77," ","")&amp;";",";"&amp;SUBSTITUTE(AA$7," ","")&amp;";")))),"—",IF(_xlfn.MAXIFS(Acuses!$C$5:$C$3004,Acuses!$A$5:$A$3004,$A77,Acuses!$B$5:$B$3004,AA$4)&lt;AA$5,"Pendiente",IF(AA$8=0,"OK",IF(EDATE(_xlfn.MAXIFS(Acuses!$D$5:$D$3004,Acuses!$A$5:$A$3004,$A77,Acuses!$B$5:$B$3004,AA$4,Acuses!$C$5:$C$3004,AA$5),AA$8)&lt;Resumen!$C$4,"Caducado",IF(EDATE(_xlfn.MAXIFS(Acuses!$D$5:$D$3004,Acuses!$A$5:$A$3004,$A77,Acuses!$B$5:$B$3004,AA$4,Acuses!$C$5:$C$3004,AA$5),AA$8)&lt;Resumen!$C$4+30,"Caduca pronto","OK"))))))</f>
        <v/>
      </c>
      <c r="AB77" s="26" t="str">
        <f aca="false">IF(OR($A77="",AB$4=""),"",IF(NOT(OR(AB$6="Toda la plantilla",ISNUMBER(SEARCH(";"&amp;SUBSTITUTE($C77," ","")&amp;";",";"&amp;SUBSTITUTE(AB$7," ","")&amp;";")))),"—",IF(_xlfn.MAXIFS(Acuses!$C$5:$C$3004,Acuses!$A$5:$A$3004,$A77,Acuses!$B$5:$B$3004,AB$4)&lt;AB$5,"Pendiente",IF(AB$8=0,"OK",IF(EDATE(_xlfn.MAXIFS(Acuses!$D$5:$D$3004,Acuses!$A$5:$A$3004,$A77,Acuses!$B$5:$B$3004,AB$4,Acuses!$C$5:$C$3004,AB$5),AB$8)&lt;Resumen!$C$4,"Caducado",IF(EDATE(_xlfn.MAXIFS(Acuses!$D$5:$D$3004,Acuses!$A$5:$A$3004,$A77,Acuses!$B$5:$B$3004,AB$4,Acuses!$C$5:$C$3004,AB$5),AB$8)&lt;Resumen!$C$4+30,"Caduca pronto","OK"))))))</f>
        <v/>
      </c>
      <c r="AC77" s="26" t="str">
        <f aca="false">IF(OR($A77="",AC$4=""),"",IF(NOT(OR(AC$6="Toda la plantilla",ISNUMBER(SEARCH(";"&amp;SUBSTITUTE($C77," ","")&amp;";",";"&amp;SUBSTITUTE(AC$7," ","")&amp;";")))),"—",IF(_xlfn.MAXIFS(Acuses!$C$5:$C$3004,Acuses!$A$5:$A$3004,$A77,Acuses!$B$5:$B$3004,AC$4)&lt;AC$5,"Pendiente",IF(AC$8=0,"OK",IF(EDATE(_xlfn.MAXIFS(Acuses!$D$5:$D$3004,Acuses!$A$5:$A$3004,$A77,Acuses!$B$5:$B$3004,AC$4,Acuses!$C$5:$C$3004,AC$5),AC$8)&lt;Resumen!$C$4,"Caducado",IF(EDATE(_xlfn.MAXIFS(Acuses!$D$5:$D$3004,Acuses!$A$5:$A$3004,$A77,Acuses!$B$5:$B$3004,AC$4,Acuses!$C$5:$C$3004,AC$5),AC$8)&lt;Resumen!$C$4+30,"Caduca pronto","OK"))))))</f>
        <v/>
      </c>
      <c r="AD77" s="26" t="str">
        <f aca="false">IF(OR($A77="",AD$4=""),"",IF(NOT(OR(AD$6="Toda la plantilla",ISNUMBER(SEARCH(";"&amp;SUBSTITUTE($C77," ","")&amp;";",";"&amp;SUBSTITUTE(AD$7," ","")&amp;";")))),"—",IF(_xlfn.MAXIFS(Acuses!$C$5:$C$3004,Acuses!$A$5:$A$3004,$A77,Acuses!$B$5:$B$3004,AD$4)&lt;AD$5,"Pendiente",IF(AD$8=0,"OK",IF(EDATE(_xlfn.MAXIFS(Acuses!$D$5:$D$3004,Acuses!$A$5:$A$3004,$A77,Acuses!$B$5:$B$3004,AD$4,Acuses!$C$5:$C$3004,AD$5),AD$8)&lt;Resumen!$C$4,"Caducado",IF(EDATE(_xlfn.MAXIFS(Acuses!$D$5:$D$3004,Acuses!$A$5:$A$3004,$A77,Acuses!$B$5:$B$3004,AD$4,Acuses!$C$5:$C$3004,AD$5),AD$8)&lt;Resumen!$C$4+30,"Caduca pronto","OK"))))))</f>
        <v/>
      </c>
      <c r="AE77" s="26" t="str">
        <f aca="false">IF(OR($A77="",AE$4=""),"",IF(NOT(OR(AE$6="Toda la plantilla",ISNUMBER(SEARCH(";"&amp;SUBSTITUTE($C77," ","")&amp;";",";"&amp;SUBSTITUTE(AE$7," ","")&amp;";")))),"—",IF(_xlfn.MAXIFS(Acuses!$C$5:$C$3004,Acuses!$A$5:$A$3004,$A77,Acuses!$B$5:$B$3004,AE$4)&lt;AE$5,"Pendiente",IF(AE$8=0,"OK",IF(EDATE(_xlfn.MAXIFS(Acuses!$D$5:$D$3004,Acuses!$A$5:$A$3004,$A77,Acuses!$B$5:$B$3004,AE$4,Acuses!$C$5:$C$3004,AE$5),AE$8)&lt;Resumen!$C$4,"Caducado",IF(EDATE(_xlfn.MAXIFS(Acuses!$D$5:$D$3004,Acuses!$A$5:$A$3004,$A77,Acuses!$B$5:$B$3004,AE$4,Acuses!$C$5:$C$3004,AE$5),AE$8)&lt;Resumen!$C$4+30,"Caduca pronto","OK"))))))</f>
        <v/>
      </c>
      <c r="AF77" s="26" t="str">
        <f aca="false">IF(OR($A77="",AF$4=""),"",IF(NOT(OR(AF$6="Toda la plantilla",ISNUMBER(SEARCH(";"&amp;SUBSTITUTE($C77," ","")&amp;";",";"&amp;SUBSTITUTE(AF$7," ","")&amp;";")))),"—",IF(_xlfn.MAXIFS(Acuses!$C$5:$C$3004,Acuses!$A$5:$A$3004,$A77,Acuses!$B$5:$B$3004,AF$4)&lt;AF$5,"Pendiente",IF(AF$8=0,"OK",IF(EDATE(_xlfn.MAXIFS(Acuses!$D$5:$D$3004,Acuses!$A$5:$A$3004,$A77,Acuses!$B$5:$B$3004,AF$4,Acuses!$C$5:$C$3004,AF$5),AF$8)&lt;Resumen!$C$4,"Caducado",IF(EDATE(_xlfn.MAXIFS(Acuses!$D$5:$D$3004,Acuses!$A$5:$A$3004,$A77,Acuses!$B$5:$B$3004,AF$4,Acuses!$C$5:$C$3004,AF$5),AF$8)&lt;Resumen!$C$4+30,"Caduca pronto","OK"))))))</f>
        <v/>
      </c>
      <c r="AG77" s="26" t="str">
        <f aca="false">IF(OR($A77="",AG$4=""),"",IF(NOT(OR(AG$6="Toda la plantilla",ISNUMBER(SEARCH(";"&amp;SUBSTITUTE($C77," ","")&amp;";",";"&amp;SUBSTITUTE(AG$7," ","")&amp;";")))),"—",IF(_xlfn.MAXIFS(Acuses!$C$5:$C$3004,Acuses!$A$5:$A$3004,$A77,Acuses!$B$5:$B$3004,AG$4)&lt;AG$5,"Pendiente",IF(AG$8=0,"OK",IF(EDATE(_xlfn.MAXIFS(Acuses!$D$5:$D$3004,Acuses!$A$5:$A$3004,$A77,Acuses!$B$5:$B$3004,AG$4,Acuses!$C$5:$C$3004,AG$5),AG$8)&lt;Resumen!$C$4,"Caducado",IF(EDATE(_xlfn.MAXIFS(Acuses!$D$5:$D$3004,Acuses!$A$5:$A$3004,$A77,Acuses!$B$5:$B$3004,AG$4,Acuses!$C$5:$C$3004,AG$5),AG$8)&lt;Resumen!$C$4+30,"Caduca pronto","OK"))))))</f>
        <v/>
      </c>
      <c r="AH77" s="26" t="str">
        <f aca="false">IF(OR($A77="",AH$4=""),"",IF(NOT(OR(AH$6="Toda la plantilla",ISNUMBER(SEARCH(";"&amp;SUBSTITUTE($C77," ","")&amp;";",";"&amp;SUBSTITUTE(AH$7," ","")&amp;";")))),"—",IF(_xlfn.MAXIFS(Acuses!$C$5:$C$3004,Acuses!$A$5:$A$3004,$A77,Acuses!$B$5:$B$3004,AH$4)&lt;AH$5,"Pendiente",IF(AH$8=0,"OK",IF(EDATE(_xlfn.MAXIFS(Acuses!$D$5:$D$3004,Acuses!$A$5:$A$3004,$A77,Acuses!$B$5:$B$3004,AH$4,Acuses!$C$5:$C$3004,AH$5),AH$8)&lt;Resumen!$C$4,"Caducado",IF(EDATE(_xlfn.MAXIFS(Acuses!$D$5:$D$3004,Acuses!$A$5:$A$3004,$A77,Acuses!$B$5:$B$3004,AH$4,Acuses!$C$5:$C$3004,AH$5),AH$8)&lt;Resumen!$C$4+30,"Caduca pronto","OK"))))))</f>
        <v/>
      </c>
      <c r="AI77" s="26" t="str">
        <f aca="false">IF(OR($A77="",AI$4=""),"",IF(NOT(OR(AI$6="Toda la plantilla",ISNUMBER(SEARCH(";"&amp;SUBSTITUTE($C77," ","")&amp;";",";"&amp;SUBSTITUTE(AI$7," ","")&amp;";")))),"—",IF(_xlfn.MAXIFS(Acuses!$C$5:$C$3004,Acuses!$A$5:$A$3004,$A77,Acuses!$B$5:$B$3004,AI$4)&lt;AI$5,"Pendiente",IF(AI$8=0,"OK",IF(EDATE(_xlfn.MAXIFS(Acuses!$D$5:$D$3004,Acuses!$A$5:$A$3004,$A77,Acuses!$B$5:$B$3004,AI$4,Acuses!$C$5:$C$3004,AI$5),AI$8)&lt;Resumen!$C$4,"Caducado",IF(EDATE(_xlfn.MAXIFS(Acuses!$D$5:$D$3004,Acuses!$A$5:$A$3004,$A77,Acuses!$B$5:$B$3004,AI$4,Acuses!$C$5:$C$3004,AI$5),AI$8)&lt;Resumen!$C$4+30,"Caduca pronto","OK"))))))</f>
        <v/>
      </c>
      <c r="AJ77" s="26" t="str">
        <f aca="false">IF(OR($A77="",AJ$4=""),"",IF(NOT(OR(AJ$6="Toda la plantilla",ISNUMBER(SEARCH(";"&amp;SUBSTITUTE($C77," ","")&amp;";",";"&amp;SUBSTITUTE(AJ$7," ","")&amp;";")))),"—",IF(_xlfn.MAXIFS(Acuses!$C$5:$C$3004,Acuses!$A$5:$A$3004,$A77,Acuses!$B$5:$B$3004,AJ$4)&lt;AJ$5,"Pendiente",IF(AJ$8=0,"OK",IF(EDATE(_xlfn.MAXIFS(Acuses!$D$5:$D$3004,Acuses!$A$5:$A$3004,$A77,Acuses!$B$5:$B$3004,AJ$4,Acuses!$C$5:$C$3004,AJ$5),AJ$8)&lt;Resumen!$C$4,"Caducado",IF(EDATE(_xlfn.MAXIFS(Acuses!$D$5:$D$3004,Acuses!$A$5:$A$3004,$A77,Acuses!$B$5:$B$3004,AJ$4,Acuses!$C$5:$C$3004,AJ$5),AJ$8)&lt;Resumen!$C$4+30,"Caduca pronto","OK"))))))</f>
        <v/>
      </c>
      <c r="AK77" s="26" t="str">
        <f aca="false">IF(OR($A77="",AK$4=""),"",IF(NOT(OR(AK$6="Toda la plantilla",ISNUMBER(SEARCH(";"&amp;SUBSTITUTE($C77," ","")&amp;";",";"&amp;SUBSTITUTE(AK$7," ","")&amp;";")))),"—",IF(_xlfn.MAXIFS(Acuses!$C$5:$C$3004,Acuses!$A$5:$A$3004,$A77,Acuses!$B$5:$B$3004,AK$4)&lt;AK$5,"Pendiente",IF(AK$8=0,"OK",IF(EDATE(_xlfn.MAXIFS(Acuses!$D$5:$D$3004,Acuses!$A$5:$A$3004,$A77,Acuses!$B$5:$B$3004,AK$4,Acuses!$C$5:$C$3004,AK$5),AK$8)&lt;Resumen!$C$4,"Caducado",IF(EDATE(_xlfn.MAXIFS(Acuses!$D$5:$D$3004,Acuses!$A$5:$A$3004,$A77,Acuses!$B$5:$B$3004,AK$4,Acuses!$C$5:$C$3004,AK$5),AK$8)&lt;Resumen!$C$4+30,"Caduca pronto","OK"))))))</f>
        <v/>
      </c>
      <c r="AL77" s="26" t="str">
        <f aca="false">IF(OR($A77="",AL$4=""),"",IF(NOT(OR(AL$6="Toda la plantilla",ISNUMBER(SEARCH(";"&amp;SUBSTITUTE($C77," ","")&amp;";",";"&amp;SUBSTITUTE(AL$7," ","")&amp;";")))),"—",IF(_xlfn.MAXIFS(Acuses!$C$5:$C$3004,Acuses!$A$5:$A$3004,$A77,Acuses!$B$5:$B$3004,AL$4)&lt;AL$5,"Pendiente",IF(AL$8=0,"OK",IF(EDATE(_xlfn.MAXIFS(Acuses!$D$5:$D$3004,Acuses!$A$5:$A$3004,$A77,Acuses!$B$5:$B$3004,AL$4,Acuses!$C$5:$C$3004,AL$5),AL$8)&lt;Resumen!$C$4,"Caducado",IF(EDATE(_xlfn.MAXIFS(Acuses!$D$5:$D$3004,Acuses!$A$5:$A$3004,$A77,Acuses!$B$5:$B$3004,AL$4,Acuses!$C$5:$C$3004,AL$5),AL$8)&lt;Resumen!$C$4+30,"Caduca pronto","OK"))))))</f>
        <v/>
      </c>
      <c r="AM77" s="26" t="str">
        <f aca="false">IF(OR($A77="",AM$4=""),"",IF(NOT(OR(AM$6="Toda la plantilla",ISNUMBER(SEARCH(";"&amp;SUBSTITUTE($C77," ","")&amp;";",";"&amp;SUBSTITUTE(AM$7," ","")&amp;";")))),"—",IF(_xlfn.MAXIFS(Acuses!$C$5:$C$3004,Acuses!$A$5:$A$3004,$A77,Acuses!$B$5:$B$3004,AM$4)&lt;AM$5,"Pendiente",IF(AM$8=0,"OK",IF(EDATE(_xlfn.MAXIFS(Acuses!$D$5:$D$3004,Acuses!$A$5:$A$3004,$A77,Acuses!$B$5:$B$3004,AM$4,Acuses!$C$5:$C$3004,AM$5),AM$8)&lt;Resumen!$C$4,"Caducado",IF(EDATE(_xlfn.MAXIFS(Acuses!$D$5:$D$3004,Acuses!$A$5:$A$3004,$A77,Acuses!$B$5:$B$3004,AM$4,Acuses!$C$5:$C$3004,AM$5),AM$8)&lt;Resumen!$C$4+30,"Caduca pronto","OK"))))))</f>
        <v/>
      </c>
      <c r="AN77" s="26" t="str">
        <f aca="false">IF(OR($A77="",AN$4=""),"",IF(NOT(OR(AN$6="Toda la plantilla",ISNUMBER(SEARCH(";"&amp;SUBSTITUTE($C77," ","")&amp;";",";"&amp;SUBSTITUTE(AN$7," ","")&amp;";")))),"—",IF(_xlfn.MAXIFS(Acuses!$C$5:$C$3004,Acuses!$A$5:$A$3004,$A77,Acuses!$B$5:$B$3004,AN$4)&lt;AN$5,"Pendiente",IF(AN$8=0,"OK",IF(EDATE(_xlfn.MAXIFS(Acuses!$D$5:$D$3004,Acuses!$A$5:$A$3004,$A77,Acuses!$B$5:$B$3004,AN$4,Acuses!$C$5:$C$3004,AN$5),AN$8)&lt;Resumen!$C$4,"Caducado",IF(EDATE(_xlfn.MAXIFS(Acuses!$D$5:$D$3004,Acuses!$A$5:$A$3004,$A77,Acuses!$B$5:$B$3004,AN$4,Acuses!$C$5:$C$3004,AN$5),AN$8)&lt;Resumen!$C$4+30,"Caduca pronto","OK"))))))</f>
        <v/>
      </c>
      <c r="AO77" s="26" t="str">
        <f aca="false">IF(OR($A77="",AO$4=""),"",IF(NOT(OR(AO$6="Toda la plantilla",ISNUMBER(SEARCH(";"&amp;SUBSTITUTE($C77," ","")&amp;";",";"&amp;SUBSTITUTE(AO$7," ","")&amp;";")))),"—",IF(_xlfn.MAXIFS(Acuses!$C$5:$C$3004,Acuses!$A$5:$A$3004,$A77,Acuses!$B$5:$B$3004,AO$4)&lt;AO$5,"Pendiente",IF(AO$8=0,"OK",IF(EDATE(_xlfn.MAXIFS(Acuses!$D$5:$D$3004,Acuses!$A$5:$A$3004,$A77,Acuses!$B$5:$B$3004,AO$4,Acuses!$C$5:$C$3004,AO$5),AO$8)&lt;Resumen!$C$4,"Caducado",IF(EDATE(_xlfn.MAXIFS(Acuses!$D$5:$D$3004,Acuses!$A$5:$A$3004,$A77,Acuses!$B$5:$B$3004,AO$4,Acuses!$C$5:$C$3004,AO$5),AO$8)&lt;Resumen!$C$4+30,"Caduca pronto","OK"))))))</f>
        <v/>
      </c>
      <c r="AP77" s="26" t="str">
        <f aca="false">IF(OR($A77="",AP$4=""),"",IF(NOT(OR(AP$6="Toda la plantilla",ISNUMBER(SEARCH(";"&amp;SUBSTITUTE($C77," ","")&amp;";",";"&amp;SUBSTITUTE(AP$7," ","")&amp;";")))),"—",IF(_xlfn.MAXIFS(Acuses!$C$5:$C$3004,Acuses!$A$5:$A$3004,$A77,Acuses!$B$5:$B$3004,AP$4)&lt;AP$5,"Pendiente",IF(AP$8=0,"OK",IF(EDATE(_xlfn.MAXIFS(Acuses!$D$5:$D$3004,Acuses!$A$5:$A$3004,$A77,Acuses!$B$5:$B$3004,AP$4,Acuses!$C$5:$C$3004,AP$5),AP$8)&lt;Resumen!$C$4,"Caducado",IF(EDATE(_xlfn.MAXIFS(Acuses!$D$5:$D$3004,Acuses!$A$5:$A$3004,$A77,Acuses!$B$5:$B$3004,AP$4,Acuses!$C$5:$C$3004,AP$5),AP$8)&lt;Resumen!$C$4+30,"Caduca pronto","OK"))))))</f>
        <v/>
      </c>
      <c r="AQ77" s="26" t="str">
        <f aca="false">IF(OR($A77="",AQ$4=""),"",IF(NOT(OR(AQ$6="Toda la plantilla",ISNUMBER(SEARCH(";"&amp;SUBSTITUTE($C77," ","")&amp;";",";"&amp;SUBSTITUTE(AQ$7," ","")&amp;";")))),"—",IF(_xlfn.MAXIFS(Acuses!$C$5:$C$3004,Acuses!$A$5:$A$3004,$A77,Acuses!$B$5:$B$3004,AQ$4)&lt;AQ$5,"Pendiente",IF(AQ$8=0,"OK",IF(EDATE(_xlfn.MAXIFS(Acuses!$D$5:$D$3004,Acuses!$A$5:$A$3004,$A77,Acuses!$B$5:$B$3004,AQ$4,Acuses!$C$5:$C$3004,AQ$5),AQ$8)&lt;Resumen!$C$4,"Caducado",IF(EDATE(_xlfn.MAXIFS(Acuses!$D$5:$D$3004,Acuses!$A$5:$A$3004,$A77,Acuses!$B$5:$B$3004,AQ$4,Acuses!$C$5:$C$3004,AQ$5),AQ$8)&lt;Resumen!$C$4+30,"Caduca pronto","OK"))))))</f>
        <v/>
      </c>
    </row>
    <row r="78" customFormat="false" ht="15" hidden="false" customHeight="false" outlineLevel="0" collapsed="false">
      <c r="A78" s="25" t="str">
        <f aca="false">IF(AND(Trabajadores!$A$73&lt;&gt;"",Trabajadores!$G$73&lt;&gt;"No"),Trabajadores!$A$73,"")</f>
        <v/>
      </c>
      <c r="B78" s="25" t="str">
        <f aca="false">IF($A78="","",Trabajadores!$B$73)</f>
        <v/>
      </c>
      <c r="C78" s="25" t="str">
        <f aca="false">IF($A78="","",Trabajadores!$C$73)</f>
        <v/>
      </c>
      <c r="D78" s="26" t="str">
        <f aca="false">IF(OR($A78="",D$4=""),"",IF(NOT(OR(D$6="Toda la plantilla",ISNUMBER(SEARCH(";"&amp;SUBSTITUTE($C78," ","")&amp;";",";"&amp;SUBSTITUTE(D$7," ","")&amp;";")))),"—",IF(_xlfn.MAXIFS(Acuses!$C$5:$C$3004,Acuses!$A$5:$A$3004,$A78,Acuses!$B$5:$B$3004,D$4)&lt;D$5,"Pendiente",IF(D$8=0,"OK",IF(EDATE(_xlfn.MAXIFS(Acuses!$D$5:$D$3004,Acuses!$A$5:$A$3004,$A78,Acuses!$B$5:$B$3004,D$4,Acuses!$C$5:$C$3004,D$5),D$8)&lt;Resumen!$C$4,"Caducado",IF(EDATE(_xlfn.MAXIFS(Acuses!$D$5:$D$3004,Acuses!$A$5:$A$3004,$A78,Acuses!$B$5:$B$3004,D$4,Acuses!$C$5:$C$3004,D$5),D$8)&lt;Resumen!$C$4+30,"Caduca pronto","OK"))))))</f>
        <v/>
      </c>
      <c r="E78" s="26" t="str">
        <f aca="false">IF(OR($A78="",E$4=""),"",IF(NOT(OR(E$6="Toda la plantilla",ISNUMBER(SEARCH(";"&amp;SUBSTITUTE($C78," ","")&amp;";",";"&amp;SUBSTITUTE(E$7," ","")&amp;";")))),"—",IF(_xlfn.MAXIFS(Acuses!$C$5:$C$3004,Acuses!$A$5:$A$3004,$A78,Acuses!$B$5:$B$3004,E$4)&lt;E$5,"Pendiente",IF(E$8=0,"OK",IF(EDATE(_xlfn.MAXIFS(Acuses!$D$5:$D$3004,Acuses!$A$5:$A$3004,$A78,Acuses!$B$5:$B$3004,E$4,Acuses!$C$5:$C$3004,E$5),E$8)&lt;Resumen!$C$4,"Caducado",IF(EDATE(_xlfn.MAXIFS(Acuses!$D$5:$D$3004,Acuses!$A$5:$A$3004,$A78,Acuses!$B$5:$B$3004,E$4,Acuses!$C$5:$C$3004,E$5),E$8)&lt;Resumen!$C$4+30,"Caduca pronto","OK"))))))</f>
        <v/>
      </c>
      <c r="F78" s="26" t="str">
        <f aca="false">IF(OR($A78="",F$4=""),"",IF(NOT(OR(F$6="Toda la plantilla",ISNUMBER(SEARCH(";"&amp;SUBSTITUTE($C78," ","")&amp;";",";"&amp;SUBSTITUTE(F$7," ","")&amp;";")))),"—",IF(_xlfn.MAXIFS(Acuses!$C$5:$C$3004,Acuses!$A$5:$A$3004,$A78,Acuses!$B$5:$B$3004,F$4)&lt;F$5,"Pendiente",IF(F$8=0,"OK",IF(EDATE(_xlfn.MAXIFS(Acuses!$D$5:$D$3004,Acuses!$A$5:$A$3004,$A78,Acuses!$B$5:$B$3004,F$4,Acuses!$C$5:$C$3004,F$5),F$8)&lt;Resumen!$C$4,"Caducado",IF(EDATE(_xlfn.MAXIFS(Acuses!$D$5:$D$3004,Acuses!$A$5:$A$3004,$A78,Acuses!$B$5:$B$3004,F$4,Acuses!$C$5:$C$3004,F$5),F$8)&lt;Resumen!$C$4+30,"Caduca pronto","OK"))))))</f>
        <v/>
      </c>
      <c r="G78" s="26" t="str">
        <f aca="false">IF(OR($A78="",G$4=""),"",IF(NOT(OR(G$6="Toda la plantilla",ISNUMBER(SEARCH(";"&amp;SUBSTITUTE($C78," ","")&amp;";",";"&amp;SUBSTITUTE(G$7," ","")&amp;";")))),"—",IF(_xlfn.MAXIFS(Acuses!$C$5:$C$3004,Acuses!$A$5:$A$3004,$A78,Acuses!$B$5:$B$3004,G$4)&lt;G$5,"Pendiente",IF(G$8=0,"OK",IF(EDATE(_xlfn.MAXIFS(Acuses!$D$5:$D$3004,Acuses!$A$5:$A$3004,$A78,Acuses!$B$5:$B$3004,G$4,Acuses!$C$5:$C$3004,G$5),G$8)&lt;Resumen!$C$4,"Caducado",IF(EDATE(_xlfn.MAXIFS(Acuses!$D$5:$D$3004,Acuses!$A$5:$A$3004,$A78,Acuses!$B$5:$B$3004,G$4,Acuses!$C$5:$C$3004,G$5),G$8)&lt;Resumen!$C$4+30,"Caduca pronto","OK"))))))</f>
        <v/>
      </c>
      <c r="H78" s="26" t="str">
        <f aca="false">IF(OR($A78="",H$4=""),"",IF(NOT(OR(H$6="Toda la plantilla",ISNUMBER(SEARCH(";"&amp;SUBSTITUTE($C78," ","")&amp;";",";"&amp;SUBSTITUTE(H$7," ","")&amp;";")))),"—",IF(_xlfn.MAXIFS(Acuses!$C$5:$C$3004,Acuses!$A$5:$A$3004,$A78,Acuses!$B$5:$B$3004,H$4)&lt;H$5,"Pendiente",IF(H$8=0,"OK",IF(EDATE(_xlfn.MAXIFS(Acuses!$D$5:$D$3004,Acuses!$A$5:$A$3004,$A78,Acuses!$B$5:$B$3004,H$4,Acuses!$C$5:$C$3004,H$5),H$8)&lt;Resumen!$C$4,"Caducado",IF(EDATE(_xlfn.MAXIFS(Acuses!$D$5:$D$3004,Acuses!$A$5:$A$3004,$A78,Acuses!$B$5:$B$3004,H$4,Acuses!$C$5:$C$3004,H$5),H$8)&lt;Resumen!$C$4+30,"Caduca pronto","OK"))))))</f>
        <v/>
      </c>
      <c r="I78" s="26" t="str">
        <f aca="false">IF(OR($A78="",I$4=""),"",IF(NOT(OR(I$6="Toda la plantilla",ISNUMBER(SEARCH(";"&amp;SUBSTITUTE($C78," ","")&amp;";",";"&amp;SUBSTITUTE(I$7," ","")&amp;";")))),"—",IF(_xlfn.MAXIFS(Acuses!$C$5:$C$3004,Acuses!$A$5:$A$3004,$A78,Acuses!$B$5:$B$3004,I$4)&lt;I$5,"Pendiente",IF(I$8=0,"OK",IF(EDATE(_xlfn.MAXIFS(Acuses!$D$5:$D$3004,Acuses!$A$5:$A$3004,$A78,Acuses!$B$5:$B$3004,I$4,Acuses!$C$5:$C$3004,I$5),I$8)&lt;Resumen!$C$4,"Caducado",IF(EDATE(_xlfn.MAXIFS(Acuses!$D$5:$D$3004,Acuses!$A$5:$A$3004,$A78,Acuses!$B$5:$B$3004,I$4,Acuses!$C$5:$C$3004,I$5),I$8)&lt;Resumen!$C$4+30,"Caduca pronto","OK"))))))</f>
        <v/>
      </c>
      <c r="J78" s="26" t="str">
        <f aca="false">IF(OR($A78="",J$4=""),"",IF(NOT(OR(J$6="Toda la plantilla",ISNUMBER(SEARCH(";"&amp;SUBSTITUTE($C78," ","")&amp;";",";"&amp;SUBSTITUTE(J$7," ","")&amp;";")))),"—",IF(_xlfn.MAXIFS(Acuses!$C$5:$C$3004,Acuses!$A$5:$A$3004,$A78,Acuses!$B$5:$B$3004,J$4)&lt;J$5,"Pendiente",IF(J$8=0,"OK",IF(EDATE(_xlfn.MAXIFS(Acuses!$D$5:$D$3004,Acuses!$A$5:$A$3004,$A78,Acuses!$B$5:$B$3004,J$4,Acuses!$C$5:$C$3004,J$5),J$8)&lt;Resumen!$C$4,"Caducado",IF(EDATE(_xlfn.MAXIFS(Acuses!$D$5:$D$3004,Acuses!$A$5:$A$3004,$A78,Acuses!$B$5:$B$3004,J$4,Acuses!$C$5:$C$3004,J$5),J$8)&lt;Resumen!$C$4+30,"Caduca pronto","OK"))))))</f>
        <v/>
      </c>
      <c r="K78" s="26" t="str">
        <f aca="false">IF(OR($A78="",K$4=""),"",IF(NOT(OR(K$6="Toda la plantilla",ISNUMBER(SEARCH(";"&amp;SUBSTITUTE($C78," ","")&amp;";",";"&amp;SUBSTITUTE(K$7," ","")&amp;";")))),"—",IF(_xlfn.MAXIFS(Acuses!$C$5:$C$3004,Acuses!$A$5:$A$3004,$A78,Acuses!$B$5:$B$3004,K$4)&lt;K$5,"Pendiente",IF(K$8=0,"OK",IF(EDATE(_xlfn.MAXIFS(Acuses!$D$5:$D$3004,Acuses!$A$5:$A$3004,$A78,Acuses!$B$5:$B$3004,K$4,Acuses!$C$5:$C$3004,K$5),K$8)&lt;Resumen!$C$4,"Caducado",IF(EDATE(_xlfn.MAXIFS(Acuses!$D$5:$D$3004,Acuses!$A$5:$A$3004,$A78,Acuses!$B$5:$B$3004,K$4,Acuses!$C$5:$C$3004,K$5),K$8)&lt;Resumen!$C$4+30,"Caduca pronto","OK"))))))</f>
        <v/>
      </c>
      <c r="L78" s="26" t="str">
        <f aca="false">IF(OR($A78="",L$4=""),"",IF(NOT(OR(L$6="Toda la plantilla",ISNUMBER(SEARCH(";"&amp;SUBSTITUTE($C78," ","")&amp;";",";"&amp;SUBSTITUTE(L$7," ","")&amp;";")))),"—",IF(_xlfn.MAXIFS(Acuses!$C$5:$C$3004,Acuses!$A$5:$A$3004,$A78,Acuses!$B$5:$B$3004,L$4)&lt;L$5,"Pendiente",IF(L$8=0,"OK",IF(EDATE(_xlfn.MAXIFS(Acuses!$D$5:$D$3004,Acuses!$A$5:$A$3004,$A78,Acuses!$B$5:$B$3004,L$4,Acuses!$C$5:$C$3004,L$5),L$8)&lt;Resumen!$C$4,"Caducado",IF(EDATE(_xlfn.MAXIFS(Acuses!$D$5:$D$3004,Acuses!$A$5:$A$3004,$A78,Acuses!$B$5:$B$3004,L$4,Acuses!$C$5:$C$3004,L$5),L$8)&lt;Resumen!$C$4+30,"Caduca pronto","OK"))))))</f>
        <v/>
      </c>
      <c r="M78" s="26" t="str">
        <f aca="false">IF(OR($A78="",M$4=""),"",IF(NOT(OR(M$6="Toda la plantilla",ISNUMBER(SEARCH(";"&amp;SUBSTITUTE($C78," ","")&amp;";",";"&amp;SUBSTITUTE(M$7," ","")&amp;";")))),"—",IF(_xlfn.MAXIFS(Acuses!$C$5:$C$3004,Acuses!$A$5:$A$3004,$A78,Acuses!$B$5:$B$3004,M$4)&lt;M$5,"Pendiente",IF(M$8=0,"OK",IF(EDATE(_xlfn.MAXIFS(Acuses!$D$5:$D$3004,Acuses!$A$5:$A$3004,$A78,Acuses!$B$5:$B$3004,M$4,Acuses!$C$5:$C$3004,M$5),M$8)&lt;Resumen!$C$4,"Caducado",IF(EDATE(_xlfn.MAXIFS(Acuses!$D$5:$D$3004,Acuses!$A$5:$A$3004,$A78,Acuses!$B$5:$B$3004,M$4,Acuses!$C$5:$C$3004,M$5),M$8)&lt;Resumen!$C$4+30,"Caduca pronto","OK"))))))</f>
        <v/>
      </c>
      <c r="N78" s="26" t="str">
        <f aca="false">IF(OR($A78="",N$4=""),"",IF(NOT(OR(N$6="Toda la plantilla",ISNUMBER(SEARCH(";"&amp;SUBSTITUTE($C78," ","")&amp;";",";"&amp;SUBSTITUTE(N$7," ","")&amp;";")))),"—",IF(_xlfn.MAXIFS(Acuses!$C$5:$C$3004,Acuses!$A$5:$A$3004,$A78,Acuses!$B$5:$B$3004,N$4)&lt;N$5,"Pendiente",IF(N$8=0,"OK",IF(EDATE(_xlfn.MAXIFS(Acuses!$D$5:$D$3004,Acuses!$A$5:$A$3004,$A78,Acuses!$B$5:$B$3004,N$4,Acuses!$C$5:$C$3004,N$5),N$8)&lt;Resumen!$C$4,"Caducado",IF(EDATE(_xlfn.MAXIFS(Acuses!$D$5:$D$3004,Acuses!$A$5:$A$3004,$A78,Acuses!$B$5:$B$3004,N$4,Acuses!$C$5:$C$3004,N$5),N$8)&lt;Resumen!$C$4+30,"Caduca pronto","OK"))))))</f>
        <v/>
      </c>
      <c r="O78" s="26" t="str">
        <f aca="false">IF(OR($A78="",O$4=""),"",IF(NOT(OR(O$6="Toda la plantilla",ISNUMBER(SEARCH(";"&amp;SUBSTITUTE($C78," ","")&amp;";",";"&amp;SUBSTITUTE(O$7," ","")&amp;";")))),"—",IF(_xlfn.MAXIFS(Acuses!$C$5:$C$3004,Acuses!$A$5:$A$3004,$A78,Acuses!$B$5:$B$3004,O$4)&lt;O$5,"Pendiente",IF(O$8=0,"OK",IF(EDATE(_xlfn.MAXIFS(Acuses!$D$5:$D$3004,Acuses!$A$5:$A$3004,$A78,Acuses!$B$5:$B$3004,O$4,Acuses!$C$5:$C$3004,O$5),O$8)&lt;Resumen!$C$4,"Caducado",IF(EDATE(_xlfn.MAXIFS(Acuses!$D$5:$D$3004,Acuses!$A$5:$A$3004,$A78,Acuses!$B$5:$B$3004,O$4,Acuses!$C$5:$C$3004,O$5),O$8)&lt;Resumen!$C$4+30,"Caduca pronto","OK"))))))</f>
        <v/>
      </c>
      <c r="P78" s="26" t="str">
        <f aca="false">IF(OR($A78="",P$4=""),"",IF(NOT(OR(P$6="Toda la plantilla",ISNUMBER(SEARCH(";"&amp;SUBSTITUTE($C78," ","")&amp;";",";"&amp;SUBSTITUTE(P$7," ","")&amp;";")))),"—",IF(_xlfn.MAXIFS(Acuses!$C$5:$C$3004,Acuses!$A$5:$A$3004,$A78,Acuses!$B$5:$B$3004,P$4)&lt;P$5,"Pendiente",IF(P$8=0,"OK",IF(EDATE(_xlfn.MAXIFS(Acuses!$D$5:$D$3004,Acuses!$A$5:$A$3004,$A78,Acuses!$B$5:$B$3004,P$4,Acuses!$C$5:$C$3004,P$5),P$8)&lt;Resumen!$C$4,"Caducado",IF(EDATE(_xlfn.MAXIFS(Acuses!$D$5:$D$3004,Acuses!$A$5:$A$3004,$A78,Acuses!$B$5:$B$3004,P$4,Acuses!$C$5:$C$3004,P$5),P$8)&lt;Resumen!$C$4+30,"Caduca pronto","OK"))))))</f>
        <v/>
      </c>
      <c r="Q78" s="26" t="str">
        <f aca="false">IF(OR($A78="",Q$4=""),"",IF(NOT(OR(Q$6="Toda la plantilla",ISNUMBER(SEARCH(";"&amp;SUBSTITUTE($C78," ","")&amp;";",";"&amp;SUBSTITUTE(Q$7," ","")&amp;";")))),"—",IF(_xlfn.MAXIFS(Acuses!$C$5:$C$3004,Acuses!$A$5:$A$3004,$A78,Acuses!$B$5:$B$3004,Q$4)&lt;Q$5,"Pendiente",IF(Q$8=0,"OK",IF(EDATE(_xlfn.MAXIFS(Acuses!$D$5:$D$3004,Acuses!$A$5:$A$3004,$A78,Acuses!$B$5:$B$3004,Q$4,Acuses!$C$5:$C$3004,Q$5),Q$8)&lt;Resumen!$C$4,"Caducado",IF(EDATE(_xlfn.MAXIFS(Acuses!$D$5:$D$3004,Acuses!$A$5:$A$3004,$A78,Acuses!$B$5:$B$3004,Q$4,Acuses!$C$5:$C$3004,Q$5),Q$8)&lt;Resumen!$C$4+30,"Caduca pronto","OK"))))))</f>
        <v/>
      </c>
      <c r="R78" s="26" t="str">
        <f aca="false">IF(OR($A78="",R$4=""),"",IF(NOT(OR(R$6="Toda la plantilla",ISNUMBER(SEARCH(";"&amp;SUBSTITUTE($C78," ","")&amp;";",";"&amp;SUBSTITUTE(R$7," ","")&amp;";")))),"—",IF(_xlfn.MAXIFS(Acuses!$C$5:$C$3004,Acuses!$A$5:$A$3004,$A78,Acuses!$B$5:$B$3004,R$4)&lt;R$5,"Pendiente",IF(R$8=0,"OK",IF(EDATE(_xlfn.MAXIFS(Acuses!$D$5:$D$3004,Acuses!$A$5:$A$3004,$A78,Acuses!$B$5:$B$3004,R$4,Acuses!$C$5:$C$3004,R$5),R$8)&lt;Resumen!$C$4,"Caducado",IF(EDATE(_xlfn.MAXIFS(Acuses!$D$5:$D$3004,Acuses!$A$5:$A$3004,$A78,Acuses!$B$5:$B$3004,R$4,Acuses!$C$5:$C$3004,R$5),R$8)&lt;Resumen!$C$4+30,"Caduca pronto","OK"))))))</f>
        <v/>
      </c>
      <c r="S78" s="26" t="str">
        <f aca="false">IF(OR($A78="",S$4=""),"",IF(NOT(OR(S$6="Toda la plantilla",ISNUMBER(SEARCH(";"&amp;SUBSTITUTE($C78," ","")&amp;";",";"&amp;SUBSTITUTE(S$7," ","")&amp;";")))),"—",IF(_xlfn.MAXIFS(Acuses!$C$5:$C$3004,Acuses!$A$5:$A$3004,$A78,Acuses!$B$5:$B$3004,S$4)&lt;S$5,"Pendiente",IF(S$8=0,"OK",IF(EDATE(_xlfn.MAXIFS(Acuses!$D$5:$D$3004,Acuses!$A$5:$A$3004,$A78,Acuses!$B$5:$B$3004,S$4,Acuses!$C$5:$C$3004,S$5),S$8)&lt;Resumen!$C$4,"Caducado",IF(EDATE(_xlfn.MAXIFS(Acuses!$D$5:$D$3004,Acuses!$A$5:$A$3004,$A78,Acuses!$B$5:$B$3004,S$4,Acuses!$C$5:$C$3004,S$5),S$8)&lt;Resumen!$C$4+30,"Caduca pronto","OK"))))))</f>
        <v/>
      </c>
      <c r="T78" s="26" t="str">
        <f aca="false">IF(OR($A78="",T$4=""),"",IF(NOT(OR(T$6="Toda la plantilla",ISNUMBER(SEARCH(";"&amp;SUBSTITUTE($C78," ","")&amp;";",";"&amp;SUBSTITUTE(T$7," ","")&amp;";")))),"—",IF(_xlfn.MAXIFS(Acuses!$C$5:$C$3004,Acuses!$A$5:$A$3004,$A78,Acuses!$B$5:$B$3004,T$4)&lt;T$5,"Pendiente",IF(T$8=0,"OK",IF(EDATE(_xlfn.MAXIFS(Acuses!$D$5:$D$3004,Acuses!$A$5:$A$3004,$A78,Acuses!$B$5:$B$3004,T$4,Acuses!$C$5:$C$3004,T$5),T$8)&lt;Resumen!$C$4,"Caducado",IF(EDATE(_xlfn.MAXIFS(Acuses!$D$5:$D$3004,Acuses!$A$5:$A$3004,$A78,Acuses!$B$5:$B$3004,T$4,Acuses!$C$5:$C$3004,T$5),T$8)&lt;Resumen!$C$4+30,"Caduca pronto","OK"))))))</f>
        <v/>
      </c>
      <c r="U78" s="26" t="str">
        <f aca="false">IF(OR($A78="",U$4=""),"",IF(NOT(OR(U$6="Toda la plantilla",ISNUMBER(SEARCH(";"&amp;SUBSTITUTE($C78," ","")&amp;";",";"&amp;SUBSTITUTE(U$7," ","")&amp;";")))),"—",IF(_xlfn.MAXIFS(Acuses!$C$5:$C$3004,Acuses!$A$5:$A$3004,$A78,Acuses!$B$5:$B$3004,U$4)&lt;U$5,"Pendiente",IF(U$8=0,"OK",IF(EDATE(_xlfn.MAXIFS(Acuses!$D$5:$D$3004,Acuses!$A$5:$A$3004,$A78,Acuses!$B$5:$B$3004,U$4,Acuses!$C$5:$C$3004,U$5),U$8)&lt;Resumen!$C$4,"Caducado",IF(EDATE(_xlfn.MAXIFS(Acuses!$D$5:$D$3004,Acuses!$A$5:$A$3004,$A78,Acuses!$B$5:$B$3004,U$4,Acuses!$C$5:$C$3004,U$5),U$8)&lt;Resumen!$C$4+30,"Caduca pronto","OK"))))))</f>
        <v/>
      </c>
      <c r="V78" s="26" t="str">
        <f aca="false">IF(OR($A78="",V$4=""),"",IF(NOT(OR(V$6="Toda la plantilla",ISNUMBER(SEARCH(";"&amp;SUBSTITUTE($C78," ","")&amp;";",";"&amp;SUBSTITUTE(V$7," ","")&amp;";")))),"—",IF(_xlfn.MAXIFS(Acuses!$C$5:$C$3004,Acuses!$A$5:$A$3004,$A78,Acuses!$B$5:$B$3004,V$4)&lt;V$5,"Pendiente",IF(V$8=0,"OK",IF(EDATE(_xlfn.MAXIFS(Acuses!$D$5:$D$3004,Acuses!$A$5:$A$3004,$A78,Acuses!$B$5:$B$3004,V$4,Acuses!$C$5:$C$3004,V$5),V$8)&lt;Resumen!$C$4,"Caducado",IF(EDATE(_xlfn.MAXIFS(Acuses!$D$5:$D$3004,Acuses!$A$5:$A$3004,$A78,Acuses!$B$5:$B$3004,V$4,Acuses!$C$5:$C$3004,V$5),V$8)&lt;Resumen!$C$4+30,"Caduca pronto","OK"))))))</f>
        <v/>
      </c>
      <c r="W78" s="26" t="str">
        <f aca="false">IF(OR($A78="",W$4=""),"",IF(NOT(OR(W$6="Toda la plantilla",ISNUMBER(SEARCH(";"&amp;SUBSTITUTE($C78," ","")&amp;";",";"&amp;SUBSTITUTE(W$7," ","")&amp;";")))),"—",IF(_xlfn.MAXIFS(Acuses!$C$5:$C$3004,Acuses!$A$5:$A$3004,$A78,Acuses!$B$5:$B$3004,W$4)&lt;W$5,"Pendiente",IF(W$8=0,"OK",IF(EDATE(_xlfn.MAXIFS(Acuses!$D$5:$D$3004,Acuses!$A$5:$A$3004,$A78,Acuses!$B$5:$B$3004,W$4,Acuses!$C$5:$C$3004,W$5),W$8)&lt;Resumen!$C$4,"Caducado",IF(EDATE(_xlfn.MAXIFS(Acuses!$D$5:$D$3004,Acuses!$A$5:$A$3004,$A78,Acuses!$B$5:$B$3004,W$4,Acuses!$C$5:$C$3004,W$5),W$8)&lt;Resumen!$C$4+30,"Caduca pronto","OK"))))))</f>
        <v/>
      </c>
      <c r="X78" s="26" t="str">
        <f aca="false">IF(OR($A78="",X$4=""),"",IF(NOT(OR(X$6="Toda la plantilla",ISNUMBER(SEARCH(";"&amp;SUBSTITUTE($C78," ","")&amp;";",";"&amp;SUBSTITUTE(X$7," ","")&amp;";")))),"—",IF(_xlfn.MAXIFS(Acuses!$C$5:$C$3004,Acuses!$A$5:$A$3004,$A78,Acuses!$B$5:$B$3004,X$4)&lt;X$5,"Pendiente",IF(X$8=0,"OK",IF(EDATE(_xlfn.MAXIFS(Acuses!$D$5:$D$3004,Acuses!$A$5:$A$3004,$A78,Acuses!$B$5:$B$3004,X$4,Acuses!$C$5:$C$3004,X$5),X$8)&lt;Resumen!$C$4,"Caducado",IF(EDATE(_xlfn.MAXIFS(Acuses!$D$5:$D$3004,Acuses!$A$5:$A$3004,$A78,Acuses!$B$5:$B$3004,X$4,Acuses!$C$5:$C$3004,X$5),X$8)&lt;Resumen!$C$4+30,"Caduca pronto","OK"))))))</f>
        <v/>
      </c>
      <c r="Y78" s="26" t="str">
        <f aca="false">IF(OR($A78="",Y$4=""),"",IF(NOT(OR(Y$6="Toda la plantilla",ISNUMBER(SEARCH(";"&amp;SUBSTITUTE($C78," ","")&amp;";",";"&amp;SUBSTITUTE(Y$7," ","")&amp;";")))),"—",IF(_xlfn.MAXIFS(Acuses!$C$5:$C$3004,Acuses!$A$5:$A$3004,$A78,Acuses!$B$5:$B$3004,Y$4)&lt;Y$5,"Pendiente",IF(Y$8=0,"OK",IF(EDATE(_xlfn.MAXIFS(Acuses!$D$5:$D$3004,Acuses!$A$5:$A$3004,$A78,Acuses!$B$5:$B$3004,Y$4,Acuses!$C$5:$C$3004,Y$5),Y$8)&lt;Resumen!$C$4,"Caducado",IF(EDATE(_xlfn.MAXIFS(Acuses!$D$5:$D$3004,Acuses!$A$5:$A$3004,$A78,Acuses!$B$5:$B$3004,Y$4,Acuses!$C$5:$C$3004,Y$5),Y$8)&lt;Resumen!$C$4+30,"Caduca pronto","OK"))))))</f>
        <v/>
      </c>
      <c r="Z78" s="26" t="str">
        <f aca="false">IF(OR($A78="",Z$4=""),"",IF(NOT(OR(Z$6="Toda la plantilla",ISNUMBER(SEARCH(";"&amp;SUBSTITUTE($C78," ","")&amp;";",";"&amp;SUBSTITUTE(Z$7," ","")&amp;";")))),"—",IF(_xlfn.MAXIFS(Acuses!$C$5:$C$3004,Acuses!$A$5:$A$3004,$A78,Acuses!$B$5:$B$3004,Z$4)&lt;Z$5,"Pendiente",IF(Z$8=0,"OK",IF(EDATE(_xlfn.MAXIFS(Acuses!$D$5:$D$3004,Acuses!$A$5:$A$3004,$A78,Acuses!$B$5:$B$3004,Z$4,Acuses!$C$5:$C$3004,Z$5),Z$8)&lt;Resumen!$C$4,"Caducado",IF(EDATE(_xlfn.MAXIFS(Acuses!$D$5:$D$3004,Acuses!$A$5:$A$3004,$A78,Acuses!$B$5:$B$3004,Z$4,Acuses!$C$5:$C$3004,Z$5),Z$8)&lt;Resumen!$C$4+30,"Caduca pronto","OK"))))))</f>
        <v/>
      </c>
      <c r="AA78" s="26" t="str">
        <f aca="false">IF(OR($A78="",AA$4=""),"",IF(NOT(OR(AA$6="Toda la plantilla",ISNUMBER(SEARCH(";"&amp;SUBSTITUTE($C78," ","")&amp;";",";"&amp;SUBSTITUTE(AA$7," ","")&amp;";")))),"—",IF(_xlfn.MAXIFS(Acuses!$C$5:$C$3004,Acuses!$A$5:$A$3004,$A78,Acuses!$B$5:$B$3004,AA$4)&lt;AA$5,"Pendiente",IF(AA$8=0,"OK",IF(EDATE(_xlfn.MAXIFS(Acuses!$D$5:$D$3004,Acuses!$A$5:$A$3004,$A78,Acuses!$B$5:$B$3004,AA$4,Acuses!$C$5:$C$3004,AA$5),AA$8)&lt;Resumen!$C$4,"Caducado",IF(EDATE(_xlfn.MAXIFS(Acuses!$D$5:$D$3004,Acuses!$A$5:$A$3004,$A78,Acuses!$B$5:$B$3004,AA$4,Acuses!$C$5:$C$3004,AA$5),AA$8)&lt;Resumen!$C$4+30,"Caduca pronto","OK"))))))</f>
        <v/>
      </c>
      <c r="AB78" s="26" t="str">
        <f aca="false">IF(OR($A78="",AB$4=""),"",IF(NOT(OR(AB$6="Toda la plantilla",ISNUMBER(SEARCH(";"&amp;SUBSTITUTE($C78," ","")&amp;";",";"&amp;SUBSTITUTE(AB$7," ","")&amp;";")))),"—",IF(_xlfn.MAXIFS(Acuses!$C$5:$C$3004,Acuses!$A$5:$A$3004,$A78,Acuses!$B$5:$B$3004,AB$4)&lt;AB$5,"Pendiente",IF(AB$8=0,"OK",IF(EDATE(_xlfn.MAXIFS(Acuses!$D$5:$D$3004,Acuses!$A$5:$A$3004,$A78,Acuses!$B$5:$B$3004,AB$4,Acuses!$C$5:$C$3004,AB$5),AB$8)&lt;Resumen!$C$4,"Caducado",IF(EDATE(_xlfn.MAXIFS(Acuses!$D$5:$D$3004,Acuses!$A$5:$A$3004,$A78,Acuses!$B$5:$B$3004,AB$4,Acuses!$C$5:$C$3004,AB$5),AB$8)&lt;Resumen!$C$4+30,"Caduca pronto","OK"))))))</f>
        <v/>
      </c>
      <c r="AC78" s="26" t="str">
        <f aca="false">IF(OR($A78="",AC$4=""),"",IF(NOT(OR(AC$6="Toda la plantilla",ISNUMBER(SEARCH(";"&amp;SUBSTITUTE($C78," ","")&amp;";",";"&amp;SUBSTITUTE(AC$7," ","")&amp;";")))),"—",IF(_xlfn.MAXIFS(Acuses!$C$5:$C$3004,Acuses!$A$5:$A$3004,$A78,Acuses!$B$5:$B$3004,AC$4)&lt;AC$5,"Pendiente",IF(AC$8=0,"OK",IF(EDATE(_xlfn.MAXIFS(Acuses!$D$5:$D$3004,Acuses!$A$5:$A$3004,$A78,Acuses!$B$5:$B$3004,AC$4,Acuses!$C$5:$C$3004,AC$5),AC$8)&lt;Resumen!$C$4,"Caducado",IF(EDATE(_xlfn.MAXIFS(Acuses!$D$5:$D$3004,Acuses!$A$5:$A$3004,$A78,Acuses!$B$5:$B$3004,AC$4,Acuses!$C$5:$C$3004,AC$5),AC$8)&lt;Resumen!$C$4+30,"Caduca pronto","OK"))))))</f>
        <v/>
      </c>
      <c r="AD78" s="26" t="str">
        <f aca="false">IF(OR($A78="",AD$4=""),"",IF(NOT(OR(AD$6="Toda la plantilla",ISNUMBER(SEARCH(";"&amp;SUBSTITUTE($C78," ","")&amp;";",";"&amp;SUBSTITUTE(AD$7," ","")&amp;";")))),"—",IF(_xlfn.MAXIFS(Acuses!$C$5:$C$3004,Acuses!$A$5:$A$3004,$A78,Acuses!$B$5:$B$3004,AD$4)&lt;AD$5,"Pendiente",IF(AD$8=0,"OK",IF(EDATE(_xlfn.MAXIFS(Acuses!$D$5:$D$3004,Acuses!$A$5:$A$3004,$A78,Acuses!$B$5:$B$3004,AD$4,Acuses!$C$5:$C$3004,AD$5),AD$8)&lt;Resumen!$C$4,"Caducado",IF(EDATE(_xlfn.MAXIFS(Acuses!$D$5:$D$3004,Acuses!$A$5:$A$3004,$A78,Acuses!$B$5:$B$3004,AD$4,Acuses!$C$5:$C$3004,AD$5),AD$8)&lt;Resumen!$C$4+30,"Caduca pronto","OK"))))))</f>
        <v/>
      </c>
      <c r="AE78" s="26" t="str">
        <f aca="false">IF(OR($A78="",AE$4=""),"",IF(NOT(OR(AE$6="Toda la plantilla",ISNUMBER(SEARCH(";"&amp;SUBSTITUTE($C78," ","")&amp;";",";"&amp;SUBSTITUTE(AE$7," ","")&amp;";")))),"—",IF(_xlfn.MAXIFS(Acuses!$C$5:$C$3004,Acuses!$A$5:$A$3004,$A78,Acuses!$B$5:$B$3004,AE$4)&lt;AE$5,"Pendiente",IF(AE$8=0,"OK",IF(EDATE(_xlfn.MAXIFS(Acuses!$D$5:$D$3004,Acuses!$A$5:$A$3004,$A78,Acuses!$B$5:$B$3004,AE$4,Acuses!$C$5:$C$3004,AE$5),AE$8)&lt;Resumen!$C$4,"Caducado",IF(EDATE(_xlfn.MAXIFS(Acuses!$D$5:$D$3004,Acuses!$A$5:$A$3004,$A78,Acuses!$B$5:$B$3004,AE$4,Acuses!$C$5:$C$3004,AE$5),AE$8)&lt;Resumen!$C$4+30,"Caduca pronto","OK"))))))</f>
        <v/>
      </c>
      <c r="AF78" s="26" t="str">
        <f aca="false">IF(OR($A78="",AF$4=""),"",IF(NOT(OR(AF$6="Toda la plantilla",ISNUMBER(SEARCH(";"&amp;SUBSTITUTE($C78," ","")&amp;";",";"&amp;SUBSTITUTE(AF$7," ","")&amp;";")))),"—",IF(_xlfn.MAXIFS(Acuses!$C$5:$C$3004,Acuses!$A$5:$A$3004,$A78,Acuses!$B$5:$B$3004,AF$4)&lt;AF$5,"Pendiente",IF(AF$8=0,"OK",IF(EDATE(_xlfn.MAXIFS(Acuses!$D$5:$D$3004,Acuses!$A$5:$A$3004,$A78,Acuses!$B$5:$B$3004,AF$4,Acuses!$C$5:$C$3004,AF$5),AF$8)&lt;Resumen!$C$4,"Caducado",IF(EDATE(_xlfn.MAXIFS(Acuses!$D$5:$D$3004,Acuses!$A$5:$A$3004,$A78,Acuses!$B$5:$B$3004,AF$4,Acuses!$C$5:$C$3004,AF$5),AF$8)&lt;Resumen!$C$4+30,"Caduca pronto","OK"))))))</f>
        <v/>
      </c>
      <c r="AG78" s="26" t="str">
        <f aca="false">IF(OR($A78="",AG$4=""),"",IF(NOT(OR(AG$6="Toda la plantilla",ISNUMBER(SEARCH(";"&amp;SUBSTITUTE($C78," ","")&amp;";",";"&amp;SUBSTITUTE(AG$7," ","")&amp;";")))),"—",IF(_xlfn.MAXIFS(Acuses!$C$5:$C$3004,Acuses!$A$5:$A$3004,$A78,Acuses!$B$5:$B$3004,AG$4)&lt;AG$5,"Pendiente",IF(AG$8=0,"OK",IF(EDATE(_xlfn.MAXIFS(Acuses!$D$5:$D$3004,Acuses!$A$5:$A$3004,$A78,Acuses!$B$5:$B$3004,AG$4,Acuses!$C$5:$C$3004,AG$5),AG$8)&lt;Resumen!$C$4,"Caducado",IF(EDATE(_xlfn.MAXIFS(Acuses!$D$5:$D$3004,Acuses!$A$5:$A$3004,$A78,Acuses!$B$5:$B$3004,AG$4,Acuses!$C$5:$C$3004,AG$5),AG$8)&lt;Resumen!$C$4+30,"Caduca pronto","OK"))))))</f>
        <v/>
      </c>
      <c r="AH78" s="26" t="str">
        <f aca="false">IF(OR($A78="",AH$4=""),"",IF(NOT(OR(AH$6="Toda la plantilla",ISNUMBER(SEARCH(";"&amp;SUBSTITUTE($C78," ","")&amp;";",";"&amp;SUBSTITUTE(AH$7," ","")&amp;";")))),"—",IF(_xlfn.MAXIFS(Acuses!$C$5:$C$3004,Acuses!$A$5:$A$3004,$A78,Acuses!$B$5:$B$3004,AH$4)&lt;AH$5,"Pendiente",IF(AH$8=0,"OK",IF(EDATE(_xlfn.MAXIFS(Acuses!$D$5:$D$3004,Acuses!$A$5:$A$3004,$A78,Acuses!$B$5:$B$3004,AH$4,Acuses!$C$5:$C$3004,AH$5),AH$8)&lt;Resumen!$C$4,"Caducado",IF(EDATE(_xlfn.MAXIFS(Acuses!$D$5:$D$3004,Acuses!$A$5:$A$3004,$A78,Acuses!$B$5:$B$3004,AH$4,Acuses!$C$5:$C$3004,AH$5),AH$8)&lt;Resumen!$C$4+30,"Caduca pronto","OK"))))))</f>
        <v/>
      </c>
      <c r="AI78" s="26" t="str">
        <f aca="false">IF(OR($A78="",AI$4=""),"",IF(NOT(OR(AI$6="Toda la plantilla",ISNUMBER(SEARCH(";"&amp;SUBSTITUTE($C78," ","")&amp;";",";"&amp;SUBSTITUTE(AI$7," ","")&amp;";")))),"—",IF(_xlfn.MAXIFS(Acuses!$C$5:$C$3004,Acuses!$A$5:$A$3004,$A78,Acuses!$B$5:$B$3004,AI$4)&lt;AI$5,"Pendiente",IF(AI$8=0,"OK",IF(EDATE(_xlfn.MAXIFS(Acuses!$D$5:$D$3004,Acuses!$A$5:$A$3004,$A78,Acuses!$B$5:$B$3004,AI$4,Acuses!$C$5:$C$3004,AI$5),AI$8)&lt;Resumen!$C$4,"Caducado",IF(EDATE(_xlfn.MAXIFS(Acuses!$D$5:$D$3004,Acuses!$A$5:$A$3004,$A78,Acuses!$B$5:$B$3004,AI$4,Acuses!$C$5:$C$3004,AI$5),AI$8)&lt;Resumen!$C$4+30,"Caduca pronto","OK"))))))</f>
        <v/>
      </c>
      <c r="AJ78" s="26" t="str">
        <f aca="false">IF(OR($A78="",AJ$4=""),"",IF(NOT(OR(AJ$6="Toda la plantilla",ISNUMBER(SEARCH(";"&amp;SUBSTITUTE($C78," ","")&amp;";",";"&amp;SUBSTITUTE(AJ$7," ","")&amp;";")))),"—",IF(_xlfn.MAXIFS(Acuses!$C$5:$C$3004,Acuses!$A$5:$A$3004,$A78,Acuses!$B$5:$B$3004,AJ$4)&lt;AJ$5,"Pendiente",IF(AJ$8=0,"OK",IF(EDATE(_xlfn.MAXIFS(Acuses!$D$5:$D$3004,Acuses!$A$5:$A$3004,$A78,Acuses!$B$5:$B$3004,AJ$4,Acuses!$C$5:$C$3004,AJ$5),AJ$8)&lt;Resumen!$C$4,"Caducado",IF(EDATE(_xlfn.MAXIFS(Acuses!$D$5:$D$3004,Acuses!$A$5:$A$3004,$A78,Acuses!$B$5:$B$3004,AJ$4,Acuses!$C$5:$C$3004,AJ$5),AJ$8)&lt;Resumen!$C$4+30,"Caduca pronto","OK"))))))</f>
        <v/>
      </c>
      <c r="AK78" s="26" t="str">
        <f aca="false">IF(OR($A78="",AK$4=""),"",IF(NOT(OR(AK$6="Toda la plantilla",ISNUMBER(SEARCH(";"&amp;SUBSTITUTE($C78," ","")&amp;";",";"&amp;SUBSTITUTE(AK$7," ","")&amp;";")))),"—",IF(_xlfn.MAXIFS(Acuses!$C$5:$C$3004,Acuses!$A$5:$A$3004,$A78,Acuses!$B$5:$B$3004,AK$4)&lt;AK$5,"Pendiente",IF(AK$8=0,"OK",IF(EDATE(_xlfn.MAXIFS(Acuses!$D$5:$D$3004,Acuses!$A$5:$A$3004,$A78,Acuses!$B$5:$B$3004,AK$4,Acuses!$C$5:$C$3004,AK$5),AK$8)&lt;Resumen!$C$4,"Caducado",IF(EDATE(_xlfn.MAXIFS(Acuses!$D$5:$D$3004,Acuses!$A$5:$A$3004,$A78,Acuses!$B$5:$B$3004,AK$4,Acuses!$C$5:$C$3004,AK$5),AK$8)&lt;Resumen!$C$4+30,"Caduca pronto","OK"))))))</f>
        <v/>
      </c>
      <c r="AL78" s="26" t="str">
        <f aca="false">IF(OR($A78="",AL$4=""),"",IF(NOT(OR(AL$6="Toda la plantilla",ISNUMBER(SEARCH(";"&amp;SUBSTITUTE($C78," ","")&amp;";",";"&amp;SUBSTITUTE(AL$7," ","")&amp;";")))),"—",IF(_xlfn.MAXIFS(Acuses!$C$5:$C$3004,Acuses!$A$5:$A$3004,$A78,Acuses!$B$5:$B$3004,AL$4)&lt;AL$5,"Pendiente",IF(AL$8=0,"OK",IF(EDATE(_xlfn.MAXIFS(Acuses!$D$5:$D$3004,Acuses!$A$5:$A$3004,$A78,Acuses!$B$5:$B$3004,AL$4,Acuses!$C$5:$C$3004,AL$5),AL$8)&lt;Resumen!$C$4,"Caducado",IF(EDATE(_xlfn.MAXIFS(Acuses!$D$5:$D$3004,Acuses!$A$5:$A$3004,$A78,Acuses!$B$5:$B$3004,AL$4,Acuses!$C$5:$C$3004,AL$5),AL$8)&lt;Resumen!$C$4+30,"Caduca pronto","OK"))))))</f>
        <v/>
      </c>
      <c r="AM78" s="26" t="str">
        <f aca="false">IF(OR($A78="",AM$4=""),"",IF(NOT(OR(AM$6="Toda la plantilla",ISNUMBER(SEARCH(";"&amp;SUBSTITUTE($C78," ","")&amp;";",";"&amp;SUBSTITUTE(AM$7," ","")&amp;";")))),"—",IF(_xlfn.MAXIFS(Acuses!$C$5:$C$3004,Acuses!$A$5:$A$3004,$A78,Acuses!$B$5:$B$3004,AM$4)&lt;AM$5,"Pendiente",IF(AM$8=0,"OK",IF(EDATE(_xlfn.MAXIFS(Acuses!$D$5:$D$3004,Acuses!$A$5:$A$3004,$A78,Acuses!$B$5:$B$3004,AM$4,Acuses!$C$5:$C$3004,AM$5),AM$8)&lt;Resumen!$C$4,"Caducado",IF(EDATE(_xlfn.MAXIFS(Acuses!$D$5:$D$3004,Acuses!$A$5:$A$3004,$A78,Acuses!$B$5:$B$3004,AM$4,Acuses!$C$5:$C$3004,AM$5),AM$8)&lt;Resumen!$C$4+30,"Caduca pronto","OK"))))))</f>
        <v/>
      </c>
      <c r="AN78" s="26" t="str">
        <f aca="false">IF(OR($A78="",AN$4=""),"",IF(NOT(OR(AN$6="Toda la plantilla",ISNUMBER(SEARCH(";"&amp;SUBSTITUTE($C78," ","")&amp;";",";"&amp;SUBSTITUTE(AN$7," ","")&amp;";")))),"—",IF(_xlfn.MAXIFS(Acuses!$C$5:$C$3004,Acuses!$A$5:$A$3004,$A78,Acuses!$B$5:$B$3004,AN$4)&lt;AN$5,"Pendiente",IF(AN$8=0,"OK",IF(EDATE(_xlfn.MAXIFS(Acuses!$D$5:$D$3004,Acuses!$A$5:$A$3004,$A78,Acuses!$B$5:$B$3004,AN$4,Acuses!$C$5:$C$3004,AN$5),AN$8)&lt;Resumen!$C$4,"Caducado",IF(EDATE(_xlfn.MAXIFS(Acuses!$D$5:$D$3004,Acuses!$A$5:$A$3004,$A78,Acuses!$B$5:$B$3004,AN$4,Acuses!$C$5:$C$3004,AN$5),AN$8)&lt;Resumen!$C$4+30,"Caduca pronto","OK"))))))</f>
        <v/>
      </c>
      <c r="AO78" s="26" t="str">
        <f aca="false">IF(OR($A78="",AO$4=""),"",IF(NOT(OR(AO$6="Toda la plantilla",ISNUMBER(SEARCH(";"&amp;SUBSTITUTE($C78," ","")&amp;";",";"&amp;SUBSTITUTE(AO$7," ","")&amp;";")))),"—",IF(_xlfn.MAXIFS(Acuses!$C$5:$C$3004,Acuses!$A$5:$A$3004,$A78,Acuses!$B$5:$B$3004,AO$4)&lt;AO$5,"Pendiente",IF(AO$8=0,"OK",IF(EDATE(_xlfn.MAXIFS(Acuses!$D$5:$D$3004,Acuses!$A$5:$A$3004,$A78,Acuses!$B$5:$B$3004,AO$4,Acuses!$C$5:$C$3004,AO$5),AO$8)&lt;Resumen!$C$4,"Caducado",IF(EDATE(_xlfn.MAXIFS(Acuses!$D$5:$D$3004,Acuses!$A$5:$A$3004,$A78,Acuses!$B$5:$B$3004,AO$4,Acuses!$C$5:$C$3004,AO$5),AO$8)&lt;Resumen!$C$4+30,"Caduca pronto","OK"))))))</f>
        <v/>
      </c>
      <c r="AP78" s="26" t="str">
        <f aca="false">IF(OR($A78="",AP$4=""),"",IF(NOT(OR(AP$6="Toda la plantilla",ISNUMBER(SEARCH(";"&amp;SUBSTITUTE($C78," ","")&amp;";",";"&amp;SUBSTITUTE(AP$7," ","")&amp;";")))),"—",IF(_xlfn.MAXIFS(Acuses!$C$5:$C$3004,Acuses!$A$5:$A$3004,$A78,Acuses!$B$5:$B$3004,AP$4)&lt;AP$5,"Pendiente",IF(AP$8=0,"OK",IF(EDATE(_xlfn.MAXIFS(Acuses!$D$5:$D$3004,Acuses!$A$5:$A$3004,$A78,Acuses!$B$5:$B$3004,AP$4,Acuses!$C$5:$C$3004,AP$5),AP$8)&lt;Resumen!$C$4,"Caducado",IF(EDATE(_xlfn.MAXIFS(Acuses!$D$5:$D$3004,Acuses!$A$5:$A$3004,$A78,Acuses!$B$5:$B$3004,AP$4,Acuses!$C$5:$C$3004,AP$5),AP$8)&lt;Resumen!$C$4+30,"Caduca pronto","OK"))))))</f>
        <v/>
      </c>
      <c r="AQ78" s="26" t="str">
        <f aca="false">IF(OR($A78="",AQ$4=""),"",IF(NOT(OR(AQ$6="Toda la plantilla",ISNUMBER(SEARCH(";"&amp;SUBSTITUTE($C78," ","")&amp;";",";"&amp;SUBSTITUTE(AQ$7," ","")&amp;";")))),"—",IF(_xlfn.MAXIFS(Acuses!$C$5:$C$3004,Acuses!$A$5:$A$3004,$A78,Acuses!$B$5:$B$3004,AQ$4)&lt;AQ$5,"Pendiente",IF(AQ$8=0,"OK",IF(EDATE(_xlfn.MAXIFS(Acuses!$D$5:$D$3004,Acuses!$A$5:$A$3004,$A78,Acuses!$B$5:$B$3004,AQ$4,Acuses!$C$5:$C$3004,AQ$5),AQ$8)&lt;Resumen!$C$4,"Caducado",IF(EDATE(_xlfn.MAXIFS(Acuses!$D$5:$D$3004,Acuses!$A$5:$A$3004,$A78,Acuses!$B$5:$B$3004,AQ$4,Acuses!$C$5:$C$3004,AQ$5),AQ$8)&lt;Resumen!$C$4+30,"Caduca pronto","OK"))))))</f>
        <v/>
      </c>
    </row>
    <row r="79" customFormat="false" ht="15" hidden="false" customHeight="false" outlineLevel="0" collapsed="false">
      <c r="A79" s="25" t="str">
        <f aca="false">IF(AND(Trabajadores!$A$74&lt;&gt;"",Trabajadores!$G$74&lt;&gt;"No"),Trabajadores!$A$74,"")</f>
        <v/>
      </c>
      <c r="B79" s="25" t="str">
        <f aca="false">IF($A79="","",Trabajadores!$B$74)</f>
        <v/>
      </c>
      <c r="C79" s="25" t="str">
        <f aca="false">IF($A79="","",Trabajadores!$C$74)</f>
        <v/>
      </c>
      <c r="D79" s="26" t="str">
        <f aca="false">IF(OR($A79="",D$4=""),"",IF(NOT(OR(D$6="Toda la plantilla",ISNUMBER(SEARCH(";"&amp;SUBSTITUTE($C79," ","")&amp;";",";"&amp;SUBSTITUTE(D$7," ","")&amp;";")))),"—",IF(_xlfn.MAXIFS(Acuses!$C$5:$C$3004,Acuses!$A$5:$A$3004,$A79,Acuses!$B$5:$B$3004,D$4)&lt;D$5,"Pendiente",IF(D$8=0,"OK",IF(EDATE(_xlfn.MAXIFS(Acuses!$D$5:$D$3004,Acuses!$A$5:$A$3004,$A79,Acuses!$B$5:$B$3004,D$4,Acuses!$C$5:$C$3004,D$5),D$8)&lt;Resumen!$C$4,"Caducado",IF(EDATE(_xlfn.MAXIFS(Acuses!$D$5:$D$3004,Acuses!$A$5:$A$3004,$A79,Acuses!$B$5:$B$3004,D$4,Acuses!$C$5:$C$3004,D$5),D$8)&lt;Resumen!$C$4+30,"Caduca pronto","OK"))))))</f>
        <v/>
      </c>
      <c r="E79" s="26" t="str">
        <f aca="false">IF(OR($A79="",E$4=""),"",IF(NOT(OR(E$6="Toda la plantilla",ISNUMBER(SEARCH(";"&amp;SUBSTITUTE($C79," ","")&amp;";",";"&amp;SUBSTITUTE(E$7," ","")&amp;";")))),"—",IF(_xlfn.MAXIFS(Acuses!$C$5:$C$3004,Acuses!$A$5:$A$3004,$A79,Acuses!$B$5:$B$3004,E$4)&lt;E$5,"Pendiente",IF(E$8=0,"OK",IF(EDATE(_xlfn.MAXIFS(Acuses!$D$5:$D$3004,Acuses!$A$5:$A$3004,$A79,Acuses!$B$5:$B$3004,E$4,Acuses!$C$5:$C$3004,E$5),E$8)&lt;Resumen!$C$4,"Caducado",IF(EDATE(_xlfn.MAXIFS(Acuses!$D$5:$D$3004,Acuses!$A$5:$A$3004,$A79,Acuses!$B$5:$B$3004,E$4,Acuses!$C$5:$C$3004,E$5),E$8)&lt;Resumen!$C$4+30,"Caduca pronto","OK"))))))</f>
        <v/>
      </c>
      <c r="F79" s="26" t="str">
        <f aca="false">IF(OR($A79="",F$4=""),"",IF(NOT(OR(F$6="Toda la plantilla",ISNUMBER(SEARCH(";"&amp;SUBSTITUTE($C79," ","")&amp;";",";"&amp;SUBSTITUTE(F$7," ","")&amp;";")))),"—",IF(_xlfn.MAXIFS(Acuses!$C$5:$C$3004,Acuses!$A$5:$A$3004,$A79,Acuses!$B$5:$B$3004,F$4)&lt;F$5,"Pendiente",IF(F$8=0,"OK",IF(EDATE(_xlfn.MAXIFS(Acuses!$D$5:$D$3004,Acuses!$A$5:$A$3004,$A79,Acuses!$B$5:$B$3004,F$4,Acuses!$C$5:$C$3004,F$5),F$8)&lt;Resumen!$C$4,"Caducado",IF(EDATE(_xlfn.MAXIFS(Acuses!$D$5:$D$3004,Acuses!$A$5:$A$3004,$A79,Acuses!$B$5:$B$3004,F$4,Acuses!$C$5:$C$3004,F$5),F$8)&lt;Resumen!$C$4+30,"Caduca pronto","OK"))))))</f>
        <v/>
      </c>
      <c r="G79" s="26" t="str">
        <f aca="false">IF(OR($A79="",G$4=""),"",IF(NOT(OR(G$6="Toda la plantilla",ISNUMBER(SEARCH(";"&amp;SUBSTITUTE($C79," ","")&amp;";",";"&amp;SUBSTITUTE(G$7," ","")&amp;";")))),"—",IF(_xlfn.MAXIFS(Acuses!$C$5:$C$3004,Acuses!$A$5:$A$3004,$A79,Acuses!$B$5:$B$3004,G$4)&lt;G$5,"Pendiente",IF(G$8=0,"OK",IF(EDATE(_xlfn.MAXIFS(Acuses!$D$5:$D$3004,Acuses!$A$5:$A$3004,$A79,Acuses!$B$5:$B$3004,G$4,Acuses!$C$5:$C$3004,G$5),G$8)&lt;Resumen!$C$4,"Caducado",IF(EDATE(_xlfn.MAXIFS(Acuses!$D$5:$D$3004,Acuses!$A$5:$A$3004,$A79,Acuses!$B$5:$B$3004,G$4,Acuses!$C$5:$C$3004,G$5),G$8)&lt;Resumen!$C$4+30,"Caduca pronto","OK"))))))</f>
        <v/>
      </c>
      <c r="H79" s="26" t="str">
        <f aca="false">IF(OR($A79="",H$4=""),"",IF(NOT(OR(H$6="Toda la plantilla",ISNUMBER(SEARCH(";"&amp;SUBSTITUTE($C79," ","")&amp;";",";"&amp;SUBSTITUTE(H$7," ","")&amp;";")))),"—",IF(_xlfn.MAXIFS(Acuses!$C$5:$C$3004,Acuses!$A$5:$A$3004,$A79,Acuses!$B$5:$B$3004,H$4)&lt;H$5,"Pendiente",IF(H$8=0,"OK",IF(EDATE(_xlfn.MAXIFS(Acuses!$D$5:$D$3004,Acuses!$A$5:$A$3004,$A79,Acuses!$B$5:$B$3004,H$4,Acuses!$C$5:$C$3004,H$5),H$8)&lt;Resumen!$C$4,"Caducado",IF(EDATE(_xlfn.MAXIFS(Acuses!$D$5:$D$3004,Acuses!$A$5:$A$3004,$A79,Acuses!$B$5:$B$3004,H$4,Acuses!$C$5:$C$3004,H$5),H$8)&lt;Resumen!$C$4+30,"Caduca pronto","OK"))))))</f>
        <v/>
      </c>
      <c r="I79" s="26" t="str">
        <f aca="false">IF(OR($A79="",I$4=""),"",IF(NOT(OR(I$6="Toda la plantilla",ISNUMBER(SEARCH(";"&amp;SUBSTITUTE($C79," ","")&amp;";",";"&amp;SUBSTITUTE(I$7," ","")&amp;";")))),"—",IF(_xlfn.MAXIFS(Acuses!$C$5:$C$3004,Acuses!$A$5:$A$3004,$A79,Acuses!$B$5:$B$3004,I$4)&lt;I$5,"Pendiente",IF(I$8=0,"OK",IF(EDATE(_xlfn.MAXIFS(Acuses!$D$5:$D$3004,Acuses!$A$5:$A$3004,$A79,Acuses!$B$5:$B$3004,I$4,Acuses!$C$5:$C$3004,I$5),I$8)&lt;Resumen!$C$4,"Caducado",IF(EDATE(_xlfn.MAXIFS(Acuses!$D$5:$D$3004,Acuses!$A$5:$A$3004,$A79,Acuses!$B$5:$B$3004,I$4,Acuses!$C$5:$C$3004,I$5),I$8)&lt;Resumen!$C$4+30,"Caduca pronto","OK"))))))</f>
        <v/>
      </c>
      <c r="J79" s="26" t="str">
        <f aca="false">IF(OR($A79="",J$4=""),"",IF(NOT(OR(J$6="Toda la plantilla",ISNUMBER(SEARCH(";"&amp;SUBSTITUTE($C79," ","")&amp;";",";"&amp;SUBSTITUTE(J$7," ","")&amp;";")))),"—",IF(_xlfn.MAXIFS(Acuses!$C$5:$C$3004,Acuses!$A$5:$A$3004,$A79,Acuses!$B$5:$B$3004,J$4)&lt;J$5,"Pendiente",IF(J$8=0,"OK",IF(EDATE(_xlfn.MAXIFS(Acuses!$D$5:$D$3004,Acuses!$A$5:$A$3004,$A79,Acuses!$B$5:$B$3004,J$4,Acuses!$C$5:$C$3004,J$5),J$8)&lt;Resumen!$C$4,"Caducado",IF(EDATE(_xlfn.MAXIFS(Acuses!$D$5:$D$3004,Acuses!$A$5:$A$3004,$A79,Acuses!$B$5:$B$3004,J$4,Acuses!$C$5:$C$3004,J$5),J$8)&lt;Resumen!$C$4+30,"Caduca pronto","OK"))))))</f>
        <v/>
      </c>
      <c r="K79" s="26" t="str">
        <f aca="false">IF(OR($A79="",K$4=""),"",IF(NOT(OR(K$6="Toda la plantilla",ISNUMBER(SEARCH(";"&amp;SUBSTITUTE($C79," ","")&amp;";",";"&amp;SUBSTITUTE(K$7," ","")&amp;";")))),"—",IF(_xlfn.MAXIFS(Acuses!$C$5:$C$3004,Acuses!$A$5:$A$3004,$A79,Acuses!$B$5:$B$3004,K$4)&lt;K$5,"Pendiente",IF(K$8=0,"OK",IF(EDATE(_xlfn.MAXIFS(Acuses!$D$5:$D$3004,Acuses!$A$5:$A$3004,$A79,Acuses!$B$5:$B$3004,K$4,Acuses!$C$5:$C$3004,K$5),K$8)&lt;Resumen!$C$4,"Caducado",IF(EDATE(_xlfn.MAXIFS(Acuses!$D$5:$D$3004,Acuses!$A$5:$A$3004,$A79,Acuses!$B$5:$B$3004,K$4,Acuses!$C$5:$C$3004,K$5),K$8)&lt;Resumen!$C$4+30,"Caduca pronto","OK"))))))</f>
        <v/>
      </c>
      <c r="L79" s="26" t="str">
        <f aca="false">IF(OR($A79="",L$4=""),"",IF(NOT(OR(L$6="Toda la plantilla",ISNUMBER(SEARCH(";"&amp;SUBSTITUTE($C79," ","")&amp;";",";"&amp;SUBSTITUTE(L$7," ","")&amp;";")))),"—",IF(_xlfn.MAXIFS(Acuses!$C$5:$C$3004,Acuses!$A$5:$A$3004,$A79,Acuses!$B$5:$B$3004,L$4)&lt;L$5,"Pendiente",IF(L$8=0,"OK",IF(EDATE(_xlfn.MAXIFS(Acuses!$D$5:$D$3004,Acuses!$A$5:$A$3004,$A79,Acuses!$B$5:$B$3004,L$4,Acuses!$C$5:$C$3004,L$5),L$8)&lt;Resumen!$C$4,"Caducado",IF(EDATE(_xlfn.MAXIFS(Acuses!$D$5:$D$3004,Acuses!$A$5:$A$3004,$A79,Acuses!$B$5:$B$3004,L$4,Acuses!$C$5:$C$3004,L$5),L$8)&lt;Resumen!$C$4+30,"Caduca pronto","OK"))))))</f>
        <v/>
      </c>
      <c r="M79" s="26" t="str">
        <f aca="false">IF(OR($A79="",M$4=""),"",IF(NOT(OR(M$6="Toda la plantilla",ISNUMBER(SEARCH(";"&amp;SUBSTITUTE($C79," ","")&amp;";",";"&amp;SUBSTITUTE(M$7," ","")&amp;";")))),"—",IF(_xlfn.MAXIFS(Acuses!$C$5:$C$3004,Acuses!$A$5:$A$3004,$A79,Acuses!$B$5:$B$3004,M$4)&lt;M$5,"Pendiente",IF(M$8=0,"OK",IF(EDATE(_xlfn.MAXIFS(Acuses!$D$5:$D$3004,Acuses!$A$5:$A$3004,$A79,Acuses!$B$5:$B$3004,M$4,Acuses!$C$5:$C$3004,M$5),M$8)&lt;Resumen!$C$4,"Caducado",IF(EDATE(_xlfn.MAXIFS(Acuses!$D$5:$D$3004,Acuses!$A$5:$A$3004,$A79,Acuses!$B$5:$B$3004,M$4,Acuses!$C$5:$C$3004,M$5),M$8)&lt;Resumen!$C$4+30,"Caduca pronto","OK"))))))</f>
        <v/>
      </c>
      <c r="N79" s="26" t="str">
        <f aca="false">IF(OR($A79="",N$4=""),"",IF(NOT(OR(N$6="Toda la plantilla",ISNUMBER(SEARCH(";"&amp;SUBSTITUTE($C79," ","")&amp;";",";"&amp;SUBSTITUTE(N$7," ","")&amp;";")))),"—",IF(_xlfn.MAXIFS(Acuses!$C$5:$C$3004,Acuses!$A$5:$A$3004,$A79,Acuses!$B$5:$B$3004,N$4)&lt;N$5,"Pendiente",IF(N$8=0,"OK",IF(EDATE(_xlfn.MAXIFS(Acuses!$D$5:$D$3004,Acuses!$A$5:$A$3004,$A79,Acuses!$B$5:$B$3004,N$4,Acuses!$C$5:$C$3004,N$5),N$8)&lt;Resumen!$C$4,"Caducado",IF(EDATE(_xlfn.MAXIFS(Acuses!$D$5:$D$3004,Acuses!$A$5:$A$3004,$A79,Acuses!$B$5:$B$3004,N$4,Acuses!$C$5:$C$3004,N$5),N$8)&lt;Resumen!$C$4+30,"Caduca pronto","OK"))))))</f>
        <v/>
      </c>
      <c r="O79" s="26" t="str">
        <f aca="false">IF(OR($A79="",O$4=""),"",IF(NOT(OR(O$6="Toda la plantilla",ISNUMBER(SEARCH(";"&amp;SUBSTITUTE($C79," ","")&amp;";",";"&amp;SUBSTITUTE(O$7," ","")&amp;";")))),"—",IF(_xlfn.MAXIFS(Acuses!$C$5:$C$3004,Acuses!$A$5:$A$3004,$A79,Acuses!$B$5:$B$3004,O$4)&lt;O$5,"Pendiente",IF(O$8=0,"OK",IF(EDATE(_xlfn.MAXIFS(Acuses!$D$5:$D$3004,Acuses!$A$5:$A$3004,$A79,Acuses!$B$5:$B$3004,O$4,Acuses!$C$5:$C$3004,O$5),O$8)&lt;Resumen!$C$4,"Caducado",IF(EDATE(_xlfn.MAXIFS(Acuses!$D$5:$D$3004,Acuses!$A$5:$A$3004,$A79,Acuses!$B$5:$B$3004,O$4,Acuses!$C$5:$C$3004,O$5),O$8)&lt;Resumen!$C$4+30,"Caduca pronto","OK"))))))</f>
        <v/>
      </c>
      <c r="P79" s="26" t="str">
        <f aca="false">IF(OR($A79="",P$4=""),"",IF(NOT(OR(P$6="Toda la plantilla",ISNUMBER(SEARCH(";"&amp;SUBSTITUTE($C79," ","")&amp;";",";"&amp;SUBSTITUTE(P$7," ","")&amp;";")))),"—",IF(_xlfn.MAXIFS(Acuses!$C$5:$C$3004,Acuses!$A$5:$A$3004,$A79,Acuses!$B$5:$B$3004,P$4)&lt;P$5,"Pendiente",IF(P$8=0,"OK",IF(EDATE(_xlfn.MAXIFS(Acuses!$D$5:$D$3004,Acuses!$A$5:$A$3004,$A79,Acuses!$B$5:$B$3004,P$4,Acuses!$C$5:$C$3004,P$5),P$8)&lt;Resumen!$C$4,"Caducado",IF(EDATE(_xlfn.MAXIFS(Acuses!$D$5:$D$3004,Acuses!$A$5:$A$3004,$A79,Acuses!$B$5:$B$3004,P$4,Acuses!$C$5:$C$3004,P$5),P$8)&lt;Resumen!$C$4+30,"Caduca pronto","OK"))))))</f>
        <v/>
      </c>
      <c r="Q79" s="26" t="str">
        <f aca="false">IF(OR($A79="",Q$4=""),"",IF(NOT(OR(Q$6="Toda la plantilla",ISNUMBER(SEARCH(";"&amp;SUBSTITUTE($C79," ","")&amp;";",";"&amp;SUBSTITUTE(Q$7," ","")&amp;";")))),"—",IF(_xlfn.MAXIFS(Acuses!$C$5:$C$3004,Acuses!$A$5:$A$3004,$A79,Acuses!$B$5:$B$3004,Q$4)&lt;Q$5,"Pendiente",IF(Q$8=0,"OK",IF(EDATE(_xlfn.MAXIFS(Acuses!$D$5:$D$3004,Acuses!$A$5:$A$3004,$A79,Acuses!$B$5:$B$3004,Q$4,Acuses!$C$5:$C$3004,Q$5),Q$8)&lt;Resumen!$C$4,"Caducado",IF(EDATE(_xlfn.MAXIFS(Acuses!$D$5:$D$3004,Acuses!$A$5:$A$3004,$A79,Acuses!$B$5:$B$3004,Q$4,Acuses!$C$5:$C$3004,Q$5),Q$8)&lt;Resumen!$C$4+30,"Caduca pronto","OK"))))))</f>
        <v/>
      </c>
      <c r="R79" s="26" t="str">
        <f aca="false">IF(OR($A79="",R$4=""),"",IF(NOT(OR(R$6="Toda la plantilla",ISNUMBER(SEARCH(";"&amp;SUBSTITUTE($C79," ","")&amp;";",";"&amp;SUBSTITUTE(R$7," ","")&amp;";")))),"—",IF(_xlfn.MAXIFS(Acuses!$C$5:$C$3004,Acuses!$A$5:$A$3004,$A79,Acuses!$B$5:$B$3004,R$4)&lt;R$5,"Pendiente",IF(R$8=0,"OK",IF(EDATE(_xlfn.MAXIFS(Acuses!$D$5:$D$3004,Acuses!$A$5:$A$3004,$A79,Acuses!$B$5:$B$3004,R$4,Acuses!$C$5:$C$3004,R$5),R$8)&lt;Resumen!$C$4,"Caducado",IF(EDATE(_xlfn.MAXIFS(Acuses!$D$5:$D$3004,Acuses!$A$5:$A$3004,$A79,Acuses!$B$5:$B$3004,R$4,Acuses!$C$5:$C$3004,R$5),R$8)&lt;Resumen!$C$4+30,"Caduca pronto","OK"))))))</f>
        <v/>
      </c>
      <c r="S79" s="26" t="str">
        <f aca="false">IF(OR($A79="",S$4=""),"",IF(NOT(OR(S$6="Toda la plantilla",ISNUMBER(SEARCH(";"&amp;SUBSTITUTE($C79," ","")&amp;";",";"&amp;SUBSTITUTE(S$7," ","")&amp;";")))),"—",IF(_xlfn.MAXIFS(Acuses!$C$5:$C$3004,Acuses!$A$5:$A$3004,$A79,Acuses!$B$5:$B$3004,S$4)&lt;S$5,"Pendiente",IF(S$8=0,"OK",IF(EDATE(_xlfn.MAXIFS(Acuses!$D$5:$D$3004,Acuses!$A$5:$A$3004,$A79,Acuses!$B$5:$B$3004,S$4,Acuses!$C$5:$C$3004,S$5),S$8)&lt;Resumen!$C$4,"Caducado",IF(EDATE(_xlfn.MAXIFS(Acuses!$D$5:$D$3004,Acuses!$A$5:$A$3004,$A79,Acuses!$B$5:$B$3004,S$4,Acuses!$C$5:$C$3004,S$5),S$8)&lt;Resumen!$C$4+30,"Caduca pronto","OK"))))))</f>
        <v/>
      </c>
      <c r="T79" s="26" t="str">
        <f aca="false">IF(OR($A79="",T$4=""),"",IF(NOT(OR(T$6="Toda la plantilla",ISNUMBER(SEARCH(";"&amp;SUBSTITUTE($C79," ","")&amp;";",";"&amp;SUBSTITUTE(T$7," ","")&amp;";")))),"—",IF(_xlfn.MAXIFS(Acuses!$C$5:$C$3004,Acuses!$A$5:$A$3004,$A79,Acuses!$B$5:$B$3004,T$4)&lt;T$5,"Pendiente",IF(T$8=0,"OK",IF(EDATE(_xlfn.MAXIFS(Acuses!$D$5:$D$3004,Acuses!$A$5:$A$3004,$A79,Acuses!$B$5:$B$3004,T$4,Acuses!$C$5:$C$3004,T$5),T$8)&lt;Resumen!$C$4,"Caducado",IF(EDATE(_xlfn.MAXIFS(Acuses!$D$5:$D$3004,Acuses!$A$5:$A$3004,$A79,Acuses!$B$5:$B$3004,T$4,Acuses!$C$5:$C$3004,T$5),T$8)&lt;Resumen!$C$4+30,"Caduca pronto","OK"))))))</f>
        <v/>
      </c>
      <c r="U79" s="26" t="str">
        <f aca="false">IF(OR($A79="",U$4=""),"",IF(NOT(OR(U$6="Toda la plantilla",ISNUMBER(SEARCH(";"&amp;SUBSTITUTE($C79," ","")&amp;";",";"&amp;SUBSTITUTE(U$7," ","")&amp;";")))),"—",IF(_xlfn.MAXIFS(Acuses!$C$5:$C$3004,Acuses!$A$5:$A$3004,$A79,Acuses!$B$5:$B$3004,U$4)&lt;U$5,"Pendiente",IF(U$8=0,"OK",IF(EDATE(_xlfn.MAXIFS(Acuses!$D$5:$D$3004,Acuses!$A$5:$A$3004,$A79,Acuses!$B$5:$B$3004,U$4,Acuses!$C$5:$C$3004,U$5),U$8)&lt;Resumen!$C$4,"Caducado",IF(EDATE(_xlfn.MAXIFS(Acuses!$D$5:$D$3004,Acuses!$A$5:$A$3004,$A79,Acuses!$B$5:$B$3004,U$4,Acuses!$C$5:$C$3004,U$5),U$8)&lt;Resumen!$C$4+30,"Caduca pronto","OK"))))))</f>
        <v/>
      </c>
      <c r="V79" s="26" t="str">
        <f aca="false">IF(OR($A79="",V$4=""),"",IF(NOT(OR(V$6="Toda la plantilla",ISNUMBER(SEARCH(";"&amp;SUBSTITUTE($C79," ","")&amp;";",";"&amp;SUBSTITUTE(V$7," ","")&amp;";")))),"—",IF(_xlfn.MAXIFS(Acuses!$C$5:$C$3004,Acuses!$A$5:$A$3004,$A79,Acuses!$B$5:$B$3004,V$4)&lt;V$5,"Pendiente",IF(V$8=0,"OK",IF(EDATE(_xlfn.MAXIFS(Acuses!$D$5:$D$3004,Acuses!$A$5:$A$3004,$A79,Acuses!$B$5:$B$3004,V$4,Acuses!$C$5:$C$3004,V$5),V$8)&lt;Resumen!$C$4,"Caducado",IF(EDATE(_xlfn.MAXIFS(Acuses!$D$5:$D$3004,Acuses!$A$5:$A$3004,$A79,Acuses!$B$5:$B$3004,V$4,Acuses!$C$5:$C$3004,V$5),V$8)&lt;Resumen!$C$4+30,"Caduca pronto","OK"))))))</f>
        <v/>
      </c>
      <c r="W79" s="26" t="str">
        <f aca="false">IF(OR($A79="",W$4=""),"",IF(NOT(OR(W$6="Toda la plantilla",ISNUMBER(SEARCH(";"&amp;SUBSTITUTE($C79," ","")&amp;";",";"&amp;SUBSTITUTE(W$7," ","")&amp;";")))),"—",IF(_xlfn.MAXIFS(Acuses!$C$5:$C$3004,Acuses!$A$5:$A$3004,$A79,Acuses!$B$5:$B$3004,W$4)&lt;W$5,"Pendiente",IF(W$8=0,"OK",IF(EDATE(_xlfn.MAXIFS(Acuses!$D$5:$D$3004,Acuses!$A$5:$A$3004,$A79,Acuses!$B$5:$B$3004,W$4,Acuses!$C$5:$C$3004,W$5),W$8)&lt;Resumen!$C$4,"Caducado",IF(EDATE(_xlfn.MAXIFS(Acuses!$D$5:$D$3004,Acuses!$A$5:$A$3004,$A79,Acuses!$B$5:$B$3004,W$4,Acuses!$C$5:$C$3004,W$5),W$8)&lt;Resumen!$C$4+30,"Caduca pronto","OK"))))))</f>
        <v/>
      </c>
      <c r="X79" s="26" t="str">
        <f aca="false">IF(OR($A79="",X$4=""),"",IF(NOT(OR(X$6="Toda la plantilla",ISNUMBER(SEARCH(";"&amp;SUBSTITUTE($C79," ","")&amp;";",";"&amp;SUBSTITUTE(X$7," ","")&amp;";")))),"—",IF(_xlfn.MAXIFS(Acuses!$C$5:$C$3004,Acuses!$A$5:$A$3004,$A79,Acuses!$B$5:$B$3004,X$4)&lt;X$5,"Pendiente",IF(X$8=0,"OK",IF(EDATE(_xlfn.MAXIFS(Acuses!$D$5:$D$3004,Acuses!$A$5:$A$3004,$A79,Acuses!$B$5:$B$3004,X$4,Acuses!$C$5:$C$3004,X$5),X$8)&lt;Resumen!$C$4,"Caducado",IF(EDATE(_xlfn.MAXIFS(Acuses!$D$5:$D$3004,Acuses!$A$5:$A$3004,$A79,Acuses!$B$5:$B$3004,X$4,Acuses!$C$5:$C$3004,X$5),X$8)&lt;Resumen!$C$4+30,"Caduca pronto","OK"))))))</f>
        <v/>
      </c>
      <c r="Y79" s="26" t="str">
        <f aca="false">IF(OR($A79="",Y$4=""),"",IF(NOT(OR(Y$6="Toda la plantilla",ISNUMBER(SEARCH(";"&amp;SUBSTITUTE($C79," ","")&amp;";",";"&amp;SUBSTITUTE(Y$7," ","")&amp;";")))),"—",IF(_xlfn.MAXIFS(Acuses!$C$5:$C$3004,Acuses!$A$5:$A$3004,$A79,Acuses!$B$5:$B$3004,Y$4)&lt;Y$5,"Pendiente",IF(Y$8=0,"OK",IF(EDATE(_xlfn.MAXIFS(Acuses!$D$5:$D$3004,Acuses!$A$5:$A$3004,$A79,Acuses!$B$5:$B$3004,Y$4,Acuses!$C$5:$C$3004,Y$5),Y$8)&lt;Resumen!$C$4,"Caducado",IF(EDATE(_xlfn.MAXIFS(Acuses!$D$5:$D$3004,Acuses!$A$5:$A$3004,$A79,Acuses!$B$5:$B$3004,Y$4,Acuses!$C$5:$C$3004,Y$5),Y$8)&lt;Resumen!$C$4+30,"Caduca pronto","OK"))))))</f>
        <v/>
      </c>
      <c r="Z79" s="26" t="str">
        <f aca="false">IF(OR($A79="",Z$4=""),"",IF(NOT(OR(Z$6="Toda la plantilla",ISNUMBER(SEARCH(";"&amp;SUBSTITUTE($C79," ","")&amp;";",";"&amp;SUBSTITUTE(Z$7," ","")&amp;";")))),"—",IF(_xlfn.MAXIFS(Acuses!$C$5:$C$3004,Acuses!$A$5:$A$3004,$A79,Acuses!$B$5:$B$3004,Z$4)&lt;Z$5,"Pendiente",IF(Z$8=0,"OK",IF(EDATE(_xlfn.MAXIFS(Acuses!$D$5:$D$3004,Acuses!$A$5:$A$3004,$A79,Acuses!$B$5:$B$3004,Z$4,Acuses!$C$5:$C$3004,Z$5),Z$8)&lt;Resumen!$C$4,"Caducado",IF(EDATE(_xlfn.MAXIFS(Acuses!$D$5:$D$3004,Acuses!$A$5:$A$3004,$A79,Acuses!$B$5:$B$3004,Z$4,Acuses!$C$5:$C$3004,Z$5),Z$8)&lt;Resumen!$C$4+30,"Caduca pronto","OK"))))))</f>
        <v/>
      </c>
      <c r="AA79" s="26" t="str">
        <f aca="false">IF(OR($A79="",AA$4=""),"",IF(NOT(OR(AA$6="Toda la plantilla",ISNUMBER(SEARCH(";"&amp;SUBSTITUTE($C79," ","")&amp;";",";"&amp;SUBSTITUTE(AA$7," ","")&amp;";")))),"—",IF(_xlfn.MAXIFS(Acuses!$C$5:$C$3004,Acuses!$A$5:$A$3004,$A79,Acuses!$B$5:$B$3004,AA$4)&lt;AA$5,"Pendiente",IF(AA$8=0,"OK",IF(EDATE(_xlfn.MAXIFS(Acuses!$D$5:$D$3004,Acuses!$A$5:$A$3004,$A79,Acuses!$B$5:$B$3004,AA$4,Acuses!$C$5:$C$3004,AA$5),AA$8)&lt;Resumen!$C$4,"Caducado",IF(EDATE(_xlfn.MAXIFS(Acuses!$D$5:$D$3004,Acuses!$A$5:$A$3004,$A79,Acuses!$B$5:$B$3004,AA$4,Acuses!$C$5:$C$3004,AA$5),AA$8)&lt;Resumen!$C$4+30,"Caduca pronto","OK"))))))</f>
        <v/>
      </c>
      <c r="AB79" s="26" t="str">
        <f aca="false">IF(OR($A79="",AB$4=""),"",IF(NOT(OR(AB$6="Toda la plantilla",ISNUMBER(SEARCH(";"&amp;SUBSTITUTE($C79," ","")&amp;";",";"&amp;SUBSTITUTE(AB$7," ","")&amp;";")))),"—",IF(_xlfn.MAXIFS(Acuses!$C$5:$C$3004,Acuses!$A$5:$A$3004,$A79,Acuses!$B$5:$B$3004,AB$4)&lt;AB$5,"Pendiente",IF(AB$8=0,"OK",IF(EDATE(_xlfn.MAXIFS(Acuses!$D$5:$D$3004,Acuses!$A$5:$A$3004,$A79,Acuses!$B$5:$B$3004,AB$4,Acuses!$C$5:$C$3004,AB$5),AB$8)&lt;Resumen!$C$4,"Caducado",IF(EDATE(_xlfn.MAXIFS(Acuses!$D$5:$D$3004,Acuses!$A$5:$A$3004,$A79,Acuses!$B$5:$B$3004,AB$4,Acuses!$C$5:$C$3004,AB$5),AB$8)&lt;Resumen!$C$4+30,"Caduca pronto","OK"))))))</f>
        <v/>
      </c>
      <c r="AC79" s="26" t="str">
        <f aca="false">IF(OR($A79="",AC$4=""),"",IF(NOT(OR(AC$6="Toda la plantilla",ISNUMBER(SEARCH(";"&amp;SUBSTITUTE($C79," ","")&amp;";",";"&amp;SUBSTITUTE(AC$7," ","")&amp;";")))),"—",IF(_xlfn.MAXIFS(Acuses!$C$5:$C$3004,Acuses!$A$5:$A$3004,$A79,Acuses!$B$5:$B$3004,AC$4)&lt;AC$5,"Pendiente",IF(AC$8=0,"OK",IF(EDATE(_xlfn.MAXIFS(Acuses!$D$5:$D$3004,Acuses!$A$5:$A$3004,$A79,Acuses!$B$5:$B$3004,AC$4,Acuses!$C$5:$C$3004,AC$5),AC$8)&lt;Resumen!$C$4,"Caducado",IF(EDATE(_xlfn.MAXIFS(Acuses!$D$5:$D$3004,Acuses!$A$5:$A$3004,$A79,Acuses!$B$5:$B$3004,AC$4,Acuses!$C$5:$C$3004,AC$5),AC$8)&lt;Resumen!$C$4+30,"Caduca pronto","OK"))))))</f>
        <v/>
      </c>
      <c r="AD79" s="26" t="str">
        <f aca="false">IF(OR($A79="",AD$4=""),"",IF(NOT(OR(AD$6="Toda la plantilla",ISNUMBER(SEARCH(";"&amp;SUBSTITUTE($C79," ","")&amp;";",";"&amp;SUBSTITUTE(AD$7," ","")&amp;";")))),"—",IF(_xlfn.MAXIFS(Acuses!$C$5:$C$3004,Acuses!$A$5:$A$3004,$A79,Acuses!$B$5:$B$3004,AD$4)&lt;AD$5,"Pendiente",IF(AD$8=0,"OK",IF(EDATE(_xlfn.MAXIFS(Acuses!$D$5:$D$3004,Acuses!$A$5:$A$3004,$A79,Acuses!$B$5:$B$3004,AD$4,Acuses!$C$5:$C$3004,AD$5),AD$8)&lt;Resumen!$C$4,"Caducado",IF(EDATE(_xlfn.MAXIFS(Acuses!$D$5:$D$3004,Acuses!$A$5:$A$3004,$A79,Acuses!$B$5:$B$3004,AD$4,Acuses!$C$5:$C$3004,AD$5),AD$8)&lt;Resumen!$C$4+30,"Caduca pronto","OK"))))))</f>
        <v/>
      </c>
      <c r="AE79" s="26" t="str">
        <f aca="false">IF(OR($A79="",AE$4=""),"",IF(NOT(OR(AE$6="Toda la plantilla",ISNUMBER(SEARCH(";"&amp;SUBSTITUTE($C79," ","")&amp;";",";"&amp;SUBSTITUTE(AE$7," ","")&amp;";")))),"—",IF(_xlfn.MAXIFS(Acuses!$C$5:$C$3004,Acuses!$A$5:$A$3004,$A79,Acuses!$B$5:$B$3004,AE$4)&lt;AE$5,"Pendiente",IF(AE$8=0,"OK",IF(EDATE(_xlfn.MAXIFS(Acuses!$D$5:$D$3004,Acuses!$A$5:$A$3004,$A79,Acuses!$B$5:$B$3004,AE$4,Acuses!$C$5:$C$3004,AE$5),AE$8)&lt;Resumen!$C$4,"Caducado",IF(EDATE(_xlfn.MAXIFS(Acuses!$D$5:$D$3004,Acuses!$A$5:$A$3004,$A79,Acuses!$B$5:$B$3004,AE$4,Acuses!$C$5:$C$3004,AE$5),AE$8)&lt;Resumen!$C$4+30,"Caduca pronto","OK"))))))</f>
        <v/>
      </c>
      <c r="AF79" s="26" t="str">
        <f aca="false">IF(OR($A79="",AF$4=""),"",IF(NOT(OR(AF$6="Toda la plantilla",ISNUMBER(SEARCH(";"&amp;SUBSTITUTE($C79," ","")&amp;";",";"&amp;SUBSTITUTE(AF$7," ","")&amp;";")))),"—",IF(_xlfn.MAXIFS(Acuses!$C$5:$C$3004,Acuses!$A$5:$A$3004,$A79,Acuses!$B$5:$B$3004,AF$4)&lt;AF$5,"Pendiente",IF(AF$8=0,"OK",IF(EDATE(_xlfn.MAXIFS(Acuses!$D$5:$D$3004,Acuses!$A$5:$A$3004,$A79,Acuses!$B$5:$B$3004,AF$4,Acuses!$C$5:$C$3004,AF$5),AF$8)&lt;Resumen!$C$4,"Caducado",IF(EDATE(_xlfn.MAXIFS(Acuses!$D$5:$D$3004,Acuses!$A$5:$A$3004,$A79,Acuses!$B$5:$B$3004,AF$4,Acuses!$C$5:$C$3004,AF$5),AF$8)&lt;Resumen!$C$4+30,"Caduca pronto","OK"))))))</f>
        <v/>
      </c>
      <c r="AG79" s="26" t="str">
        <f aca="false">IF(OR($A79="",AG$4=""),"",IF(NOT(OR(AG$6="Toda la plantilla",ISNUMBER(SEARCH(";"&amp;SUBSTITUTE($C79," ","")&amp;";",";"&amp;SUBSTITUTE(AG$7," ","")&amp;";")))),"—",IF(_xlfn.MAXIFS(Acuses!$C$5:$C$3004,Acuses!$A$5:$A$3004,$A79,Acuses!$B$5:$B$3004,AG$4)&lt;AG$5,"Pendiente",IF(AG$8=0,"OK",IF(EDATE(_xlfn.MAXIFS(Acuses!$D$5:$D$3004,Acuses!$A$5:$A$3004,$A79,Acuses!$B$5:$B$3004,AG$4,Acuses!$C$5:$C$3004,AG$5),AG$8)&lt;Resumen!$C$4,"Caducado",IF(EDATE(_xlfn.MAXIFS(Acuses!$D$5:$D$3004,Acuses!$A$5:$A$3004,$A79,Acuses!$B$5:$B$3004,AG$4,Acuses!$C$5:$C$3004,AG$5),AG$8)&lt;Resumen!$C$4+30,"Caduca pronto","OK"))))))</f>
        <v/>
      </c>
      <c r="AH79" s="26" t="str">
        <f aca="false">IF(OR($A79="",AH$4=""),"",IF(NOT(OR(AH$6="Toda la plantilla",ISNUMBER(SEARCH(";"&amp;SUBSTITUTE($C79," ","")&amp;";",";"&amp;SUBSTITUTE(AH$7," ","")&amp;";")))),"—",IF(_xlfn.MAXIFS(Acuses!$C$5:$C$3004,Acuses!$A$5:$A$3004,$A79,Acuses!$B$5:$B$3004,AH$4)&lt;AH$5,"Pendiente",IF(AH$8=0,"OK",IF(EDATE(_xlfn.MAXIFS(Acuses!$D$5:$D$3004,Acuses!$A$5:$A$3004,$A79,Acuses!$B$5:$B$3004,AH$4,Acuses!$C$5:$C$3004,AH$5),AH$8)&lt;Resumen!$C$4,"Caducado",IF(EDATE(_xlfn.MAXIFS(Acuses!$D$5:$D$3004,Acuses!$A$5:$A$3004,$A79,Acuses!$B$5:$B$3004,AH$4,Acuses!$C$5:$C$3004,AH$5),AH$8)&lt;Resumen!$C$4+30,"Caduca pronto","OK"))))))</f>
        <v/>
      </c>
      <c r="AI79" s="26" t="str">
        <f aca="false">IF(OR($A79="",AI$4=""),"",IF(NOT(OR(AI$6="Toda la plantilla",ISNUMBER(SEARCH(";"&amp;SUBSTITUTE($C79," ","")&amp;";",";"&amp;SUBSTITUTE(AI$7," ","")&amp;";")))),"—",IF(_xlfn.MAXIFS(Acuses!$C$5:$C$3004,Acuses!$A$5:$A$3004,$A79,Acuses!$B$5:$B$3004,AI$4)&lt;AI$5,"Pendiente",IF(AI$8=0,"OK",IF(EDATE(_xlfn.MAXIFS(Acuses!$D$5:$D$3004,Acuses!$A$5:$A$3004,$A79,Acuses!$B$5:$B$3004,AI$4,Acuses!$C$5:$C$3004,AI$5),AI$8)&lt;Resumen!$C$4,"Caducado",IF(EDATE(_xlfn.MAXIFS(Acuses!$D$5:$D$3004,Acuses!$A$5:$A$3004,$A79,Acuses!$B$5:$B$3004,AI$4,Acuses!$C$5:$C$3004,AI$5),AI$8)&lt;Resumen!$C$4+30,"Caduca pronto","OK"))))))</f>
        <v/>
      </c>
      <c r="AJ79" s="26" t="str">
        <f aca="false">IF(OR($A79="",AJ$4=""),"",IF(NOT(OR(AJ$6="Toda la plantilla",ISNUMBER(SEARCH(";"&amp;SUBSTITUTE($C79," ","")&amp;";",";"&amp;SUBSTITUTE(AJ$7," ","")&amp;";")))),"—",IF(_xlfn.MAXIFS(Acuses!$C$5:$C$3004,Acuses!$A$5:$A$3004,$A79,Acuses!$B$5:$B$3004,AJ$4)&lt;AJ$5,"Pendiente",IF(AJ$8=0,"OK",IF(EDATE(_xlfn.MAXIFS(Acuses!$D$5:$D$3004,Acuses!$A$5:$A$3004,$A79,Acuses!$B$5:$B$3004,AJ$4,Acuses!$C$5:$C$3004,AJ$5),AJ$8)&lt;Resumen!$C$4,"Caducado",IF(EDATE(_xlfn.MAXIFS(Acuses!$D$5:$D$3004,Acuses!$A$5:$A$3004,$A79,Acuses!$B$5:$B$3004,AJ$4,Acuses!$C$5:$C$3004,AJ$5),AJ$8)&lt;Resumen!$C$4+30,"Caduca pronto","OK"))))))</f>
        <v/>
      </c>
      <c r="AK79" s="26" t="str">
        <f aca="false">IF(OR($A79="",AK$4=""),"",IF(NOT(OR(AK$6="Toda la plantilla",ISNUMBER(SEARCH(";"&amp;SUBSTITUTE($C79," ","")&amp;";",";"&amp;SUBSTITUTE(AK$7," ","")&amp;";")))),"—",IF(_xlfn.MAXIFS(Acuses!$C$5:$C$3004,Acuses!$A$5:$A$3004,$A79,Acuses!$B$5:$B$3004,AK$4)&lt;AK$5,"Pendiente",IF(AK$8=0,"OK",IF(EDATE(_xlfn.MAXIFS(Acuses!$D$5:$D$3004,Acuses!$A$5:$A$3004,$A79,Acuses!$B$5:$B$3004,AK$4,Acuses!$C$5:$C$3004,AK$5),AK$8)&lt;Resumen!$C$4,"Caducado",IF(EDATE(_xlfn.MAXIFS(Acuses!$D$5:$D$3004,Acuses!$A$5:$A$3004,$A79,Acuses!$B$5:$B$3004,AK$4,Acuses!$C$5:$C$3004,AK$5),AK$8)&lt;Resumen!$C$4+30,"Caduca pronto","OK"))))))</f>
        <v/>
      </c>
      <c r="AL79" s="26" t="str">
        <f aca="false">IF(OR($A79="",AL$4=""),"",IF(NOT(OR(AL$6="Toda la plantilla",ISNUMBER(SEARCH(";"&amp;SUBSTITUTE($C79," ","")&amp;";",";"&amp;SUBSTITUTE(AL$7," ","")&amp;";")))),"—",IF(_xlfn.MAXIFS(Acuses!$C$5:$C$3004,Acuses!$A$5:$A$3004,$A79,Acuses!$B$5:$B$3004,AL$4)&lt;AL$5,"Pendiente",IF(AL$8=0,"OK",IF(EDATE(_xlfn.MAXIFS(Acuses!$D$5:$D$3004,Acuses!$A$5:$A$3004,$A79,Acuses!$B$5:$B$3004,AL$4,Acuses!$C$5:$C$3004,AL$5),AL$8)&lt;Resumen!$C$4,"Caducado",IF(EDATE(_xlfn.MAXIFS(Acuses!$D$5:$D$3004,Acuses!$A$5:$A$3004,$A79,Acuses!$B$5:$B$3004,AL$4,Acuses!$C$5:$C$3004,AL$5),AL$8)&lt;Resumen!$C$4+30,"Caduca pronto","OK"))))))</f>
        <v/>
      </c>
      <c r="AM79" s="26" t="str">
        <f aca="false">IF(OR($A79="",AM$4=""),"",IF(NOT(OR(AM$6="Toda la plantilla",ISNUMBER(SEARCH(";"&amp;SUBSTITUTE($C79," ","")&amp;";",";"&amp;SUBSTITUTE(AM$7," ","")&amp;";")))),"—",IF(_xlfn.MAXIFS(Acuses!$C$5:$C$3004,Acuses!$A$5:$A$3004,$A79,Acuses!$B$5:$B$3004,AM$4)&lt;AM$5,"Pendiente",IF(AM$8=0,"OK",IF(EDATE(_xlfn.MAXIFS(Acuses!$D$5:$D$3004,Acuses!$A$5:$A$3004,$A79,Acuses!$B$5:$B$3004,AM$4,Acuses!$C$5:$C$3004,AM$5),AM$8)&lt;Resumen!$C$4,"Caducado",IF(EDATE(_xlfn.MAXIFS(Acuses!$D$5:$D$3004,Acuses!$A$5:$A$3004,$A79,Acuses!$B$5:$B$3004,AM$4,Acuses!$C$5:$C$3004,AM$5),AM$8)&lt;Resumen!$C$4+30,"Caduca pronto","OK"))))))</f>
        <v/>
      </c>
      <c r="AN79" s="26" t="str">
        <f aca="false">IF(OR($A79="",AN$4=""),"",IF(NOT(OR(AN$6="Toda la plantilla",ISNUMBER(SEARCH(";"&amp;SUBSTITUTE($C79," ","")&amp;";",";"&amp;SUBSTITUTE(AN$7," ","")&amp;";")))),"—",IF(_xlfn.MAXIFS(Acuses!$C$5:$C$3004,Acuses!$A$5:$A$3004,$A79,Acuses!$B$5:$B$3004,AN$4)&lt;AN$5,"Pendiente",IF(AN$8=0,"OK",IF(EDATE(_xlfn.MAXIFS(Acuses!$D$5:$D$3004,Acuses!$A$5:$A$3004,$A79,Acuses!$B$5:$B$3004,AN$4,Acuses!$C$5:$C$3004,AN$5),AN$8)&lt;Resumen!$C$4,"Caducado",IF(EDATE(_xlfn.MAXIFS(Acuses!$D$5:$D$3004,Acuses!$A$5:$A$3004,$A79,Acuses!$B$5:$B$3004,AN$4,Acuses!$C$5:$C$3004,AN$5),AN$8)&lt;Resumen!$C$4+30,"Caduca pronto","OK"))))))</f>
        <v/>
      </c>
      <c r="AO79" s="26" t="str">
        <f aca="false">IF(OR($A79="",AO$4=""),"",IF(NOT(OR(AO$6="Toda la plantilla",ISNUMBER(SEARCH(";"&amp;SUBSTITUTE($C79," ","")&amp;";",";"&amp;SUBSTITUTE(AO$7," ","")&amp;";")))),"—",IF(_xlfn.MAXIFS(Acuses!$C$5:$C$3004,Acuses!$A$5:$A$3004,$A79,Acuses!$B$5:$B$3004,AO$4)&lt;AO$5,"Pendiente",IF(AO$8=0,"OK",IF(EDATE(_xlfn.MAXIFS(Acuses!$D$5:$D$3004,Acuses!$A$5:$A$3004,$A79,Acuses!$B$5:$B$3004,AO$4,Acuses!$C$5:$C$3004,AO$5),AO$8)&lt;Resumen!$C$4,"Caducado",IF(EDATE(_xlfn.MAXIFS(Acuses!$D$5:$D$3004,Acuses!$A$5:$A$3004,$A79,Acuses!$B$5:$B$3004,AO$4,Acuses!$C$5:$C$3004,AO$5),AO$8)&lt;Resumen!$C$4+30,"Caduca pronto","OK"))))))</f>
        <v/>
      </c>
      <c r="AP79" s="26" t="str">
        <f aca="false">IF(OR($A79="",AP$4=""),"",IF(NOT(OR(AP$6="Toda la plantilla",ISNUMBER(SEARCH(";"&amp;SUBSTITUTE($C79," ","")&amp;";",";"&amp;SUBSTITUTE(AP$7," ","")&amp;";")))),"—",IF(_xlfn.MAXIFS(Acuses!$C$5:$C$3004,Acuses!$A$5:$A$3004,$A79,Acuses!$B$5:$B$3004,AP$4)&lt;AP$5,"Pendiente",IF(AP$8=0,"OK",IF(EDATE(_xlfn.MAXIFS(Acuses!$D$5:$D$3004,Acuses!$A$5:$A$3004,$A79,Acuses!$B$5:$B$3004,AP$4,Acuses!$C$5:$C$3004,AP$5),AP$8)&lt;Resumen!$C$4,"Caducado",IF(EDATE(_xlfn.MAXIFS(Acuses!$D$5:$D$3004,Acuses!$A$5:$A$3004,$A79,Acuses!$B$5:$B$3004,AP$4,Acuses!$C$5:$C$3004,AP$5),AP$8)&lt;Resumen!$C$4+30,"Caduca pronto","OK"))))))</f>
        <v/>
      </c>
      <c r="AQ79" s="26" t="str">
        <f aca="false">IF(OR($A79="",AQ$4=""),"",IF(NOT(OR(AQ$6="Toda la plantilla",ISNUMBER(SEARCH(";"&amp;SUBSTITUTE($C79," ","")&amp;";",";"&amp;SUBSTITUTE(AQ$7," ","")&amp;";")))),"—",IF(_xlfn.MAXIFS(Acuses!$C$5:$C$3004,Acuses!$A$5:$A$3004,$A79,Acuses!$B$5:$B$3004,AQ$4)&lt;AQ$5,"Pendiente",IF(AQ$8=0,"OK",IF(EDATE(_xlfn.MAXIFS(Acuses!$D$5:$D$3004,Acuses!$A$5:$A$3004,$A79,Acuses!$B$5:$B$3004,AQ$4,Acuses!$C$5:$C$3004,AQ$5),AQ$8)&lt;Resumen!$C$4,"Caducado",IF(EDATE(_xlfn.MAXIFS(Acuses!$D$5:$D$3004,Acuses!$A$5:$A$3004,$A79,Acuses!$B$5:$B$3004,AQ$4,Acuses!$C$5:$C$3004,AQ$5),AQ$8)&lt;Resumen!$C$4+30,"Caduca pronto","OK"))))))</f>
        <v/>
      </c>
    </row>
    <row r="80" customFormat="false" ht="15" hidden="false" customHeight="false" outlineLevel="0" collapsed="false">
      <c r="A80" s="25" t="str">
        <f aca="false">IF(AND(Trabajadores!$A$75&lt;&gt;"",Trabajadores!$G$75&lt;&gt;"No"),Trabajadores!$A$75,"")</f>
        <v/>
      </c>
      <c r="B80" s="25" t="str">
        <f aca="false">IF($A80="","",Trabajadores!$B$75)</f>
        <v/>
      </c>
      <c r="C80" s="25" t="str">
        <f aca="false">IF($A80="","",Trabajadores!$C$75)</f>
        <v/>
      </c>
      <c r="D80" s="26" t="str">
        <f aca="false">IF(OR($A80="",D$4=""),"",IF(NOT(OR(D$6="Toda la plantilla",ISNUMBER(SEARCH(";"&amp;SUBSTITUTE($C80," ","")&amp;";",";"&amp;SUBSTITUTE(D$7," ","")&amp;";")))),"—",IF(_xlfn.MAXIFS(Acuses!$C$5:$C$3004,Acuses!$A$5:$A$3004,$A80,Acuses!$B$5:$B$3004,D$4)&lt;D$5,"Pendiente",IF(D$8=0,"OK",IF(EDATE(_xlfn.MAXIFS(Acuses!$D$5:$D$3004,Acuses!$A$5:$A$3004,$A80,Acuses!$B$5:$B$3004,D$4,Acuses!$C$5:$C$3004,D$5),D$8)&lt;Resumen!$C$4,"Caducado",IF(EDATE(_xlfn.MAXIFS(Acuses!$D$5:$D$3004,Acuses!$A$5:$A$3004,$A80,Acuses!$B$5:$B$3004,D$4,Acuses!$C$5:$C$3004,D$5),D$8)&lt;Resumen!$C$4+30,"Caduca pronto","OK"))))))</f>
        <v/>
      </c>
      <c r="E80" s="26" t="str">
        <f aca="false">IF(OR($A80="",E$4=""),"",IF(NOT(OR(E$6="Toda la plantilla",ISNUMBER(SEARCH(";"&amp;SUBSTITUTE($C80," ","")&amp;";",";"&amp;SUBSTITUTE(E$7," ","")&amp;";")))),"—",IF(_xlfn.MAXIFS(Acuses!$C$5:$C$3004,Acuses!$A$5:$A$3004,$A80,Acuses!$B$5:$B$3004,E$4)&lt;E$5,"Pendiente",IF(E$8=0,"OK",IF(EDATE(_xlfn.MAXIFS(Acuses!$D$5:$D$3004,Acuses!$A$5:$A$3004,$A80,Acuses!$B$5:$B$3004,E$4,Acuses!$C$5:$C$3004,E$5),E$8)&lt;Resumen!$C$4,"Caducado",IF(EDATE(_xlfn.MAXIFS(Acuses!$D$5:$D$3004,Acuses!$A$5:$A$3004,$A80,Acuses!$B$5:$B$3004,E$4,Acuses!$C$5:$C$3004,E$5),E$8)&lt;Resumen!$C$4+30,"Caduca pronto","OK"))))))</f>
        <v/>
      </c>
      <c r="F80" s="26" t="str">
        <f aca="false">IF(OR($A80="",F$4=""),"",IF(NOT(OR(F$6="Toda la plantilla",ISNUMBER(SEARCH(";"&amp;SUBSTITUTE($C80," ","")&amp;";",";"&amp;SUBSTITUTE(F$7," ","")&amp;";")))),"—",IF(_xlfn.MAXIFS(Acuses!$C$5:$C$3004,Acuses!$A$5:$A$3004,$A80,Acuses!$B$5:$B$3004,F$4)&lt;F$5,"Pendiente",IF(F$8=0,"OK",IF(EDATE(_xlfn.MAXIFS(Acuses!$D$5:$D$3004,Acuses!$A$5:$A$3004,$A80,Acuses!$B$5:$B$3004,F$4,Acuses!$C$5:$C$3004,F$5),F$8)&lt;Resumen!$C$4,"Caducado",IF(EDATE(_xlfn.MAXIFS(Acuses!$D$5:$D$3004,Acuses!$A$5:$A$3004,$A80,Acuses!$B$5:$B$3004,F$4,Acuses!$C$5:$C$3004,F$5),F$8)&lt;Resumen!$C$4+30,"Caduca pronto","OK"))))))</f>
        <v/>
      </c>
      <c r="G80" s="26" t="str">
        <f aca="false">IF(OR($A80="",G$4=""),"",IF(NOT(OR(G$6="Toda la plantilla",ISNUMBER(SEARCH(";"&amp;SUBSTITUTE($C80," ","")&amp;";",";"&amp;SUBSTITUTE(G$7," ","")&amp;";")))),"—",IF(_xlfn.MAXIFS(Acuses!$C$5:$C$3004,Acuses!$A$5:$A$3004,$A80,Acuses!$B$5:$B$3004,G$4)&lt;G$5,"Pendiente",IF(G$8=0,"OK",IF(EDATE(_xlfn.MAXIFS(Acuses!$D$5:$D$3004,Acuses!$A$5:$A$3004,$A80,Acuses!$B$5:$B$3004,G$4,Acuses!$C$5:$C$3004,G$5),G$8)&lt;Resumen!$C$4,"Caducado",IF(EDATE(_xlfn.MAXIFS(Acuses!$D$5:$D$3004,Acuses!$A$5:$A$3004,$A80,Acuses!$B$5:$B$3004,G$4,Acuses!$C$5:$C$3004,G$5),G$8)&lt;Resumen!$C$4+30,"Caduca pronto","OK"))))))</f>
        <v/>
      </c>
      <c r="H80" s="26" t="str">
        <f aca="false">IF(OR($A80="",H$4=""),"",IF(NOT(OR(H$6="Toda la plantilla",ISNUMBER(SEARCH(";"&amp;SUBSTITUTE($C80," ","")&amp;";",";"&amp;SUBSTITUTE(H$7," ","")&amp;";")))),"—",IF(_xlfn.MAXIFS(Acuses!$C$5:$C$3004,Acuses!$A$5:$A$3004,$A80,Acuses!$B$5:$B$3004,H$4)&lt;H$5,"Pendiente",IF(H$8=0,"OK",IF(EDATE(_xlfn.MAXIFS(Acuses!$D$5:$D$3004,Acuses!$A$5:$A$3004,$A80,Acuses!$B$5:$B$3004,H$4,Acuses!$C$5:$C$3004,H$5),H$8)&lt;Resumen!$C$4,"Caducado",IF(EDATE(_xlfn.MAXIFS(Acuses!$D$5:$D$3004,Acuses!$A$5:$A$3004,$A80,Acuses!$B$5:$B$3004,H$4,Acuses!$C$5:$C$3004,H$5),H$8)&lt;Resumen!$C$4+30,"Caduca pronto","OK"))))))</f>
        <v/>
      </c>
      <c r="I80" s="26" t="str">
        <f aca="false">IF(OR($A80="",I$4=""),"",IF(NOT(OR(I$6="Toda la plantilla",ISNUMBER(SEARCH(";"&amp;SUBSTITUTE($C80," ","")&amp;";",";"&amp;SUBSTITUTE(I$7," ","")&amp;";")))),"—",IF(_xlfn.MAXIFS(Acuses!$C$5:$C$3004,Acuses!$A$5:$A$3004,$A80,Acuses!$B$5:$B$3004,I$4)&lt;I$5,"Pendiente",IF(I$8=0,"OK",IF(EDATE(_xlfn.MAXIFS(Acuses!$D$5:$D$3004,Acuses!$A$5:$A$3004,$A80,Acuses!$B$5:$B$3004,I$4,Acuses!$C$5:$C$3004,I$5),I$8)&lt;Resumen!$C$4,"Caducado",IF(EDATE(_xlfn.MAXIFS(Acuses!$D$5:$D$3004,Acuses!$A$5:$A$3004,$A80,Acuses!$B$5:$B$3004,I$4,Acuses!$C$5:$C$3004,I$5),I$8)&lt;Resumen!$C$4+30,"Caduca pronto","OK"))))))</f>
        <v/>
      </c>
      <c r="J80" s="26" t="str">
        <f aca="false">IF(OR($A80="",J$4=""),"",IF(NOT(OR(J$6="Toda la plantilla",ISNUMBER(SEARCH(";"&amp;SUBSTITUTE($C80," ","")&amp;";",";"&amp;SUBSTITUTE(J$7," ","")&amp;";")))),"—",IF(_xlfn.MAXIFS(Acuses!$C$5:$C$3004,Acuses!$A$5:$A$3004,$A80,Acuses!$B$5:$B$3004,J$4)&lt;J$5,"Pendiente",IF(J$8=0,"OK",IF(EDATE(_xlfn.MAXIFS(Acuses!$D$5:$D$3004,Acuses!$A$5:$A$3004,$A80,Acuses!$B$5:$B$3004,J$4,Acuses!$C$5:$C$3004,J$5),J$8)&lt;Resumen!$C$4,"Caducado",IF(EDATE(_xlfn.MAXIFS(Acuses!$D$5:$D$3004,Acuses!$A$5:$A$3004,$A80,Acuses!$B$5:$B$3004,J$4,Acuses!$C$5:$C$3004,J$5),J$8)&lt;Resumen!$C$4+30,"Caduca pronto","OK"))))))</f>
        <v/>
      </c>
      <c r="K80" s="26" t="str">
        <f aca="false">IF(OR($A80="",K$4=""),"",IF(NOT(OR(K$6="Toda la plantilla",ISNUMBER(SEARCH(";"&amp;SUBSTITUTE($C80," ","")&amp;";",";"&amp;SUBSTITUTE(K$7," ","")&amp;";")))),"—",IF(_xlfn.MAXIFS(Acuses!$C$5:$C$3004,Acuses!$A$5:$A$3004,$A80,Acuses!$B$5:$B$3004,K$4)&lt;K$5,"Pendiente",IF(K$8=0,"OK",IF(EDATE(_xlfn.MAXIFS(Acuses!$D$5:$D$3004,Acuses!$A$5:$A$3004,$A80,Acuses!$B$5:$B$3004,K$4,Acuses!$C$5:$C$3004,K$5),K$8)&lt;Resumen!$C$4,"Caducado",IF(EDATE(_xlfn.MAXIFS(Acuses!$D$5:$D$3004,Acuses!$A$5:$A$3004,$A80,Acuses!$B$5:$B$3004,K$4,Acuses!$C$5:$C$3004,K$5),K$8)&lt;Resumen!$C$4+30,"Caduca pronto","OK"))))))</f>
        <v/>
      </c>
      <c r="L80" s="26" t="str">
        <f aca="false">IF(OR($A80="",L$4=""),"",IF(NOT(OR(L$6="Toda la plantilla",ISNUMBER(SEARCH(";"&amp;SUBSTITUTE($C80," ","")&amp;";",";"&amp;SUBSTITUTE(L$7," ","")&amp;";")))),"—",IF(_xlfn.MAXIFS(Acuses!$C$5:$C$3004,Acuses!$A$5:$A$3004,$A80,Acuses!$B$5:$B$3004,L$4)&lt;L$5,"Pendiente",IF(L$8=0,"OK",IF(EDATE(_xlfn.MAXIFS(Acuses!$D$5:$D$3004,Acuses!$A$5:$A$3004,$A80,Acuses!$B$5:$B$3004,L$4,Acuses!$C$5:$C$3004,L$5),L$8)&lt;Resumen!$C$4,"Caducado",IF(EDATE(_xlfn.MAXIFS(Acuses!$D$5:$D$3004,Acuses!$A$5:$A$3004,$A80,Acuses!$B$5:$B$3004,L$4,Acuses!$C$5:$C$3004,L$5),L$8)&lt;Resumen!$C$4+30,"Caduca pronto","OK"))))))</f>
        <v/>
      </c>
      <c r="M80" s="26" t="str">
        <f aca="false">IF(OR($A80="",M$4=""),"",IF(NOT(OR(M$6="Toda la plantilla",ISNUMBER(SEARCH(";"&amp;SUBSTITUTE($C80," ","")&amp;";",";"&amp;SUBSTITUTE(M$7," ","")&amp;";")))),"—",IF(_xlfn.MAXIFS(Acuses!$C$5:$C$3004,Acuses!$A$5:$A$3004,$A80,Acuses!$B$5:$B$3004,M$4)&lt;M$5,"Pendiente",IF(M$8=0,"OK",IF(EDATE(_xlfn.MAXIFS(Acuses!$D$5:$D$3004,Acuses!$A$5:$A$3004,$A80,Acuses!$B$5:$B$3004,M$4,Acuses!$C$5:$C$3004,M$5),M$8)&lt;Resumen!$C$4,"Caducado",IF(EDATE(_xlfn.MAXIFS(Acuses!$D$5:$D$3004,Acuses!$A$5:$A$3004,$A80,Acuses!$B$5:$B$3004,M$4,Acuses!$C$5:$C$3004,M$5),M$8)&lt;Resumen!$C$4+30,"Caduca pronto","OK"))))))</f>
        <v/>
      </c>
      <c r="N80" s="26" t="str">
        <f aca="false">IF(OR($A80="",N$4=""),"",IF(NOT(OR(N$6="Toda la plantilla",ISNUMBER(SEARCH(";"&amp;SUBSTITUTE($C80," ","")&amp;";",";"&amp;SUBSTITUTE(N$7," ","")&amp;";")))),"—",IF(_xlfn.MAXIFS(Acuses!$C$5:$C$3004,Acuses!$A$5:$A$3004,$A80,Acuses!$B$5:$B$3004,N$4)&lt;N$5,"Pendiente",IF(N$8=0,"OK",IF(EDATE(_xlfn.MAXIFS(Acuses!$D$5:$D$3004,Acuses!$A$5:$A$3004,$A80,Acuses!$B$5:$B$3004,N$4,Acuses!$C$5:$C$3004,N$5),N$8)&lt;Resumen!$C$4,"Caducado",IF(EDATE(_xlfn.MAXIFS(Acuses!$D$5:$D$3004,Acuses!$A$5:$A$3004,$A80,Acuses!$B$5:$B$3004,N$4,Acuses!$C$5:$C$3004,N$5),N$8)&lt;Resumen!$C$4+30,"Caduca pronto","OK"))))))</f>
        <v/>
      </c>
      <c r="O80" s="26" t="str">
        <f aca="false">IF(OR($A80="",O$4=""),"",IF(NOT(OR(O$6="Toda la plantilla",ISNUMBER(SEARCH(";"&amp;SUBSTITUTE($C80," ","")&amp;";",";"&amp;SUBSTITUTE(O$7," ","")&amp;";")))),"—",IF(_xlfn.MAXIFS(Acuses!$C$5:$C$3004,Acuses!$A$5:$A$3004,$A80,Acuses!$B$5:$B$3004,O$4)&lt;O$5,"Pendiente",IF(O$8=0,"OK",IF(EDATE(_xlfn.MAXIFS(Acuses!$D$5:$D$3004,Acuses!$A$5:$A$3004,$A80,Acuses!$B$5:$B$3004,O$4,Acuses!$C$5:$C$3004,O$5),O$8)&lt;Resumen!$C$4,"Caducado",IF(EDATE(_xlfn.MAXIFS(Acuses!$D$5:$D$3004,Acuses!$A$5:$A$3004,$A80,Acuses!$B$5:$B$3004,O$4,Acuses!$C$5:$C$3004,O$5),O$8)&lt;Resumen!$C$4+30,"Caduca pronto","OK"))))))</f>
        <v/>
      </c>
      <c r="P80" s="26" t="str">
        <f aca="false">IF(OR($A80="",P$4=""),"",IF(NOT(OR(P$6="Toda la plantilla",ISNUMBER(SEARCH(";"&amp;SUBSTITUTE($C80," ","")&amp;";",";"&amp;SUBSTITUTE(P$7," ","")&amp;";")))),"—",IF(_xlfn.MAXIFS(Acuses!$C$5:$C$3004,Acuses!$A$5:$A$3004,$A80,Acuses!$B$5:$B$3004,P$4)&lt;P$5,"Pendiente",IF(P$8=0,"OK",IF(EDATE(_xlfn.MAXIFS(Acuses!$D$5:$D$3004,Acuses!$A$5:$A$3004,$A80,Acuses!$B$5:$B$3004,P$4,Acuses!$C$5:$C$3004,P$5),P$8)&lt;Resumen!$C$4,"Caducado",IF(EDATE(_xlfn.MAXIFS(Acuses!$D$5:$D$3004,Acuses!$A$5:$A$3004,$A80,Acuses!$B$5:$B$3004,P$4,Acuses!$C$5:$C$3004,P$5),P$8)&lt;Resumen!$C$4+30,"Caduca pronto","OK"))))))</f>
        <v/>
      </c>
      <c r="Q80" s="26" t="str">
        <f aca="false">IF(OR($A80="",Q$4=""),"",IF(NOT(OR(Q$6="Toda la plantilla",ISNUMBER(SEARCH(";"&amp;SUBSTITUTE($C80," ","")&amp;";",";"&amp;SUBSTITUTE(Q$7," ","")&amp;";")))),"—",IF(_xlfn.MAXIFS(Acuses!$C$5:$C$3004,Acuses!$A$5:$A$3004,$A80,Acuses!$B$5:$B$3004,Q$4)&lt;Q$5,"Pendiente",IF(Q$8=0,"OK",IF(EDATE(_xlfn.MAXIFS(Acuses!$D$5:$D$3004,Acuses!$A$5:$A$3004,$A80,Acuses!$B$5:$B$3004,Q$4,Acuses!$C$5:$C$3004,Q$5),Q$8)&lt;Resumen!$C$4,"Caducado",IF(EDATE(_xlfn.MAXIFS(Acuses!$D$5:$D$3004,Acuses!$A$5:$A$3004,$A80,Acuses!$B$5:$B$3004,Q$4,Acuses!$C$5:$C$3004,Q$5),Q$8)&lt;Resumen!$C$4+30,"Caduca pronto","OK"))))))</f>
        <v/>
      </c>
      <c r="R80" s="26" t="str">
        <f aca="false">IF(OR($A80="",R$4=""),"",IF(NOT(OR(R$6="Toda la plantilla",ISNUMBER(SEARCH(";"&amp;SUBSTITUTE($C80," ","")&amp;";",";"&amp;SUBSTITUTE(R$7," ","")&amp;";")))),"—",IF(_xlfn.MAXIFS(Acuses!$C$5:$C$3004,Acuses!$A$5:$A$3004,$A80,Acuses!$B$5:$B$3004,R$4)&lt;R$5,"Pendiente",IF(R$8=0,"OK",IF(EDATE(_xlfn.MAXIFS(Acuses!$D$5:$D$3004,Acuses!$A$5:$A$3004,$A80,Acuses!$B$5:$B$3004,R$4,Acuses!$C$5:$C$3004,R$5),R$8)&lt;Resumen!$C$4,"Caducado",IF(EDATE(_xlfn.MAXIFS(Acuses!$D$5:$D$3004,Acuses!$A$5:$A$3004,$A80,Acuses!$B$5:$B$3004,R$4,Acuses!$C$5:$C$3004,R$5),R$8)&lt;Resumen!$C$4+30,"Caduca pronto","OK"))))))</f>
        <v/>
      </c>
      <c r="S80" s="26" t="str">
        <f aca="false">IF(OR($A80="",S$4=""),"",IF(NOT(OR(S$6="Toda la plantilla",ISNUMBER(SEARCH(";"&amp;SUBSTITUTE($C80," ","")&amp;";",";"&amp;SUBSTITUTE(S$7," ","")&amp;";")))),"—",IF(_xlfn.MAXIFS(Acuses!$C$5:$C$3004,Acuses!$A$5:$A$3004,$A80,Acuses!$B$5:$B$3004,S$4)&lt;S$5,"Pendiente",IF(S$8=0,"OK",IF(EDATE(_xlfn.MAXIFS(Acuses!$D$5:$D$3004,Acuses!$A$5:$A$3004,$A80,Acuses!$B$5:$B$3004,S$4,Acuses!$C$5:$C$3004,S$5),S$8)&lt;Resumen!$C$4,"Caducado",IF(EDATE(_xlfn.MAXIFS(Acuses!$D$5:$D$3004,Acuses!$A$5:$A$3004,$A80,Acuses!$B$5:$B$3004,S$4,Acuses!$C$5:$C$3004,S$5),S$8)&lt;Resumen!$C$4+30,"Caduca pronto","OK"))))))</f>
        <v/>
      </c>
      <c r="T80" s="26" t="str">
        <f aca="false">IF(OR($A80="",T$4=""),"",IF(NOT(OR(T$6="Toda la plantilla",ISNUMBER(SEARCH(";"&amp;SUBSTITUTE($C80," ","")&amp;";",";"&amp;SUBSTITUTE(T$7," ","")&amp;";")))),"—",IF(_xlfn.MAXIFS(Acuses!$C$5:$C$3004,Acuses!$A$5:$A$3004,$A80,Acuses!$B$5:$B$3004,T$4)&lt;T$5,"Pendiente",IF(T$8=0,"OK",IF(EDATE(_xlfn.MAXIFS(Acuses!$D$5:$D$3004,Acuses!$A$5:$A$3004,$A80,Acuses!$B$5:$B$3004,T$4,Acuses!$C$5:$C$3004,T$5),T$8)&lt;Resumen!$C$4,"Caducado",IF(EDATE(_xlfn.MAXIFS(Acuses!$D$5:$D$3004,Acuses!$A$5:$A$3004,$A80,Acuses!$B$5:$B$3004,T$4,Acuses!$C$5:$C$3004,T$5),T$8)&lt;Resumen!$C$4+30,"Caduca pronto","OK"))))))</f>
        <v/>
      </c>
      <c r="U80" s="26" t="str">
        <f aca="false">IF(OR($A80="",U$4=""),"",IF(NOT(OR(U$6="Toda la plantilla",ISNUMBER(SEARCH(";"&amp;SUBSTITUTE($C80," ","")&amp;";",";"&amp;SUBSTITUTE(U$7," ","")&amp;";")))),"—",IF(_xlfn.MAXIFS(Acuses!$C$5:$C$3004,Acuses!$A$5:$A$3004,$A80,Acuses!$B$5:$B$3004,U$4)&lt;U$5,"Pendiente",IF(U$8=0,"OK",IF(EDATE(_xlfn.MAXIFS(Acuses!$D$5:$D$3004,Acuses!$A$5:$A$3004,$A80,Acuses!$B$5:$B$3004,U$4,Acuses!$C$5:$C$3004,U$5),U$8)&lt;Resumen!$C$4,"Caducado",IF(EDATE(_xlfn.MAXIFS(Acuses!$D$5:$D$3004,Acuses!$A$5:$A$3004,$A80,Acuses!$B$5:$B$3004,U$4,Acuses!$C$5:$C$3004,U$5),U$8)&lt;Resumen!$C$4+30,"Caduca pronto","OK"))))))</f>
        <v/>
      </c>
      <c r="V80" s="26" t="str">
        <f aca="false">IF(OR($A80="",V$4=""),"",IF(NOT(OR(V$6="Toda la plantilla",ISNUMBER(SEARCH(";"&amp;SUBSTITUTE($C80," ","")&amp;";",";"&amp;SUBSTITUTE(V$7," ","")&amp;";")))),"—",IF(_xlfn.MAXIFS(Acuses!$C$5:$C$3004,Acuses!$A$5:$A$3004,$A80,Acuses!$B$5:$B$3004,V$4)&lt;V$5,"Pendiente",IF(V$8=0,"OK",IF(EDATE(_xlfn.MAXIFS(Acuses!$D$5:$D$3004,Acuses!$A$5:$A$3004,$A80,Acuses!$B$5:$B$3004,V$4,Acuses!$C$5:$C$3004,V$5),V$8)&lt;Resumen!$C$4,"Caducado",IF(EDATE(_xlfn.MAXIFS(Acuses!$D$5:$D$3004,Acuses!$A$5:$A$3004,$A80,Acuses!$B$5:$B$3004,V$4,Acuses!$C$5:$C$3004,V$5),V$8)&lt;Resumen!$C$4+30,"Caduca pronto","OK"))))))</f>
        <v/>
      </c>
      <c r="W80" s="26" t="str">
        <f aca="false">IF(OR($A80="",W$4=""),"",IF(NOT(OR(W$6="Toda la plantilla",ISNUMBER(SEARCH(";"&amp;SUBSTITUTE($C80," ","")&amp;";",";"&amp;SUBSTITUTE(W$7," ","")&amp;";")))),"—",IF(_xlfn.MAXIFS(Acuses!$C$5:$C$3004,Acuses!$A$5:$A$3004,$A80,Acuses!$B$5:$B$3004,W$4)&lt;W$5,"Pendiente",IF(W$8=0,"OK",IF(EDATE(_xlfn.MAXIFS(Acuses!$D$5:$D$3004,Acuses!$A$5:$A$3004,$A80,Acuses!$B$5:$B$3004,W$4,Acuses!$C$5:$C$3004,W$5),W$8)&lt;Resumen!$C$4,"Caducado",IF(EDATE(_xlfn.MAXIFS(Acuses!$D$5:$D$3004,Acuses!$A$5:$A$3004,$A80,Acuses!$B$5:$B$3004,W$4,Acuses!$C$5:$C$3004,W$5),W$8)&lt;Resumen!$C$4+30,"Caduca pronto","OK"))))))</f>
        <v/>
      </c>
      <c r="X80" s="26" t="str">
        <f aca="false">IF(OR($A80="",X$4=""),"",IF(NOT(OR(X$6="Toda la plantilla",ISNUMBER(SEARCH(";"&amp;SUBSTITUTE($C80," ","")&amp;";",";"&amp;SUBSTITUTE(X$7," ","")&amp;";")))),"—",IF(_xlfn.MAXIFS(Acuses!$C$5:$C$3004,Acuses!$A$5:$A$3004,$A80,Acuses!$B$5:$B$3004,X$4)&lt;X$5,"Pendiente",IF(X$8=0,"OK",IF(EDATE(_xlfn.MAXIFS(Acuses!$D$5:$D$3004,Acuses!$A$5:$A$3004,$A80,Acuses!$B$5:$B$3004,X$4,Acuses!$C$5:$C$3004,X$5),X$8)&lt;Resumen!$C$4,"Caducado",IF(EDATE(_xlfn.MAXIFS(Acuses!$D$5:$D$3004,Acuses!$A$5:$A$3004,$A80,Acuses!$B$5:$B$3004,X$4,Acuses!$C$5:$C$3004,X$5),X$8)&lt;Resumen!$C$4+30,"Caduca pronto","OK"))))))</f>
        <v/>
      </c>
      <c r="Y80" s="26" t="str">
        <f aca="false">IF(OR($A80="",Y$4=""),"",IF(NOT(OR(Y$6="Toda la plantilla",ISNUMBER(SEARCH(";"&amp;SUBSTITUTE($C80," ","")&amp;";",";"&amp;SUBSTITUTE(Y$7," ","")&amp;";")))),"—",IF(_xlfn.MAXIFS(Acuses!$C$5:$C$3004,Acuses!$A$5:$A$3004,$A80,Acuses!$B$5:$B$3004,Y$4)&lt;Y$5,"Pendiente",IF(Y$8=0,"OK",IF(EDATE(_xlfn.MAXIFS(Acuses!$D$5:$D$3004,Acuses!$A$5:$A$3004,$A80,Acuses!$B$5:$B$3004,Y$4,Acuses!$C$5:$C$3004,Y$5),Y$8)&lt;Resumen!$C$4,"Caducado",IF(EDATE(_xlfn.MAXIFS(Acuses!$D$5:$D$3004,Acuses!$A$5:$A$3004,$A80,Acuses!$B$5:$B$3004,Y$4,Acuses!$C$5:$C$3004,Y$5),Y$8)&lt;Resumen!$C$4+30,"Caduca pronto","OK"))))))</f>
        <v/>
      </c>
      <c r="Z80" s="26" t="str">
        <f aca="false">IF(OR($A80="",Z$4=""),"",IF(NOT(OR(Z$6="Toda la plantilla",ISNUMBER(SEARCH(";"&amp;SUBSTITUTE($C80," ","")&amp;";",";"&amp;SUBSTITUTE(Z$7," ","")&amp;";")))),"—",IF(_xlfn.MAXIFS(Acuses!$C$5:$C$3004,Acuses!$A$5:$A$3004,$A80,Acuses!$B$5:$B$3004,Z$4)&lt;Z$5,"Pendiente",IF(Z$8=0,"OK",IF(EDATE(_xlfn.MAXIFS(Acuses!$D$5:$D$3004,Acuses!$A$5:$A$3004,$A80,Acuses!$B$5:$B$3004,Z$4,Acuses!$C$5:$C$3004,Z$5),Z$8)&lt;Resumen!$C$4,"Caducado",IF(EDATE(_xlfn.MAXIFS(Acuses!$D$5:$D$3004,Acuses!$A$5:$A$3004,$A80,Acuses!$B$5:$B$3004,Z$4,Acuses!$C$5:$C$3004,Z$5),Z$8)&lt;Resumen!$C$4+30,"Caduca pronto","OK"))))))</f>
        <v/>
      </c>
      <c r="AA80" s="26" t="str">
        <f aca="false">IF(OR($A80="",AA$4=""),"",IF(NOT(OR(AA$6="Toda la plantilla",ISNUMBER(SEARCH(";"&amp;SUBSTITUTE($C80," ","")&amp;";",";"&amp;SUBSTITUTE(AA$7," ","")&amp;";")))),"—",IF(_xlfn.MAXIFS(Acuses!$C$5:$C$3004,Acuses!$A$5:$A$3004,$A80,Acuses!$B$5:$B$3004,AA$4)&lt;AA$5,"Pendiente",IF(AA$8=0,"OK",IF(EDATE(_xlfn.MAXIFS(Acuses!$D$5:$D$3004,Acuses!$A$5:$A$3004,$A80,Acuses!$B$5:$B$3004,AA$4,Acuses!$C$5:$C$3004,AA$5),AA$8)&lt;Resumen!$C$4,"Caducado",IF(EDATE(_xlfn.MAXIFS(Acuses!$D$5:$D$3004,Acuses!$A$5:$A$3004,$A80,Acuses!$B$5:$B$3004,AA$4,Acuses!$C$5:$C$3004,AA$5),AA$8)&lt;Resumen!$C$4+30,"Caduca pronto","OK"))))))</f>
        <v/>
      </c>
      <c r="AB80" s="26" t="str">
        <f aca="false">IF(OR($A80="",AB$4=""),"",IF(NOT(OR(AB$6="Toda la plantilla",ISNUMBER(SEARCH(";"&amp;SUBSTITUTE($C80," ","")&amp;";",";"&amp;SUBSTITUTE(AB$7," ","")&amp;";")))),"—",IF(_xlfn.MAXIFS(Acuses!$C$5:$C$3004,Acuses!$A$5:$A$3004,$A80,Acuses!$B$5:$B$3004,AB$4)&lt;AB$5,"Pendiente",IF(AB$8=0,"OK",IF(EDATE(_xlfn.MAXIFS(Acuses!$D$5:$D$3004,Acuses!$A$5:$A$3004,$A80,Acuses!$B$5:$B$3004,AB$4,Acuses!$C$5:$C$3004,AB$5),AB$8)&lt;Resumen!$C$4,"Caducado",IF(EDATE(_xlfn.MAXIFS(Acuses!$D$5:$D$3004,Acuses!$A$5:$A$3004,$A80,Acuses!$B$5:$B$3004,AB$4,Acuses!$C$5:$C$3004,AB$5),AB$8)&lt;Resumen!$C$4+30,"Caduca pronto","OK"))))))</f>
        <v/>
      </c>
      <c r="AC80" s="26" t="str">
        <f aca="false">IF(OR($A80="",AC$4=""),"",IF(NOT(OR(AC$6="Toda la plantilla",ISNUMBER(SEARCH(";"&amp;SUBSTITUTE($C80," ","")&amp;";",";"&amp;SUBSTITUTE(AC$7," ","")&amp;";")))),"—",IF(_xlfn.MAXIFS(Acuses!$C$5:$C$3004,Acuses!$A$5:$A$3004,$A80,Acuses!$B$5:$B$3004,AC$4)&lt;AC$5,"Pendiente",IF(AC$8=0,"OK",IF(EDATE(_xlfn.MAXIFS(Acuses!$D$5:$D$3004,Acuses!$A$5:$A$3004,$A80,Acuses!$B$5:$B$3004,AC$4,Acuses!$C$5:$C$3004,AC$5),AC$8)&lt;Resumen!$C$4,"Caducado",IF(EDATE(_xlfn.MAXIFS(Acuses!$D$5:$D$3004,Acuses!$A$5:$A$3004,$A80,Acuses!$B$5:$B$3004,AC$4,Acuses!$C$5:$C$3004,AC$5),AC$8)&lt;Resumen!$C$4+30,"Caduca pronto","OK"))))))</f>
        <v/>
      </c>
      <c r="AD80" s="26" t="str">
        <f aca="false">IF(OR($A80="",AD$4=""),"",IF(NOT(OR(AD$6="Toda la plantilla",ISNUMBER(SEARCH(";"&amp;SUBSTITUTE($C80," ","")&amp;";",";"&amp;SUBSTITUTE(AD$7," ","")&amp;";")))),"—",IF(_xlfn.MAXIFS(Acuses!$C$5:$C$3004,Acuses!$A$5:$A$3004,$A80,Acuses!$B$5:$B$3004,AD$4)&lt;AD$5,"Pendiente",IF(AD$8=0,"OK",IF(EDATE(_xlfn.MAXIFS(Acuses!$D$5:$D$3004,Acuses!$A$5:$A$3004,$A80,Acuses!$B$5:$B$3004,AD$4,Acuses!$C$5:$C$3004,AD$5),AD$8)&lt;Resumen!$C$4,"Caducado",IF(EDATE(_xlfn.MAXIFS(Acuses!$D$5:$D$3004,Acuses!$A$5:$A$3004,$A80,Acuses!$B$5:$B$3004,AD$4,Acuses!$C$5:$C$3004,AD$5),AD$8)&lt;Resumen!$C$4+30,"Caduca pronto","OK"))))))</f>
        <v/>
      </c>
      <c r="AE80" s="26" t="str">
        <f aca="false">IF(OR($A80="",AE$4=""),"",IF(NOT(OR(AE$6="Toda la plantilla",ISNUMBER(SEARCH(";"&amp;SUBSTITUTE($C80," ","")&amp;";",";"&amp;SUBSTITUTE(AE$7," ","")&amp;";")))),"—",IF(_xlfn.MAXIFS(Acuses!$C$5:$C$3004,Acuses!$A$5:$A$3004,$A80,Acuses!$B$5:$B$3004,AE$4)&lt;AE$5,"Pendiente",IF(AE$8=0,"OK",IF(EDATE(_xlfn.MAXIFS(Acuses!$D$5:$D$3004,Acuses!$A$5:$A$3004,$A80,Acuses!$B$5:$B$3004,AE$4,Acuses!$C$5:$C$3004,AE$5),AE$8)&lt;Resumen!$C$4,"Caducado",IF(EDATE(_xlfn.MAXIFS(Acuses!$D$5:$D$3004,Acuses!$A$5:$A$3004,$A80,Acuses!$B$5:$B$3004,AE$4,Acuses!$C$5:$C$3004,AE$5),AE$8)&lt;Resumen!$C$4+30,"Caduca pronto","OK"))))))</f>
        <v/>
      </c>
      <c r="AF80" s="26" t="str">
        <f aca="false">IF(OR($A80="",AF$4=""),"",IF(NOT(OR(AF$6="Toda la plantilla",ISNUMBER(SEARCH(";"&amp;SUBSTITUTE($C80," ","")&amp;";",";"&amp;SUBSTITUTE(AF$7," ","")&amp;";")))),"—",IF(_xlfn.MAXIFS(Acuses!$C$5:$C$3004,Acuses!$A$5:$A$3004,$A80,Acuses!$B$5:$B$3004,AF$4)&lt;AF$5,"Pendiente",IF(AF$8=0,"OK",IF(EDATE(_xlfn.MAXIFS(Acuses!$D$5:$D$3004,Acuses!$A$5:$A$3004,$A80,Acuses!$B$5:$B$3004,AF$4,Acuses!$C$5:$C$3004,AF$5),AF$8)&lt;Resumen!$C$4,"Caducado",IF(EDATE(_xlfn.MAXIFS(Acuses!$D$5:$D$3004,Acuses!$A$5:$A$3004,$A80,Acuses!$B$5:$B$3004,AF$4,Acuses!$C$5:$C$3004,AF$5),AF$8)&lt;Resumen!$C$4+30,"Caduca pronto","OK"))))))</f>
        <v/>
      </c>
      <c r="AG80" s="26" t="str">
        <f aca="false">IF(OR($A80="",AG$4=""),"",IF(NOT(OR(AG$6="Toda la plantilla",ISNUMBER(SEARCH(";"&amp;SUBSTITUTE($C80," ","")&amp;";",";"&amp;SUBSTITUTE(AG$7," ","")&amp;";")))),"—",IF(_xlfn.MAXIFS(Acuses!$C$5:$C$3004,Acuses!$A$5:$A$3004,$A80,Acuses!$B$5:$B$3004,AG$4)&lt;AG$5,"Pendiente",IF(AG$8=0,"OK",IF(EDATE(_xlfn.MAXIFS(Acuses!$D$5:$D$3004,Acuses!$A$5:$A$3004,$A80,Acuses!$B$5:$B$3004,AG$4,Acuses!$C$5:$C$3004,AG$5),AG$8)&lt;Resumen!$C$4,"Caducado",IF(EDATE(_xlfn.MAXIFS(Acuses!$D$5:$D$3004,Acuses!$A$5:$A$3004,$A80,Acuses!$B$5:$B$3004,AG$4,Acuses!$C$5:$C$3004,AG$5),AG$8)&lt;Resumen!$C$4+30,"Caduca pronto","OK"))))))</f>
        <v/>
      </c>
      <c r="AH80" s="26" t="str">
        <f aca="false">IF(OR($A80="",AH$4=""),"",IF(NOT(OR(AH$6="Toda la plantilla",ISNUMBER(SEARCH(";"&amp;SUBSTITUTE($C80," ","")&amp;";",";"&amp;SUBSTITUTE(AH$7," ","")&amp;";")))),"—",IF(_xlfn.MAXIFS(Acuses!$C$5:$C$3004,Acuses!$A$5:$A$3004,$A80,Acuses!$B$5:$B$3004,AH$4)&lt;AH$5,"Pendiente",IF(AH$8=0,"OK",IF(EDATE(_xlfn.MAXIFS(Acuses!$D$5:$D$3004,Acuses!$A$5:$A$3004,$A80,Acuses!$B$5:$B$3004,AH$4,Acuses!$C$5:$C$3004,AH$5),AH$8)&lt;Resumen!$C$4,"Caducado",IF(EDATE(_xlfn.MAXIFS(Acuses!$D$5:$D$3004,Acuses!$A$5:$A$3004,$A80,Acuses!$B$5:$B$3004,AH$4,Acuses!$C$5:$C$3004,AH$5),AH$8)&lt;Resumen!$C$4+30,"Caduca pronto","OK"))))))</f>
        <v/>
      </c>
      <c r="AI80" s="26" t="str">
        <f aca="false">IF(OR($A80="",AI$4=""),"",IF(NOT(OR(AI$6="Toda la plantilla",ISNUMBER(SEARCH(";"&amp;SUBSTITUTE($C80," ","")&amp;";",";"&amp;SUBSTITUTE(AI$7," ","")&amp;";")))),"—",IF(_xlfn.MAXIFS(Acuses!$C$5:$C$3004,Acuses!$A$5:$A$3004,$A80,Acuses!$B$5:$B$3004,AI$4)&lt;AI$5,"Pendiente",IF(AI$8=0,"OK",IF(EDATE(_xlfn.MAXIFS(Acuses!$D$5:$D$3004,Acuses!$A$5:$A$3004,$A80,Acuses!$B$5:$B$3004,AI$4,Acuses!$C$5:$C$3004,AI$5),AI$8)&lt;Resumen!$C$4,"Caducado",IF(EDATE(_xlfn.MAXIFS(Acuses!$D$5:$D$3004,Acuses!$A$5:$A$3004,$A80,Acuses!$B$5:$B$3004,AI$4,Acuses!$C$5:$C$3004,AI$5),AI$8)&lt;Resumen!$C$4+30,"Caduca pronto","OK"))))))</f>
        <v/>
      </c>
      <c r="AJ80" s="26" t="str">
        <f aca="false">IF(OR($A80="",AJ$4=""),"",IF(NOT(OR(AJ$6="Toda la plantilla",ISNUMBER(SEARCH(";"&amp;SUBSTITUTE($C80," ","")&amp;";",";"&amp;SUBSTITUTE(AJ$7," ","")&amp;";")))),"—",IF(_xlfn.MAXIFS(Acuses!$C$5:$C$3004,Acuses!$A$5:$A$3004,$A80,Acuses!$B$5:$B$3004,AJ$4)&lt;AJ$5,"Pendiente",IF(AJ$8=0,"OK",IF(EDATE(_xlfn.MAXIFS(Acuses!$D$5:$D$3004,Acuses!$A$5:$A$3004,$A80,Acuses!$B$5:$B$3004,AJ$4,Acuses!$C$5:$C$3004,AJ$5),AJ$8)&lt;Resumen!$C$4,"Caducado",IF(EDATE(_xlfn.MAXIFS(Acuses!$D$5:$D$3004,Acuses!$A$5:$A$3004,$A80,Acuses!$B$5:$B$3004,AJ$4,Acuses!$C$5:$C$3004,AJ$5),AJ$8)&lt;Resumen!$C$4+30,"Caduca pronto","OK"))))))</f>
        <v/>
      </c>
      <c r="AK80" s="26" t="str">
        <f aca="false">IF(OR($A80="",AK$4=""),"",IF(NOT(OR(AK$6="Toda la plantilla",ISNUMBER(SEARCH(";"&amp;SUBSTITUTE($C80," ","")&amp;";",";"&amp;SUBSTITUTE(AK$7," ","")&amp;";")))),"—",IF(_xlfn.MAXIFS(Acuses!$C$5:$C$3004,Acuses!$A$5:$A$3004,$A80,Acuses!$B$5:$B$3004,AK$4)&lt;AK$5,"Pendiente",IF(AK$8=0,"OK",IF(EDATE(_xlfn.MAXIFS(Acuses!$D$5:$D$3004,Acuses!$A$5:$A$3004,$A80,Acuses!$B$5:$B$3004,AK$4,Acuses!$C$5:$C$3004,AK$5),AK$8)&lt;Resumen!$C$4,"Caducado",IF(EDATE(_xlfn.MAXIFS(Acuses!$D$5:$D$3004,Acuses!$A$5:$A$3004,$A80,Acuses!$B$5:$B$3004,AK$4,Acuses!$C$5:$C$3004,AK$5),AK$8)&lt;Resumen!$C$4+30,"Caduca pronto","OK"))))))</f>
        <v/>
      </c>
      <c r="AL80" s="26" t="str">
        <f aca="false">IF(OR($A80="",AL$4=""),"",IF(NOT(OR(AL$6="Toda la plantilla",ISNUMBER(SEARCH(";"&amp;SUBSTITUTE($C80," ","")&amp;";",";"&amp;SUBSTITUTE(AL$7," ","")&amp;";")))),"—",IF(_xlfn.MAXIFS(Acuses!$C$5:$C$3004,Acuses!$A$5:$A$3004,$A80,Acuses!$B$5:$B$3004,AL$4)&lt;AL$5,"Pendiente",IF(AL$8=0,"OK",IF(EDATE(_xlfn.MAXIFS(Acuses!$D$5:$D$3004,Acuses!$A$5:$A$3004,$A80,Acuses!$B$5:$B$3004,AL$4,Acuses!$C$5:$C$3004,AL$5),AL$8)&lt;Resumen!$C$4,"Caducado",IF(EDATE(_xlfn.MAXIFS(Acuses!$D$5:$D$3004,Acuses!$A$5:$A$3004,$A80,Acuses!$B$5:$B$3004,AL$4,Acuses!$C$5:$C$3004,AL$5),AL$8)&lt;Resumen!$C$4+30,"Caduca pronto","OK"))))))</f>
        <v/>
      </c>
      <c r="AM80" s="26" t="str">
        <f aca="false">IF(OR($A80="",AM$4=""),"",IF(NOT(OR(AM$6="Toda la plantilla",ISNUMBER(SEARCH(";"&amp;SUBSTITUTE($C80," ","")&amp;";",";"&amp;SUBSTITUTE(AM$7," ","")&amp;";")))),"—",IF(_xlfn.MAXIFS(Acuses!$C$5:$C$3004,Acuses!$A$5:$A$3004,$A80,Acuses!$B$5:$B$3004,AM$4)&lt;AM$5,"Pendiente",IF(AM$8=0,"OK",IF(EDATE(_xlfn.MAXIFS(Acuses!$D$5:$D$3004,Acuses!$A$5:$A$3004,$A80,Acuses!$B$5:$B$3004,AM$4,Acuses!$C$5:$C$3004,AM$5),AM$8)&lt;Resumen!$C$4,"Caducado",IF(EDATE(_xlfn.MAXIFS(Acuses!$D$5:$D$3004,Acuses!$A$5:$A$3004,$A80,Acuses!$B$5:$B$3004,AM$4,Acuses!$C$5:$C$3004,AM$5),AM$8)&lt;Resumen!$C$4+30,"Caduca pronto","OK"))))))</f>
        <v/>
      </c>
      <c r="AN80" s="26" t="str">
        <f aca="false">IF(OR($A80="",AN$4=""),"",IF(NOT(OR(AN$6="Toda la plantilla",ISNUMBER(SEARCH(";"&amp;SUBSTITUTE($C80," ","")&amp;";",";"&amp;SUBSTITUTE(AN$7," ","")&amp;";")))),"—",IF(_xlfn.MAXIFS(Acuses!$C$5:$C$3004,Acuses!$A$5:$A$3004,$A80,Acuses!$B$5:$B$3004,AN$4)&lt;AN$5,"Pendiente",IF(AN$8=0,"OK",IF(EDATE(_xlfn.MAXIFS(Acuses!$D$5:$D$3004,Acuses!$A$5:$A$3004,$A80,Acuses!$B$5:$B$3004,AN$4,Acuses!$C$5:$C$3004,AN$5),AN$8)&lt;Resumen!$C$4,"Caducado",IF(EDATE(_xlfn.MAXIFS(Acuses!$D$5:$D$3004,Acuses!$A$5:$A$3004,$A80,Acuses!$B$5:$B$3004,AN$4,Acuses!$C$5:$C$3004,AN$5),AN$8)&lt;Resumen!$C$4+30,"Caduca pronto","OK"))))))</f>
        <v/>
      </c>
      <c r="AO80" s="26" t="str">
        <f aca="false">IF(OR($A80="",AO$4=""),"",IF(NOT(OR(AO$6="Toda la plantilla",ISNUMBER(SEARCH(";"&amp;SUBSTITUTE($C80," ","")&amp;";",";"&amp;SUBSTITUTE(AO$7," ","")&amp;";")))),"—",IF(_xlfn.MAXIFS(Acuses!$C$5:$C$3004,Acuses!$A$5:$A$3004,$A80,Acuses!$B$5:$B$3004,AO$4)&lt;AO$5,"Pendiente",IF(AO$8=0,"OK",IF(EDATE(_xlfn.MAXIFS(Acuses!$D$5:$D$3004,Acuses!$A$5:$A$3004,$A80,Acuses!$B$5:$B$3004,AO$4,Acuses!$C$5:$C$3004,AO$5),AO$8)&lt;Resumen!$C$4,"Caducado",IF(EDATE(_xlfn.MAXIFS(Acuses!$D$5:$D$3004,Acuses!$A$5:$A$3004,$A80,Acuses!$B$5:$B$3004,AO$4,Acuses!$C$5:$C$3004,AO$5),AO$8)&lt;Resumen!$C$4+30,"Caduca pronto","OK"))))))</f>
        <v/>
      </c>
      <c r="AP80" s="26" t="str">
        <f aca="false">IF(OR($A80="",AP$4=""),"",IF(NOT(OR(AP$6="Toda la plantilla",ISNUMBER(SEARCH(";"&amp;SUBSTITUTE($C80," ","")&amp;";",";"&amp;SUBSTITUTE(AP$7," ","")&amp;";")))),"—",IF(_xlfn.MAXIFS(Acuses!$C$5:$C$3004,Acuses!$A$5:$A$3004,$A80,Acuses!$B$5:$B$3004,AP$4)&lt;AP$5,"Pendiente",IF(AP$8=0,"OK",IF(EDATE(_xlfn.MAXIFS(Acuses!$D$5:$D$3004,Acuses!$A$5:$A$3004,$A80,Acuses!$B$5:$B$3004,AP$4,Acuses!$C$5:$C$3004,AP$5),AP$8)&lt;Resumen!$C$4,"Caducado",IF(EDATE(_xlfn.MAXIFS(Acuses!$D$5:$D$3004,Acuses!$A$5:$A$3004,$A80,Acuses!$B$5:$B$3004,AP$4,Acuses!$C$5:$C$3004,AP$5),AP$8)&lt;Resumen!$C$4+30,"Caduca pronto","OK"))))))</f>
        <v/>
      </c>
      <c r="AQ80" s="26" t="str">
        <f aca="false">IF(OR($A80="",AQ$4=""),"",IF(NOT(OR(AQ$6="Toda la plantilla",ISNUMBER(SEARCH(";"&amp;SUBSTITUTE($C80," ","")&amp;";",";"&amp;SUBSTITUTE(AQ$7," ","")&amp;";")))),"—",IF(_xlfn.MAXIFS(Acuses!$C$5:$C$3004,Acuses!$A$5:$A$3004,$A80,Acuses!$B$5:$B$3004,AQ$4)&lt;AQ$5,"Pendiente",IF(AQ$8=0,"OK",IF(EDATE(_xlfn.MAXIFS(Acuses!$D$5:$D$3004,Acuses!$A$5:$A$3004,$A80,Acuses!$B$5:$B$3004,AQ$4,Acuses!$C$5:$C$3004,AQ$5),AQ$8)&lt;Resumen!$C$4,"Caducado",IF(EDATE(_xlfn.MAXIFS(Acuses!$D$5:$D$3004,Acuses!$A$5:$A$3004,$A80,Acuses!$B$5:$B$3004,AQ$4,Acuses!$C$5:$C$3004,AQ$5),AQ$8)&lt;Resumen!$C$4+30,"Caduca pronto","OK"))))))</f>
        <v/>
      </c>
    </row>
    <row r="81" customFormat="false" ht="15" hidden="false" customHeight="false" outlineLevel="0" collapsed="false">
      <c r="A81" s="25" t="str">
        <f aca="false">IF(AND(Trabajadores!$A$76&lt;&gt;"",Trabajadores!$G$76&lt;&gt;"No"),Trabajadores!$A$76,"")</f>
        <v/>
      </c>
      <c r="B81" s="25" t="str">
        <f aca="false">IF($A81="","",Trabajadores!$B$76)</f>
        <v/>
      </c>
      <c r="C81" s="25" t="str">
        <f aca="false">IF($A81="","",Trabajadores!$C$76)</f>
        <v/>
      </c>
      <c r="D81" s="26" t="str">
        <f aca="false">IF(OR($A81="",D$4=""),"",IF(NOT(OR(D$6="Toda la plantilla",ISNUMBER(SEARCH(";"&amp;SUBSTITUTE($C81," ","")&amp;";",";"&amp;SUBSTITUTE(D$7," ","")&amp;";")))),"—",IF(_xlfn.MAXIFS(Acuses!$C$5:$C$3004,Acuses!$A$5:$A$3004,$A81,Acuses!$B$5:$B$3004,D$4)&lt;D$5,"Pendiente",IF(D$8=0,"OK",IF(EDATE(_xlfn.MAXIFS(Acuses!$D$5:$D$3004,Acuses!$A$5:$A$3004,$A81,Acuses!$B$5:$B$3004,D$4,Acuses!$C$5:$C$3004,D$5),D$8)&lt;Resumen!$C$4,"Caducado",IF(EDATE(_xlfn.MAXIFS(Acuses!$D$5:$D$3004,Acuses!$A$5:$A$3004,$A81,Acuses!$B$5:$B$3004,D$4,Acuses!$C$5:$C$3004,D$5),D$8)&lt;Resumen!$C$4+30,"Caduca pronto","OK"))))))</f>
        <v/>
      </c>
      <c r="E81" s="26" t="str">
        <f aca="false">IF(OR($A81="",E$4=""),"",IF(NOT(OR(E$6="Toda la plantilla",ISNUMBER(SEARCH(";"&amp;SUBSTITUTE($C81," ","")&amp;";",";"&amp;SUBSTITUTE(E$7," ","")&amp;";")))),"—",IF(_xlfn.MAXIFS(Acuses!$C$5:$C$3004,Acuses!$A$5:$A$3004,$A81,Acuses!$B$5:$B$3004,E$4)&lt;E$5,"Pendiente",IF(E$8=0,"OK",IF(EDATE(_xlfn.MAXIFS(Acuses!$D$5:$D$3004,Acuses!$A$5:$A$3004,$A81,Acuses!$B$5:$B$3004,E$4,Acuses!$C$5:$C$3004,E$5),E$8)&lt;Resumen!$C$4,"Caducado",IF(EDATE(_xlfn.MAXIFS(Acuses!$D$5:$D$3004,Acuses!$A$5:$A$3004,$A81,Acuses!$B$5:$B$3004,E$4,Acuses!$C$5:$C$3004,E$5),E$8)&lt;Resumen!$C$4+30,"Caduca pronto","OK"))))))</f>
        <v/>
      </c>
      <c r="F81" s="26" t="str">
        <f aca="false">IF(OR($A81="",F$4=""),"",IF(NOT(OR(F$6="Toda la plantilla",ISNUMBER(SEARCH(";"&amp;SUBSTITUTE($C81," ","")&amp;";",";"&amp;SUBSTITUTE(F$7," ","")&amp;";")))),"—",IF(_xlfn.MAXIFS(Acuses!$C$5:$C$3004,Acuses!$A$5:$A$3004,$A81,Acuses!$B$5:$B$3004,F$4)&lt;F$5,"Pendiente",IF(F$8=0,"OK",IF(EDATE(_xlfn.MAXIFS(Acuses!$D$5:$D$3004,Acuses!$A$5:$A$3004,$A81,Acuses!$B$5:$B$3004,F$4,Acuses!$C$5:$C$3004,F$5),F$8)&lt;Resumen!$C$4,"Caducado",IF(EDATE(_xlfn.MAXIFS(Acuses!$D$5:$D$3004,Acuses!$A$5:$A$3004,$A81,Acuses!$B$5:$B$3004,F$4,Acuses!$C$5:$C$3004,F$5),F$8)&lt;Resumen!$C$4+30,"Caduca pronto","OK"))))))</f>
        <v/>
      </c>
      <c r="G81" s="26" t="str">
        <f aca="false">IF(OR($A81="",G$4=""),"",IF(NOT(OR(G$6="Toda la plantilla",ISNUMBER(SEARCH(";"&amp;SUBSTITUTE($C81," ","")&amp;";",";"&amp;SUBSTITUTE(G$7," ","")&amp;";")))),"—",IF(_xlfn.MAXIFS(Acuses!$C$5:$C$3004,Acuses!$A$5:$A$3004,$A81,Acuses!$B$5:$B$3004,G$4)&lt;G$5,"Pendiente",IF(G$8=0,"OK",IF(EDATE(_xlfn.MAXIFS(Acuses!$D$5:$D$3004,Acuses!$A$5:$A$3004,$A81,Acuses!$B$5:$B$3004,G$4,Acuses!$C$5:$C$3004,G$5),G$8)&lt;Resumen!$C$4,"Caducado",IF(EDATE(_xlfn.MAXIFS(Acuses!$D$5:$D$3004,Acuses!$A$5:$A$3004,$A81,Acuses!$B$5:$B$3004,G$4,Acuses!$C$5:$C$3004,G$5),G$8)&lt;Resumen!$C$4+30,"Caduca pronto","OK"))))))</f>
        <v/>
      </c>
      <c r="H81" s="26" t="str">
        <f aca="false">IF(OR($A81="",H$4=""),"",IF(NOT(OR(H$6="Toda la plantilla",ISNUMBER(SEARCH(";"&amp;SUBSTITUTE($C81," ","")&amp;";",";"&amp;SUBSTITUTE(H$7," ","")&amp;";")))),"—",IF(_xlfn.MAXIFS(Acuses!$C$5:$C$3004,Acuses!$A$5:$A$3004,$A81,Acuses!$B$5:$B$3004,H$4)&lt;H$5,"Pendiente",IF(H$8=0,"OK",IF(EDATE(_xlfn.MAXIFS(Acuses!$D$5:$D$3004,Acuses!$A$5:$A$3004,$A81,Acuses!$B$5:$B$3004,H$4,Acuses!$C$5:$C$3004,H$5),H$8)&lt;Resumen!$C$4,"Caducado",IF(EDATE(_xlfn.MAXIFS(Acuses!$D$5:$D$3004,Acuses!$A$5:$A$3004,$A81,Acuses!$B$5:$B$3004,H$4,Acuses!$C$5:$C$3004,H$5),H$8)&lt;Resumen!$C$4+30,"Caduca pronto","OK"))))))</f>
        <v/>
      </c>
      <c r="I81" s="26" t="str">
        <f aca="false">IF(OR($A81="",I$4=""),"",IF(NOT(OR(I$6="Toda la plantilla",ISNUMBER(SEARCH(";"&amp;SUBSTITUTE($C81," ","")&amp;";",";"&amp;SUBSTITUTE(I$7," ","")&amp;";")))),"—",IF(_xlfn.MAXIFS(Acuses!$C$5:$C$3004,Acuses!$A$5:$A$3004,$A81,Acuses!$B$5:$B$3004,I$4)&lt;I$5,"Pendiente",IF(I$8=0,"OK",IF(EDATE(_xlfn.MAXIFS(Acuses!$D$5:$D$3004,Acuses!$A$5:$A$3004,$A81,Acuses!$B$5:$B$3004,I$4,Acuses!$C$5:$C$3004,I$5),I$8)&lt;Resumen!$C$4,"Caducado",IF(EDATE(_xlfn.MAXIFS(Acuses!$D$5:$D$3004,Acuses!$A$5:$A$3004,$A81,Acuses!$B$5:$B$3004,I$4,Acuses!$C$5:$C$3004,I$5),I$8)&lt;Resumen!$C$4+30,"Caduca pronto","OK"))))))</f>
        <v/>
      </c>
      <c r="J81" s="26" t="str">
        <f aca="false">IF(OR($A81="",J$4=""),"",IF(NOT(OR(J$6="Toda la plantilla",ISNUMBER(SEARCH(";"&amp;SUBSTITUTE($C81," ","")&amp;";",";"&amp;SUBSTITUTE(J$7," ","")&amp;";")))),"—",IF(_xlfn.MAXIFS(Acuses!$C$5:$C$3004,Acuses!$A$5:$A$3004,$A81,Acuses!$B$5:$B$3004,J$4)&lt;J$5,"Pendiente",IF(J$8=0,"OK",IF(EDATE(_xlfn.MAXIFS(Acuses!$D$5:$D$3004,Acuses!$A$5:$A$3004,$A81,Acuses!$B$5:$B$3004,J$4,Acuses!$C$5:$C$3004,J$5),J$8)&lt;Resumen!$C$4,"Caducado",IF(EDATE(_xlfn.MAXIFS(Acuses!$D$5:$D$3004,Acuses!$A$5:$A$3004,$A81,Acuses!$B$5:$B$3004,J$4,Acuses!$C$5:$C$3004,J$5),J$8)&lt;Resumen!$C$4+30,"Caduca pronto","OK"))))))</f>
        <v/>
      </c>
      <c r="K81" s="26" t="str">
        <f aca="false">IF(OR($A81="",K$4=""),"",IF(NOT(OR(K$6="Toda la plantilla",ISNUMBER(SEARCH(";"&amp;SUBSTITUTE($C81," ","")&amp;";",";"&amp;SUBSTITUTE(K$7," ","")&amp;";")))),"—",IF(_xlfn.MAXIFS(Acuses!$C$5:$C$3004,Acuses!$A$5:$A$3004,$A81,Acuses!$B$5:$B$3004,K$4)&lt;K$5,"Pendiente",IF(K$8=0,"OK",IF(EDATE(_xlfn.MAXIFS(Acuses!$D$5:$D$3004,Acuses!$A$5:$A$3004,$A81,Acuses!$B$5:$B$3004,K$4,Acuses!$C$5:$C$3004,K$5),K$8)&lt;Resumen!$C$4,"Caducado",IF(EDATE(_xlfn.MAXIFS(Acuses!$D$5:$D$3004,Acuses!$A$5:$A$3004,$A81,Acuses!$B$5:$B$3004,K$4,Acuses!$C$5:$C$3004,K$5),K$8)&lt;Resumen!$C$4+30,"Caduca pronto","OK"))))))</f>
        <v/>
      </c>
      <c r="L81" s="26" t="str">
        <f aca="false">IF(OR($A81="",L$4=""),"",IF(NOT(OR(L$6="Toda la plantilla",ISNUMBER(SEARCH(";"&amp;SUBSTITUTE($C81," ","")&amp;";",";"&amp;SUBSTITUTE(L$7," ","")&amp;";")))),"—",IF(_xlfn.MAXIFS(Acuses!$C$5:$C$3004,Acuses!$A$5:$A$3004,$A81,Acuses!$B$5:$B$3004,L$4)&lt;L$5,"Pendiente",IF(L$8=0,"OK",IF(EDATE(_xlfn.MAXIFS(Acuses!$D$5:$D$3004,Acuses!$A$5:$A$3004,$A81,Acuses!$B$5:$B$3004,L$4,Acuses!$C$5:$C$3004,L$5),L$8)&lt;Resumen!$C$4,"Caducado",IF(EDATE(_xlfn.MAXIFS(Acuses!$D$5:$D$3004,Acuses!$A$5:$A$3004,$A81,Acuses!$B$5:$B$3004,L$4,Acuses!$C$5:$C$3004,L$5),L$8)&lt;Resumen!$C$4+30,"Caduca pronto","OK"))))))</f>
        <v/>
      </c>
      <c r="M81" s="26" t="str">
        <f aca="false">IF(OR($A81="",M$4=""),"",IF(NOT(OR(M$6="Toda la plantilla",ISNUMBER(SEARCH(";"&amp;SUBSTITUTE($C81," ","")&amp;";",";"&amp;SUBSTITUTE(M$7," ","")&amp;";")))),"—",IF(_xlfn.MAXIFS(Acuses!$C$5:$C$3004,Acuses!$A$5:$A$3004,$A81,Acuses!$B$5:$B$3004,M$4)&lt;M$5,"Pendiente",IF(M$8=0,"OK",IF(EDATE(_xlfn.MAXIFS(Acuses!$D$5:$D$3004,Acuses!$A$5:$A$3004,$A81,Acuses!$B$5:$B$3004,M$4,Acuses!$C$5:$C$3004,M$5),M$8)&lt;Resumen!$C$4,"Caducado",IF(EDATE(_xlfn.MAXIFS(Acuses!$D$5:$D$3004,Acuses!$A$5:$A$3004,$A81,Acuses!$B$5:$B$3004,M$4,Acuses!$C$5:$C$3004,M$5),M$8)&lt;Resumen!$C$4+30,"Caduca pronto","OK"))))))</f>
        <v/>
      </c>
      <c r="N81" s="26" t="str">
        <f aca="false">IF(OR($A81="",N$4=""),"",IF(NOT(OR(N$6="Toda la plantilla",ISNUMBER(SEARCH(";"&amp;SUBSTITUTE($C81," ","")&amp;";",";"&amp;SUBSTITUTE(N$7," ","")&amp;";")))),"—",IF(_xlfn.MAXIFS(Acuses!$C$5:$C$3004,Acuses!$A$5:$A$3004,$A81,Acuses!$B$5:$B$3004,N$4)&lt;N$5,"Pendiente",IF(N$8=0,"OK",IF(EDATE(_xlfn.MAXIFS(Acuses!$D$5:$D$3004,Acuses!$A$5:$A$3004,$A81,Acuses!$B$5:$B$3004,N$4,Acuses!$C$5:$C$3004,N$5),N$8)&lt;Resumen!$C$4,"Caducado",IF(EDATE(_xlfn.MAXIFS(Acuses!$D$5:$D$3004,Acuses!$A$5:$A$3004,$A81,Acuses!$B$5:$B$3004,N$4,Acuses!$C$5:$C$3004,N$5),N$8)&lt;Resumen!$C$4+30,"Caduca pronto","OK"))))))</f>
        <v/>
      </c>
      <c r="O81" s="26" t="str">
        <f aca="false">IF(OR($A81="",O$4=""),"",IF(NOT(OR(O$6="Toda la plantilla",ISNUMBER(SEARCH(";"&amp;SUBSTITUTE($C81," ","")&amp;";",";"&amp;SUBSTITUTE(O$7," ","")&amp;";")))),"—",IF(_xlfn.MAXIFS(Acuses!$C$5:$C$3004,Acuses!$A$5:$A$3004,$A81,Acuses!$B$5:$B$3004,O$4)&lt;O$5,"Pendiente",IF(O$8=0,"OK",IF(EDATE(_xlfn.MAXIFS(Acuses!$D$5:$D$3004,Acuses!$A$5:$A$3004,$A81,Acuses!$B$5:$B$3004,O$4,Acuses!$C$5:$C$3004,O$5),O$8)&lt;Resumen!$C$4,"Caducado",IF(EDATE(_xlfn.MAXIFS(Acuses!$D$5:$D$3004,Acuses!$A$5:$A$3004,$A81,Acuses!$B$5:$B$3004,O$4,Acuses!$C$5:$C$3004,O$5),O$8)&lt;Resumen!$C$4+30,"Caduca pronto","OK"))))))</f>
        <v/>
      </c>
      <c r="P81" s="26" t="str">
        <f aca="false">IF(OR($A81="",P$4=""),"",IF(NOT(OR(P$6="Toda la plantilla",ISNUMBER(SEARCH(";"&amp;SUBSTITUTE($C81," ","")&amp;";",";"&amp;SUBSTITUTE(P$7," ","")&amp;";")))),"—",IF(_xlfn.MAXIFS(Acuses!$C$5:$C$3004,Acuses!$A$5:$A$3004,$A81,Acuses!$B$5:$B$3004,P$4)&lt;P$5,"Pendiente",IF(P$8=0,"OK",IF(EDATE(_xlfn.MAXIFS(Acuses!$D$5:$D$3004,Acuses!$A$5:$A$3004,$A81,Acuses!$B$5:$B$3004,P$4,Acuses!$C$5:$C$3004,P$5),P$8)&lt;Resumen!$C$4,"Caducado",IF(EDATE(_xlfn.MAXIFS(Acuses!$D$5:$D$3004,Acuses!$A$5:$A$3004,$A81,Acuses!$B$5:$B$3004,P$4,Acuses!$C$5:$C$3004,P$5),P$8)&lt;Resumen!$C$4+30,"Caduca pronto","OK"))))))</f>
        <v/>
      </c>
      <c r="Q81" s="26" t="str">
        <f aca="false">IF(OR($A81="",Q$4=""),"",IF(NOT(OR(Q$6="Toda la plantilla",ISNUMBER(SEARCH(";"&amp;SUBSTITUTE($C81," ","")&amp;";",";"&amp;SUBSTITUTE(Q$7," ","")&amp;";")))),"—",IF(_xlfn.MAXIFS(Acuses!$C$5:$C$3004,Acuses!$A$5:$A$3004,$A81,Acuses!$B$5:$B$3004,Q$4)&lt;Q$5,"Pendiente",IF(Q$8=0,"OK",IF(EDATE(_xlfn.MAXIFS(Acuses!$D$5:$D$3004,Acuses!$A$5:$A$3004,$A81,Acuses!$B$5:$B$3004,Q$4,Acuses!$C$5:$C$3004,Q$5),Q$8)&lt;Resumen!$C$4,"Caducado",IF(EDATE(_xlfn.MAXIFS(Acuses!$D$5:$D$3004,Acuses!$A$5:$A$3004,$A81,Acuses!$B$5:$B$3004,Q$4,Acuses!$C$5:$C$3004,Q$5),Q$8)&lt;Resumen!$C$4+30,"Caduca pronto","OK"))))))</f>
        <v/>
      </c>
      <c r="R81" s="26" t="str">
        <f aca="false">IF(OR($A81="",R$4=""),"",IF(NOT(OR(R$6="Toda la plantilla",ISNUMBER(SEARCH(";"&amp;SUBSTITUTE($C81," ","")&amp;";",";"&amp;SUBSTITUTE(R$7," ","")&amp;";")))),"—",IF(_xlfn.MAXIFS(Acuses!$C$5:$C$3004,Acuses!$A$5:$A$3004,$A81,Acuses!$B$5:$B$3004,R$4)&lt;R$5,"Pendiente",IF(R$8=0,"OK",IF(EDATE(_xlfn.MAXIFS(Acuses!$D$5:$D$3004,Acuses!$A$5:$A$3004,$A81,Acuses!$B$5:$B$3004,R$4,Acuses!$C$5:$C$3004,R$5),R$8)&lt;Resumen!$C$4,"Caducado",IF(EDATE(_xlfn.MAXIFS(Acuses!$D$5:$D$3004,Acuses!$A$5:$A$3004,$A81,Acuses!$B$5:$B$3004,R$4,Acuses!$C$5:$C$3004,R$5),R$8)&lt;Resumen!$C$4+30,"Caduca pronto","OK"))))))</f>
        <v/>
      </c>
      <c r="S81" s="26" t="str">
        <f aca="false">IF(OR($A81="",S$4=""),"",IF(NOT(OR(S$6="Toda la plantilla",ISNUMBER(SEARCH(";"&amp;SUBSTITUTE($C81," ","")&amp;";",";"&amp;SUBSTITUTE(S$7," ","")&amp;";")))),"—",IF(_xlfn.MAXIFS(Acuses!$C$5:$C$3004,Acuses!$A$5:$A$3004,$A81,Acuses!$B$5:$B$3004,S$4)&lt;S$5,"Pendiente",IF(S$8=0,"OK",IF(EDATE(_xlfn.MAXIFS(Acuses!$D$5:$D$3004,Acuses!$A$5:$A$3004,$A81,Acuses!$B$5:$B$3004,S$4,Acuses!$C$5:$C$3004,S$5),S$8)&lt;Resumen!$C$4,"Caducado",IF(EDATE(_xlfn.MAXIFS(Acuses!$D$5:$D$3004,Acuses!$A$5:$A$3004,$A81,Acuses!$B$5:$B$3004,S$4,Acuses!$C$5:$C$3004,S$5),S$8)&lt;Resumen!$C$4+30,"Caduca pronto","OK"))))))</f>
        <v/>
      </c>
      <c r="T81" s="26" t="str">
        <f aca="false">IF(OR($A81="",T$4=""),"",IF(NOT(OR(T$6="Toda la plantilla",ISNUMBER(SEARCH(";"&amp;SUBSTITUTE($C81," ","")&amp;";",";"&amp;SUBSTITUTE(T$7," ","")&amp;";")))),"—",IF(_xlfn.MAXIFS(Acuses!$C$5:$C$3004,Acuses!$A$5:$A$3004,$A81,Acuses!$B$5:$B$3004,T$4)&lt;T$5,"Pendiente",IF(T$8=0,"OK",IF(EDATE(_xlfn.MAXIFS(Acuses!$D$5:$D$3004,Acuses!$A$5:$A$3004,$A81,Acuses!$B$5:$B$3004,T$4,Acuses!$C$5:$C$3004,T$5),T$8)&lt;Resumen!$C$4,"Caducado",IF(EDATE(_xlfn.MAXIFS(Acuses!$D$5:$D$3004,Acuses!$A$5:$A$3004,$A81,Acuses!$B$5:$B$3004,T$4,Acuses!$C$5:$C$3004,T$5),T$8)&lt;Resumen!$C$4+30,"Caduca pronto","OK"))))))</f>
        <v/>
      </c>
      <c r="U81" s="26" t="str">
        <f aca="false">IF(OR($A81="",U$4=""),"",IF(NOT(OR(U$6="Toda la plantilla",ISNUMBER(SEARCH(";"&amp;SUBSTITUTE($C81," ","")&amp;";",";"&amp;SUBSTITUTE(U$7," ","")&amp;";")))),"—",IF(_xlfn.MAXIFS(Acuses!$C$5:$C$3004,Acuses!$A$5:$A$3004,$A81,Acuses!$B$5:$B$3004,U$4)&lt;U$5,"Pendiente",IF(U$8=0,"OK",IF(EDATE(_xlfn.MAXIFS(Acuses!$D$5:$D$3004,Acuses!$A$5:$A$3004,$A81,Acuses!$B$5:$B$3004,U$4,Acuses!$C$5:$C$3004,U$5),U$8)&lt;Resumen!$C$4,"Caducado",IF(EDATE(_xlfn.MAXIFS(Acuses!$D$5:$D$3004,Acuses!$A$5:$A$3004,$A81,Acuses!$B$5:$B$3004,U$4,Acuses!$C$5:$C$3004,U$5),U$8)&lt;Resumen!$C$4+30,"Caduca pronto","OK"))))))</f>
        <v/>
      </c>
      <c r="V81" s="26" t="str">
        <f aca="false">IF(OR($A81="",V$4=""),"",IF(NOT(OR(V$6="Toda la plantilla",ISNUMBER(SEARCH(";"&amp;SUBSTITUTE($C81," ","")&amp;";",";"&amp;SUBSTITUTE(V$7," ","")&amp;";")))),"—",IF(_xlfn.MAXIFS(Acuses!$C$5:$C$3004,Acuses!$A$5:$A$3004,$A81,Acuses!$B$5:$B$3004,V$4)&lt;V$5,"Pendiente",IF(V$8=0,"OK",IF(EDATE(_xlfn.MAXIFS(Acuses!$D$5:$D$3004,Acuses!$A$5:$A$3004,$A81,Acuses!$B$5:$B$3004,V$4,Acuses!$C$5:$C$3004,V$5),V$8)&lt;Resumen!$C$4,"Caducado",IF(EDATE(_xlfn.MAXIFS(Acuses!$D$5:$D$3004,Acuses!$A$5:$A$3004,$A81,Acuses!$B$5:$B$3004,V$4,Acuses!$C$5:$C$3004,V$5),V$8)&lt;Resumen!$C$4+30,"Caduca pronto","OK"))))))</f>
        <v/>
      </c>
      <c r="W81" s="26" t="str">
        <f aca="false">IF(OR($A81="",W$4=""),"",IF(NOT(OR(W$6="Toda la plantilla",ISNUMBER(SEARCH(";"&amp;SUBSTITUTE($C81," ","")&amp;";",";"&amp;SUBSTITUTE(W$7," ","")&amp;";")))),"—",IF(_xlfn.MAXIFS(Acuses!$C$5:$C$3004,Acuses!$A$5:$A$3004,$A81,Acuses!$B$5:$B$3004,W$4)&lt;W$5,"Pendiente",IF(W$8=0,"OK",IF(EDATE(_xlfn.MAXIFS(Acuses!$D$5:$D$3004,Acuses!$A$5:$A$3004,$A81,Acuses!$B$5:$B$3004,W$4,Acuses!$C$5:$C$3004,W$5),W$8)&lt;Resumen!$C$4,"Caducado",IF(EDATE(_xlfn.MAXIFS(Acuses!$D$5:$D$3004,Acuses!$A$5:$A$3004,$A81,Acuses!$B$5:$B$3004,W$4,Acuses!$C$5:$C$3004,W$5),W$8)&lt;Resumen!$C$4+30,"Caduca pronto","OK"))))))</f>
        <v/>
      </c>
      <c r="X81" s="26" t="str">
        <f aca="false">IF(OR($A81="",X$4=""),"",IF(NOT(OR(X$6="Toda la plantilla",ISNUMBER(SEARCH(";"&amp;SUBSTITUTE($C81," ","")&amp;";",";"&amp;SUBSTITUTE(X$7," ","")&amp;";")))),"—",IF(_xlfn.MAXIFS(Acuses!$C$5:$C$3004,Acuses!$A$5:$A$3004,$A81,Acuses!$B$5:$B$3004,X$4)&lt;X$5,"Pendiente",IF(X$8=0,"OK",IF(EDATE(_xlfn.MAXIFS(Acuses!$D$5:$D$3004,Acuses!$A$5:$A$3004,$A81,Acuses!$B$5:$B$3004,X$4,Acuses!$C$5:$C$3004,X$5),X$8)&lt;Resumen!$C$4,"Caducado",IF(EDATE(_xlfn.MAXIFS(Acuses!$D$5:$D$3004,Acuses!$A$5:$A$3004,$A81,Acuses!$B$5:$B$3004,X$4,Acuses!$C$5:$C$3004,X$5),X$8)&lt;Resumen!$C$4+30,"Caduca pronto","OK"))))))</f>
        <v/>
      </c>
      <c r="Y81" s="26" t="str">
        <f aca="false">IF(OR($A81="",Y$4=""),"",IF(NOT(OR(Y$6="Toda la plantilla",ISNUMBER(SEARCH(";"&amp;SUBSTITUTE($C81," ","")&amp;";",";"&amp;SUBSTITUTE(Y$7," ","")&amp;";")))),"—",IF(_xlfn.MAXIFS(Acuses!$C$5:$C$3004,Acuses!$A$5:$A$3004,$A81,Acuses!$B$5:$B$3004,Y$4)&lt;Y$5,"Pendiente",IF(Y$8=0,"OK",IF(EDATE(_xlfn.MAXIFS(Acuses!$D$5:$D$3004,Acuses!$A$5:$A$3004,$A81,Acuses!$B$5:$B$3004,Y$4,Acuses!$C$5:$C$3004,Y$5),Y$8)&lt;Resumen!$C$4,"Caducado",IF(EDATE(_xlfn.MAXIFS(Acuses!$D$5:$D$3004,Acuses!$A$5:$A$3004,$A81,Acuses!$B$5:$B$3004,Y$4,Acuses!$C$5:$C$3004,Y$5),Y$8)&lt;Resumen!$C$4+30,"Caduca pronto","OK"))))))</f>
        <v/>
      </c>
      <c r="Z81" s="26" t="str">
        <f aca="false">IF(OR($A81="",Z$4=""),"",IF(NOT(OR(Z$6="Toda la plantilla",ISNUMBER(SEARCH(";"&amp;SUBSTITUTE($C81," ","")&amp;";",";"&amp;SUBSTITUTE(Z$7," ","")&amp;";")))),"—",IF(_xlfn.MAXIFS(Acuses!$C$5:$C$3004,Acuses!$A$5:$A$3004,$A81,Acuses!$B$5:$B$3004,Z$4)&lt;Z$5,"Pendiente",IF(Z$8=0,"OK",IF(EDATE(_xlfn.MAXIFS(Acuses!$D$5:$D$3004,Acuses!$A$5:$A$3004,$A81,Acuses!$B$5:$B$3004,Z$4,Acuses!$C$5:$C$3004,Z$5),Z$8)&lt;Resumen!$C$4,"Caducado",IF(EDATE(_xlfn.MAXIFS(Acuses!$D$5:$D$3004,Acuses!$A$5:$A$3004,$A81,Acuses!$B$5:$B$3004,Z$4,Acuses!$C$5:$C$3004,Z$5),Z$8)&lt;Resumen!$C$4+30,"Caduca pronto","OK"))))))</f>
        <v/>
      </c>
      <c r="AA81" s="26" t="str">
        <f aca="false">IF(OR($A81="",AA$4=""),"",IF(NOT(OR(AA$6="Toda la plantilla",ISNUMBER(SEARCH(";"&amp;SUBSTITUTE($C81," ","")&amp;";",";"&amp;SUBSTITUTE(AA$7," ","")&amp;";")))),"—",IF(_xlfn.MAXIFS(Acuses!$C$5:$C$3004,Acuses!$A$5:$A$3004,$A81,Acuses!$B$5:$B$3004,AA$4)&lt;AA$5,"Pendiente",IF(AA$8=0,"OK",IF(EDATE(_xlfn.MAXIFS(Acuses!$D$5:$D$3004,Acuses!$A$5:$A$3004,$A81,Acuses!$B$5:$B$3004,AA$4,Acuses!$C$5:$C$3004,AA$5),AA$8)&lt;Resumen!$C$4,"Caducado",IF(EDATE(_xlfn.MAXIFS(Acuses!$D$5:$D$3004,Acuses!$A$5:$A$3004,$A81,Acuses!$B$5:$B$3004,AA$4,Acuses!$C$5:$C$3004,AA$5),AA$8)&lt;Resumen!$C$4+30,"Caduca pronto","OK"))))))</f>
        <v/>
      </c>
      <c r="AB81" s="26" t="str">
        <f aca="false">IF(OR($A81="",AB$4=""),"",IF(NOT(OR(AB$6="Toda la plantilla",ISNUMBER(SEARCH(";"&amp;SUBSTITUTE($C81," ","")&amp;";",";"&amp;SUBSTITUTE(AB$7," ","")&amp;";")))),"—",IF(_xlfn.MAXIFS(Acuses!$C$5:$C$3004,Acuses!$A$5:$A$3004,$A81,Acuses!$B$5:$B$3004,AB$4)&lt;AB$5,"Pendiente",IF(AB$8=0,"OK",IF(EDATE(_xlfn.MAXIFS(Acuses!$D$5:$D$3004,Acuses!$A$5:$A$3004,$A81,Acuses!$B$5:$B$3004,AB$4,Acuses!$C$5:$C$3004,AB$5),AB$8)&lt;Resumen!$C$4,"Caducado",IF(EDATE(_xlfn.MAXIFS(Acuses!$D$5:$D$3004,Acuses!$A$5:$A$3004,$A81,Acuses!$B$5:$B$3004,AB$4,Acuses!$C$5:$C$3004,AB$5),AB$8)&lt;Resumen!$C$4+30,"Caduca pronto","OK"))))))</f>
        <v/>
      </c>
      <c r="AC81" s="26" t="str">
        <f aca="false">IF(OR($A81="",AC$4=""),"",IF(NOT(OR(AC$6="Toda la plantilla",ISNUMBER(SEARCH(";"&amp;SUBSTITUTE($C81," ","")&amp;";",";"&amp;SUBSTITUTE(AC$7," ","")&amp;";")))),"—",IF(_xlfn.MAXIFS(Acuses!$C$5:$C$3004,Acuses!$A$5:$A$3004,$A81,Acuses!$B$5:$B$3004,AC$4)&lt;AC$5,"Pendiente",IF(AC$8=0,"OK",IF(EDATE(_xlfn.MAXIFS(Acuses!$D$5:$D$3004,Acuses!$A$5:$A$3004,$A81,Acuses!$B$5:$B$3004,AC$4,Acuses!$C$5:$C$3004,AC$5),AC$8)&lt;Resumen!$C$4,"Caducado",IF(EDATE(_xlfn.MAXIFS(Acuses!$D$5:$D$3004,Acuses!$A$5:$A$3004,$A81,Acuses!$B$5:$B$3004,AC$4,Acuses!$C$5:$C$3004,AC$5),AC$8)&lt;Resumen!$C$4+30,"Caduca pronto","OK"))))))</f>
        <v/>
      </c>
      <c r="AD81" s="26" t="str">
        <f aca="false">IF(OR($A81="",AD$4=""),"",IF(NOT(OR(AD$6="Toda la plantilla",ISNUMBER(SEARCH(";"&amp;SUBSTITUTE($C81," ","")&amp;";",";"&amp;SUBSTITUTE(AD$7," ","")&amp;";")))),"—",IF(_xlfn.MAXIFS(Acuses!$C$5:$C$3004,Acuses!$A$5:$A$3004,$A81,Acuses!$B$5:$B$3004,AD$4)&lt;AD$5,"Pendiente",IF(AD$8=0,"OK",IF(EDATE(_xlfn.MAXIFS(Acuses!$D$5:$D$3004,Acuses!$A$5:$A$3004,$A81,Acuses!$B$5:$B$3004,AD$4,Acuses!$C$5:$C$3004,AD$5),AD$8)&lt;Resumen!$C$4,"Caducado",IF(EDATE(_xlfn.MAXIFS(Acuses!$D$5:$D$3004,Acuses!$A$5:$A$3004,$A81,Acuses!$B$5:$B$3004,AD$4,Acuses!$C$5:$C$3004,AD$5),AD$8)&lt;Resumen!$C$4+30,"Caduca pronto","OK"))))))</f>
        <v/>
      </c>
      <c r="AE81" s="26" t="str">
        <f aca="false">IF(OR($A81="",AE$4=""),"",IF(NOT(OR(AE$6="Toda la plantilla",ISNUMBER(SEARCH(";"&amp;SUBSTITUTE($C81," ","")&amp;";",";"&amp;SUBSTITUTE(AE$7," ","")&amp;";")))),"—",IF(_xlfn.MAXIFS(Acuses!$C$5:$C$3004,Acuses!$A$5:$A$3004,$A81,Acuses!$B$5:$B$3004,AE$4)&lt;AE$5,"Pendiente",IF(AE$8=0,"OK",IF(EDATE(_xlfn.MAXIFS(Acuses!$D$5:$D$3004,Acuses!$A$5:$A$3004,$A81,Acuses!$B$5:$B$3004,AE$4,Acuses!$C$5:$C$3004,AE$5),AE$8)&lt;Resumen!$C$4,"Caducado",IF(EDATE(_xlfn.MAXIFS(Acuses!$D$5:$D$3004,Acuses!$A$5:$A$3004,$A81,Acuses!$B$5:$B$3004,AE$4,Acuses!$C$5:$C$3004,AE$5),AE$8)&lt;Resumen!$C$4+30,"Caduca pronto","OK"))))))</f>
        <v/>
      </c>
      <c r="AF81" s="26" t="str">
        <f aca="false">IF(OR($A81="",AF$4=""),"",IF(NOT(OR(AF$6="Toda la plantilla",ISNUMBER(SEARCH(";"&amp;SUBSTITUTE($C81," ","")&amp;";",";"&amp;SUBSTITUTE(AF$7," ","")&amp;";")))),"—",IF(_xlfn.MAXIFS(Acuses!$C$5:$C$3004,Acuses!$A$5:$A$3004,$A81,Acuses!$B$5:$B$3004,AF$4)&lt;AF$5,"Pendiente",IF(AF$8=0,"OK",IF(EDATE(_xlfn.MAXIFS(Acuses!$D$5:$D$3004,Acuses!$A$5:$A$3004,$A81,Acuses!$B$5:$B$3004,AF$4,Acuses!$C$5:$C$3004,AF$5),AF$8)&lt;Resumen!$C$4,"Caducado",IF(EDATE(_xlfn.MAXIFS(Acuses!$D$5:$D$3004,Acuses!$A$5:$A$3004,$A81,Acuses!$B$5:$B$3004,AF$4,Acuses!$C$5:$C$3004,AF$5),AF$8)&lt;Resumen!$C$4+30,"Caduca pronto","OK"))))))</f>
        <v/>
      </c>
      <c r="AG81" s="26" t="str">
        <f aca="false">IF(OR($A81="",AG$4=""),"",IF(NOT(OR(AG$6="Toda la plantilla",ISNUMBER(SEARCH(";"&amp;SUBSTITUTE($C81," ","")&amp;";",";"&amp;SUBSTITUTE(AG$7," ","")&amp;";")))),"—",IF(_xlfn.MAXIFS(Acuses!$C$5:$C$3004,Acuses!$A$5:$A$3004,$A81,Acuses!$B$5:$B$3004,AG$4)&lt;AG$5,"Pendiente",IF(AG$8=0,"OK",IF(EDATE(_xlfn.MAXIFS(Acuses!$D$5:$D$3004,Acuses!$A$5:$A$3004,$A81,Acuses!$B$5:$B$3004,AG$4,Acuses!$C$5:$C$3004,AG$5),AG$8)&lt;Resumen!$C$4,"Caducado",IF(EDATE(_xlfn.MAXIFS(Acuses!$D$5:$D$3004,Acuses!$A$5:$A$3004,$A81,Acuses!$B$5:$B$3004,AG$4,Acuses!$C$5:$C$3004,AG$5),AG$8)&lt;Resumen!$C$4+30,"Caduca pronto","OK"))))))</f>
        <v/>
      </c>
      <c r="AH81" s="26" t="str">
        <f aca="false">IF(OR($A81="",AH$4=""),"",IF(NOT(OR(AH$6="Toda la plantilla",ISNUMBER(SEARCH(";"&amp;SUBSTITUTE($C81," ","")&amp;";",";"&amp;SUBSTITUTE(AH$7," ","")&amp;";")))),"—",IF(_xlfn.MAXIFS(Acuses!$C$5:$C$3004,Acuses!$A$5:$A$3004,$A81,Acuses!$B$5:$B$3004,AH$4)&lt;AH$5,"Pendiente",IF(AH$8=0,"OK",IF(EDATE(_xlfn.MAXIFS(Acuses!$D$5:$D$3004,Acuses!$A$5:$A$3004,$A81,Acuses!$B$5:$B$3004,AH$4,Acuses!$C$5:$C$3004,AH$5),AH$8)&lt;Resumen!$C$4,"Caducado",IF(EDATE(_xlfn.MAXIFS(Acuses!$D$5:$D$3004,Acuses!$A$5:$A$3004,$A81,Acuses!$B$5:$B$3004,AH$4,Acuses!$C$5:$C$3004,AH$5),AH$8)&lt;Resumen!$C$4+30,"Caduca pronto","OK"))))))</f>
        <v/>
      </c>
      <c r="AI81" s="26" t="str">
        <f aca="false">IF(OR($A81="",AI$4=""),"",IF(NOT(OR(AI$6="Toda la plantilla",ISNUMBER(SEARCH(";"&amp;SUBSTITUTE($C81," ","")&amp;";",";"&amp;SUBSTITUTE(AI$7," ","")&amp;";")))),"—",IF(_xlfn.MAXIFS(Acuses!$C$5:$C$3004,Acuses!$A$5:$A$3004,$A81,Acuses!$B$5:$B$3004,AI$4)&lt;AI$5,"Pendiente",IF(AI$8=0,"OK",IF(EDATE(_xlfn.MAXIFS(Acuses!$D$5:$D$3004,Acuses!$A$5:$A$3004,$A81,Acuses!$B$5:$B$3004,AI$4,Acuses!$C$5:$C$3004,AI$5),AI$8)&lt;Resumen!$C$4,"Caducado",IF(EDATE(_xlfn.MAXIFS(Acuses!$D$5:$D$3004,Acuses!$A$5:$A$3004,$A81,Acuses!$B$5:$B$3004,AI$4,Acuses!$C$5:$C$3004,AI$5),AI$8)&lt;Resumen!$C$4+30,"Caduca pronto","OK"))))))</f>
        <v/>
      </c>
      <c r="AJ81" s="26" t="str">
        <f aca="false">IF(OR($A81="",AJ$4=""),"",IF(NOT(OR(AJ$6="Toda la plantilla",ISNUMBER(SEARCH(";"&amp;SUBSTITUTE($C81," ","")&amp;";",";"&amp;SUBSTITUTE(AJ$7," ","")&amp;";")))),"—",IF(_xlfn.MAXIFS(Acuses!$C$5:$C$3004,Acuses!$A$5:$A$3004,$A81,Acuses!$B$5:$B$3004,AJ$4)&lt;AJ$5,"Pendiente",IF(AJ$8=0,"OK",IF(EDATE(_xlfn.MAXIFS(Acuses!$D$5:$D$3004,Acuses!$A$5:$A$3004,$A81,Acuses!$B$5:$B$3004,AJ$4,Acuses!$C$5:$C$3004,AJ$5),AJ$8)&lt;Resumen!$C$4,"Caducado",IF(EDATE(_xlfn.MAXIFS(Acuses!$D$5:$D$3004,Acuses!$A$5:$A$3004,$A81,Acuses!$B$5:$B$3004,AJ$4,Acuses!$C$5:$C$3004,AJ$5),AJ$8)&lt;Resumen!$C$4+30,"Caduca pronto","OK"))))))</f>
        <v/>
      </c>
      <c r="AK81" s="26" t="str">
        <f aca="false">IF(OR($A81="",AK$4=""),"",IF(NOT(OR(AK$6="Toda la plantilla",ISNUMBER(SEARCH(";"&amp;SUBSTITUTE($C81," ","")&amp;";",";"&amp;SUBSTITUTE(AK$7," ","")&amp;";")))),"—",IF(_xlfn.MAXIFS(Acuses!$C$5:$C$3004,Acuses!$A$5:$A$3004,$A81,Acuses!$B$5:$B$3004,AK$4)&lt;AK$5,"Pendiente",IF(AK$8=0,"OK",IF(EDATE(_xlfn.MAXIFS(Acuses!$D$5:$D$3004,Acuses!$A$5:$A$3004,$A81,Acuses!$B$5:$B$3004,AK$4,Acuses!$C$5:$C$3004,AK$5),AK$8)&lt;Resumen!$C$4,"Caducado",IF(EDATE(_xlfn.MAXIFS(Acuses!$D$5:$D$3004,Acuses!$A$5:$A$3004,$A81,Acuses!$B$5:$B$3004,AK$4,Acuses!$C$5:$C$3004,AK$5),AK$8)&lt;Resumen!$C$4+30,"Caduca pronto","OK"))))))</f>
        <v/>
      </c>
      <c r="AL81" s="26" t="str">
        <f aca="false">IF(OR($A81="",AL$4=""),"",IF(NOT(OR(AL$6="Toda la plantilla",ISNUMBER(SEARCH(";"&amp;SUBSTITUTE($C81," ","")&amp;";",";"&amp;SUBSTITUTE(AL$7," ","")&amp;";")))),"—",IF(_xlfn.MAXIFS(Acuses!$C$5:$C$3004,Acuses!$A$5:$A$3004,$A81,Acuses!$B$5:$B$3004,AL$4)&lt;AL$5,"Pendiente",IF(AL$8=0,"OK",IF(EDATE(_xlfn.MAXIFS(Acuses!$D$5:$D$3004,Acuses!$A$5:$A$3004,$A81,Acuses!$B$5:$B$3004,AL$4,Acuses!$C$5:$C$3004,AL$5),AL$8)&lt;Resumen!$C$4,"Caducado",IF(EDATE(_xlfn.MAXIFS(Acuses!$D$5:$D$3004,Acuses!$A$5:$A$3004,$A81,Acuses!$B$5:$B$3004,AL$4,Acuses!$C$5:$C$3004,AL$5),AL$8)&lt;Resumen!$C$4+30,"Caduca pronto","OK"))))))</f>
        <v/>
      </c>
      <c r="AM81" s="26" t="str">
        <f aca="false">IF(OR($A81="",AM$4=""),"",IF(NOT(OR(AM$6="Toda la plantilla",ISNUMBER(SEARCH(";"&amp;SUBSTITUTE($C81," ","")&amp;";",";"&amp;SUBSTITUTE(AM$7," ","")&amp;";")))),"—",IF(_xlfn.MAXIFS(Acuses!$C$5:$C$3004,Acuses!$A$5:$A$3004,$A81,Acuses!$B$5:$B$3004,AM$4)&lt;AM$5,"Pendiente",IF(AM$8=0,"OK",IF(EDATE(_xlfn.MAXIFS(Acuses!$D$5:$D$3004,Acuses!$A$5:$A$3004,$A81,Acuses!$B$5:$B$3004,AM$4,Acuses!$C$5:$C$3004,AM$5),AM$8)&lt;Resumen!$C$4,"Caducado",IF(EDATE(_xlfn.MAXIFS(Acuses!$D$5:$D$3004,Acuses!$A$5:$A$3004,$A81,Acuses!$B$5:$B$3004,AM$4,Acuses!$C$5:$C$3004,AM$5),AM$8)&lt;Resumen!$C$4+30,"Caduca pronto","OK"))))))</f>
        <v/>
      </c>
      <c r="AN81" s="26" t="str">
        <f aca="false">IF(OR($A81="",AN$4=""),"",IF(NOT(OR(AN$6="Toda la plantilla",ISNUMBER(SEARCH(";"&amp;SUBSTITUTE($C81," ","")&amp;";",";"&amp;SUBSTITUTE(AN$7," ","")&amp;";")))),"—",IF(_xlfn.MAXIFS(Acuses!$C$5:$C$3004,Acuses!$A$5:$A$3004,$A81,Acuses!$B$5:$B$3004,AN$4)&lt;AN$5,"Pendiente",IF(AN$8=0,"OK",IF(EDATE(_xlfn.MAXIFS(Acuses!$D$5:$D$3004,Acuses!$A$5:$A$3004,$A81,Acuses!$B$5:$B$3004,AN$4,Acuses!$C$5:$C$3004,AN$5),AN$8)&lt;Resumen!$C$4,"Caducado",IF(EDATE(_xlfn.MAXIFS(Acuses!$D$5:$D$3004,Acuses!$A$5:$A$3004,$A81,Acuses!$B$5:$B$3004,AN$4,Acuses!$C$5:$C$3004,AN$5),AN$8)&lt;Resumen!$C$4+30,"Caduca pronto","OK"))))))</f>
        <v/>
      </c>
      <c r="AO81" s="26" t="str">
        <f aca="false">IF(OR($A81="",AO$4=""),"",IF(NOT(OR(AO$6="Toda la plantilla",ISNUMBER(SEARCH(";"&amp;SUBSTITUTE($C81," ","")&amp;";",";"&amp;SUBSTITUTE(AO$7," ","")&amp;";")))),"—",IF(_xlfn.MAXIFS(Acuses!$C$5:$C$3004,Acuses!$A$5:$A$3004,$A81,Acuses!$B$5:$B$3004,AO$4)&lt;AO$5,"Pendiente",IF(AO$8=0,"OK",IF(EDATE(_xlfn.MAXIFS(Acuses!$D$5:$D$3004,Acuses!$A$5:$A$3004,$A81,Acuses!$B$5:$B$3004,AO$4,Acuses!$C$5:$C$3004,AO$5),AO$8)&lt;Resumen!$C$4,"Caducado",IF(EDATE(_xlfn.MAXIFS(Acuses!$D$5:$D$3004,Acuses!$A$5:$A$3004,$A81,Acuses!$B$5:$B$3004,AO$4,Acuses!$C$5:$C$3004,AO$5),AO$8)&lt;Resumen!$C$4+30,"Caduca pronto","OK"))))))</f>
        <v/>
      </c>
      <c r="AP81" s="26" t="str">
        <f aca="false">IF(OR($A81="",AP$4=""),"",IF(NOT(OR(AP$6="Toda la plantilla",ISNUMBER(SEARCH(";"&amp;SUBSTITUTE($C81," ","")&amp;";",";"&amp;SUBSTITUTE(AP$7," ","")&amp;";")))),"—",IF(_xlfn.MAXIFS(Acuses!$C$5:$C$3004,Acuses!$A$5:$A$3004,$A81,Acuses!$B$5:$B$3004,AP$4)&lt;AP$5,"Pendiente",IF(AP$8=0,"OK",IF(EDATE(_xlfn.MAXIFS(Acuses!$D$5:$D$3004,Acuses!$A$5:$A$3004,$A81,Acuses!$B$5:$B$3004,AP$4,Acuses!$C$5:$C$3004,AP$5),AP$8)&lt;Resumen!$C$4,"Caducado",IF(EDATE(_xlfn.MAXIFS(Acuses!$D$5:$D$3004,Acuses!$A$5:$A$3004,$A81,Acuses!$B$5:$B$3004,AP$4,Acuses!$C$5:$C$3004,AP$5),AP$8)&lt;Resumen!$C$4+30,"Caduca pronto","OK"))))))</f>
        <v/>
      </c>
      <c r="AQ81" s="26" t="str">
        <f aca="false">IF(OR($A81="",AQ$4=""),"",IF(NOT(OR(AQ$6="Toda la plantilla",ISNUMBER(SEARCH(";"&amp;SUBSTITUTE($C81," ","")&amp;";",";"&amp;SUBSTITUTE(AQ$7," ","")&amp;";")))),"—",IF(_xlfn.MAXIFS(Acuses!$C$5:$C$3004,Acuses!$A$5:$A$3004,$A81,Acuses!$B$5:$B$3004,AQ$4)&lt;AQ$5,"Pendiente",IF(AQ$8=0,"OK",IF(EDATE(_xlfn.MAXIFS(Acuses!$D$5:$D$3004,Acuses!$A$5:$A$3004,$A81,Acuses!$B$5:$B$3004,AQ$4,Acuses!$C$5:$C$3004,AQ$5),AQ$8)&lt;Resumen!$C$4,"Caducado",IF(EDATE(_xlfn.MAXIFS(Acuses!$D$5:$D$3004,Acuses!$A$5:$A$3004,$A81,Acuses!$B$5:$B$3004,AQ$4,Acuses!$C$5:$C$3004,AQ$5),AQ$8)&lt;Resumen!$C$4+30,"Caduca pronto","OK"))))))</f>
        <v/>
      </c>
    </row>
    <row r="82" customFormat="false" ht="15" hidden="false" customHeight="false" outlineLevel="0" collapsed="false">
      <c r="A82" s="25" t="str">
        <f aca="false">IF(AND(Trabajadores!$A$77&lt;&gt;"",Trabajadores!$G$77&lt;&gt;"No"),Trabajadores!$A$77,"")</f>
        <v/>
      </c>
      <c r="B82" s="25" t="str">
        <f aca="false">IF($A82="","",Trabajadores!$B$77)</f>
        <v/>
      </c>
      <c r="C82" s="25" t="str">
        <f aca="false">IF($A82="","",Trabajadores!$C$77)</f>
        <v/>
      </c>
      <c r="D82" s="26" t="str">
        <f aca="false">IF(OR($A82="",D$4=""),"",IF(NOT(OR(D$6="Toda la plantilla",ISNUMBER(SEARCH(";"&amp;SUBSTITUTE($C82," ","")&amp;";",";"&amp;SUBSTITUTE(D$7," ","")&amp;";")))),"—",IF(_xlfn.MAXIFS(Acuses!$C$5:$C$3004,Acuses!$A$5:$A$3004,$A82,Acuses!$B$5:$B$3004,D$4)&lt;D$5,"Pendiente",IF(D$8=0,"OK",IF(EDATE(_xlfn.MAXIFS(Acuses!$D$5:$D$3004,Acuses!$A$5:$A$3004,$A82,Acuses!$B$5:$B$3004,D$4,Acuses!$C$5:$C$3004,D$5),D$8)&lt;Resumen!$C$4,"Caducado",IF(EDATE(_xlfn.MAXIFS(Acuses!$D$5:$D$3004,Acuses!$A$5:$A$3004,$A82,Acuses!$B$5:$B$3004,D$4,Acuses!$C$5:$C$3004,D$5),D$8)&lt;Resumen!$C$4+30,"Caduca pronto","OK"))))))</f>
        <v/>
      </c>
      <c r="E82" s="26" t="str">
        <f aca="false">IF(OR($A82="",E$4=""),"",IF(NOT(OR(E$6="Toda la plantilla",ISNUMBER(SEARCH(";"&amp;SUBSTITUTE($C82," ","")&amp;";",";"&amp;SUBSTITUTE(E$7," ","")&amp;";")))),"—",IF(_xlfn.MAXIFS(Acuses!$C$5:$C$3004,Acuses!$A$5:$A$3004,$A82,Acuses!$B$5:$B$3004,E$4)&lt;E$5,"Pendiente",IF(E$8=0,"OK",IF(EDATE(_xlfn.MAXIFS(Acuses!$D$5:$D$3004,Acuses!$A$5:$A$3004,$A82,Acuses!$B$5:$B$3004,E$4,Acuses!$C$5:$C$3004,E$5),E$8)&lt;Resumen!$C$4,"Caducado",IF(EDATE(_xlfn.MAXIFS(Acuses!$D$5:$D$3004,Acuses!$A$5:$A$3004,$A82,Acuses!$B$5:$B$3004,E$4,Acuses!$C$5:$C$3004,E$5),E$8)&lt;Resumen!$C$4+30,"Caduca pronto","OK"))))))</f>
        <v/>
      </c>
      <c r="F82" s="26" t="str">
        <f aca="false">IF(OR($A82="",F$4=""),"",IF(NOT(OR(F$6="Toda la plantilla",ISNUMBER(SEARCH(";"&amp;SUBSTITUTE($C82," ","")&amp;";",";"&amp;SUBSTITUTE(F$7," ","")&amp;";")))),"—",IF(_xlfn.MAXIFS(Acuses!$C$5:$C$3004,Acuses!$A$5:$A$3004,$A82,Acuses!$B$5:$B$3004,F$4)&lt;F$5,"Pendiente",IF(F$8=0,"OK",IF(EDATE(_xlfn.MAXIFS(Acuses!$D$5:$D$3004,Acuses!$A$5:$A$3004,$A82,Acuses!$B$5:$B$3004,F$4,Acuses!$C$5:$C$3004,F$5),F$8)&lt;Resumen!$C$4,"Caducado",IF(EDATE(_xlfn.MAXIFS(Acuses!$D$5:$D$3004,Acuses!$A$5:$A$3004,$A82,Acuses!$B$5:$B$3004,F$4,Acuses!$C$5:$C$3004,F$5),F$8)&lt;Resumen!$C$4+30,"Caduca pronto","OK"))))))</f>
        <v/>
      </c>
      <c r="G82" s="26" t="str">
        <f aca="false">IF(OR($A82="",G$4=""),"",IF(NOT(OR(G$6="Toda la plantilla",ISNUMBER(SEARCH(";"&amp;SUBSTITUTE($C82," ","")&amp;";",";"&amp;SUBSTITUTE(G$7," ","")&amp;";")))),"—",IF(_xlfn.MAXIFS(Acuses!$C$5:$C$3004,Acuses!$A$5:$A$3004,$A82,Acuses!$B$5:$B$3004,G$4)&lt;G$5,"Pendiente",IF(G$8=0,"OK",IF(EDATE(_xlfn.MAXIFS(Acuses!$D$5:$D$3004,Acuses!$A$5:$A$3004,$A82,Acuses!$B$5:$B$3004,G$4,Acuses!$C$5:$C$3004,G$5),G$8)&lt;Resumen!$C$4,"Caducado",IF(EDATE(_xlfn.MAXIFS(Acuses!$D$5:$D$3004,Acuses!$A$5:$A$3004,$A82,Acuses!$B$5:$B$3004,G$4,Acuses!$C$5:$C$3004,G$5),G$8)&lt;Resumen!$C$4+30,"Caduca pronto","OK"))))))</f>
        <v/>
      </c>
      <c r="H82" s="26" t="str">
        <f aca="false">IF(OR($A82="",H$4=""),"",IF(NOT(OR(H$6="Toda la plantilla",ISNUMBER(SEARCH(";"&amp;SUBSTITUTE($C82," ","")&amp;";",";"&amp;SUBSTITUTE(H$7," ","")&amp;";")))),"—",IF(_xlfn.MAXIFS(Acuses!$C$5:$C$3004,Acuses!$A$5:$A$3004,$A82,Acuses!$B$5:$B$3004,H$4)&lt;H$5,"Pendiente",IF(H$8=0,"OK",IF(EDATE(_xlfn.MAXIFS(Acuses!$D$5:$D$3004,Acuses!$A$5:$A$3004,$A82,Acuses!$B$5:$B$3004,H$4,Acuses!$C$5:$C$3004,H$5),H$8)&lt;Resumen!$C$4,"Caducado",IF(EDATE(_xlfn.MAXIFS(Acuses!$D$5:$D$3004,Acuses!$A$5:$A$3004,$A82,Acuses!$B$5:$B$3004,H$4,Acuses!$C$5:$C$3004,H$5),H$8)&lt;Resumen!$C$4+30,"Caduca pronto","OK"))))))</f>
        <v/>
      </c>
      <c r="I82" s="26" t="str">
        <f aca="false">IF(OR($A82="",I$4=""),"",IF(NOT(OR(I$6="Toda la plantilla",ISNUMBER(SEARCH(";"&amp;SUBSTITUTE($C82," ","")&amp;";",";"&amp;SUBSTITUTE(I$7," ","")&amp;";")))),"—",IF(_xlfn.MAXIFS(Acuses!$C$5:$C$3004,Acuses!$A$5:$A$3004,$A82,Acuses!$B$5:$B$3004,I$4)&lt;I$5,"Pendiente",IF(I$8=0,"OK",IF(EDATE(_xlfn.MAXIFS(Acuses!$D$5:$D$3004,Acuses!$A$5:$A$3004,$A82,Acuses!$B$5:$B$3004,I$4,Acuses!$C$5:$C$3004,I$5),I$8)&lt;Resumen!$C$4,"Caducado",IF(EDATE(_xlfn.MAXIFS(Acuses!$D$5:$D$3004,Acuses!$A$5:$A$3004,$A82,Acuses!$B$5:$B$3004,I$4,Acuses!$C$5:$C$3004,I$5),I$8)&lt;Resumen!$C$4+30,"Caduca pronto","OK"))))))</f>
        <v/>
      </c>
      <c r="J82" s="26" t="str">
        <f aca="false">IF(OR($A82="",J$4=""),"",IF(NOT(OR(J$6="Toda la plantilla",ISNUMBER(SEARCH(";"&amp;SUBSTITUTE($C82," ","")&amp;";",";"&amp;SUBSTITUTE(J$7," ","")&amp;";")))),"—",IF(_xlfn.MAXIFS(Acuses!$C$5:$C$3004,Acuses!$A$5:$A$3004,$A82,Acuses!$B$5:$B$3004,J$4)&lt;J$5,"Pendiente",IF(J$8=0,"OK",IF(EDATE(_xlfn.MAXIFS(Acuses!$D$5:$D$3004,Acuses!$A$5:$A$3004,$A82,Acuses!$B$5:$B$3004,J$4,Acuses!$C$5:$C$3004,J$5),J$8)&lt;Resumen!$C$4,"Caducado",IF(EDATE(_xlfn.MAXIFS(Acuses!$D$5:$D$3004,Acuses!$A$5:$A$3004,$A82,Acuses!$B$5:$B$3004,J$4,Acuses!$C$5:$C$3004,J$5),J$8)&lt;Resumen!$C$4+30,"Caduca pronto","OK"))))))</f>
        <v/>
      </c>
      <c r="K82" s="26" t="str">
        <f aca="false">IF(OR($A82="",K$4=""),"",IF(NOT(OR(K$6="Toda la plantilla",ISNUMBER(SEARCH(";"&amp;SUBSTITUTE($C82," ","")&amp;";",";"&amp;SUBSTITUTE(K$7," ","")&amp;";")))),"—",IF(_xlfn.MAXIFS(Acuses!$C$5:$C$3004,Acuses!$A$5:$A$3004,$A82,Acuses!$B$5:$B$3004,K$4)&lt;K$5,"Pendiente",IF(K$8=0,"OK",IF(EDATE(_xlfn.MAXIFS(Acuses!$D$5:$D$3004,Acuses!$A$5:$A$3004,$A82,Acuses!$B$5:$B$3004,K$4,Acuses!$C$5:$C$3004,K$5),K$8)&lt;Resumen!$C$4,"Caducado",IF(EDATE(_xlfn.MAXIFS(Acuses!$D$5:$D$3004,Acuses!$A$5:$A$3004,$A82,Acuses!$B$5:$B$3004,K$4,Acuses!$C$5:$C$3004,K$5),K$8)&lt;Resumen!$C$4+30,"Caduca pronto","OK"))))))</f>
        <v/>
      </c>
      <c r="L82" s="26" t="str">
        <f aca="false">IF(OR($A82="",L$4=""),"",IF(NOT(OR(L$6="Toda la plantilla",ISNUMBER(SEARCH(";"&amp;SUBSTITUTE($C82," ","")&amp;";",";"&amp;SUBSTITUTE(L$7," ","")&amp;";")))),"—",IF(_xlfn.MAXIFS(Acuses!$C$5:$C$3004,Acuses!$A$5:$A$3004,$A82,Acuses!$B$5:$B$3004,L$4)&lt;L$5,"Pendiente",IF(L$8=0,"OK",IF(EDATE(_xlfn.MAXIFS(Acuses!$D$5:$D$3004,Acuses!$A$5:$A$3004,$A82,Acuses!$B$5:$B$3004,L$4,Acuses!$C$5:$C$3004,L$5),L$8)&lt;Resumen!$C$4,"Caducado",IF(EDATE(_xlfn.MAXIFS(Acuses!$D$5:$D$3004,Acuses!$A$5:$A$3004,$A82,Acuses!$B$5:$B$3004,L$4,Acuses!$C$5:$C$3004,L$5),L$8)&lt;Resumen!$C$4+30,"Caduca pronto","OK"))))))</f>
        <v/>
      </c>
      <c r="M82" s="26" t="str">
        <f aca="false">IF(OR($A82="",M$4=""),"",IF(NOT(OR(M$6="Toda la plantilla",ISNUMBER(SEARCH(";"&amp;SUBSTITUTE($C82," ","")&amp;";",";"&amp;SUBSTITUTE(M$7," ","")&amp;";")))),"—",IF(_xlfn.MAXIFS(Acuses!$C$5:$C$3004,Acuses!$A$5:$A$3004,$A82,Acuses!$B$5:$B$3004,M$4)&lt;M$5,"Pendiente",IF(M$8=0,"OK",IF(EDATE(_xlfn.MAXIFS(Acuses!$D$5:$D$3004,Acuses!$A$5:$A$3004,$A82,Acuses!$B$5:$B$3004,M$4,Acuses!$C$5:$C$3004,M$5),M$8)&lt;Resumen!$C$4,"Caducado",IF(EDATE(_xlfn.MAXIFS(Acuses!$D$5:$D$3004,Acuses!$A$5:$A$3004,$A82,Acuses!$B$5:$B$3004,M$4,Acuses!$C$5:$C$3004,M$5),M$8)&lt;Resumen!$C$4+30,"Caduca pronto","OK"))))))</f>
        <v/>
      </c>
      <c r="N82" s="26" t="str">
        <f aca="false">IF(OR($A82="",N$4=""),"",IF(NOT(OR(N$6="Toda la plantilla",ISNUMBER(SEARCH(";"&amp;SUBSTITUTE($C82," ","")&amp;";",";"&amp;SUBSTITUTE(N$7," ","")&amp;";")))),"—",IF(_xlfn.MAXIFS(Acuses!$C$5:$C$3004,Acuses!$A$5:$A$3004,$A82,Acuses!$B$5:$B$3004,N$4)&lt;N$5,"Pendiente",IF(N$8=0,"OK",IF(EDATE(_xlfn.MAXIFS(Acuses!$D$5:$D$3004,Acuses!$A$5:$A$3004,$A82,Acuses!$B$5:$B$3004,N$4,Acuses!$C$5:$C$3004,N$5),N$8)&lt;Resumen!$C$4,"Caducado",IF(EDATE(_xlfn.MAXIFS(Acuses!$D$5:$D$3004,Acuses!$A$5:$A$3004,$A82,Acuses!$B$5:$B$3004,N$4,Acuses!$C$5:$C$3004,N$5),N$8)&lt;Resumen!$C$4+30,"Caduca pronto","OK"))))))</f>
        <v/>
      </c>
      <c r="O82" s="26" t="str">
        <f aca="false">IF(OR($A82="",O$4=""),"",IF(NOT(OR(O$6="Toda la plantilla",ISNUMBER(SEARCH(";"&amp;SUBSTITUTE($C82," ","")&amp;";",";"&amp;SUBSTITUTE(O$7," ","")&amp;";")))),"—",IF(_xlfn.MAXIFS(Acuses!$C$5:$C$3004,Acuses!$A$5:$A$3004,$A82,Acuses!$B$5:$B$3004,O$4)&lt;O$5,"Pendiente",IF(O$8=0,"OK",IF(EDATE(_xlfn.MAXIFS(Acuses!$D$5:$D$3004,Acuses!$A$5:$A$3004,$A82,Acuses!$B$5:$B$3004,O$4,Acuses!$C$5:$C$3004,O$5),O$8)&lt;Resumen!$C$4,"Caducado",IF(EDATE(_xlfn.MAXIFS(Acuses!$D$5:$D$3004,Acuses!$A$5:$A$3004,$A82,Acuses!$B$5:$B$3004,O$4,Acuses!$C$5:$C$3004,O$5),O$8)&lt;Resumen!$C$4+30,"Caduca pronto","OK"))))))</f>
        <v/>
      </c>
      <c r="P82" s="26" t="str">
        <f aca="false">IF(OR($A82="",P$4=""),"",IF(NOT(OR(P$6="Toda la plantilla",ISNUMBER(SEARCH(";"&amp;SUBSTITUTE($C82," ","")&amp;";",";"&amp;SUBSTITUTE(P$7," ","")&amp;";")))),"—",IF(_xlfn.MAXIFS(Acuses!$C$5:$C$3004,Acuses!$A$5:$A$3004,$A82,Acuses!$B$5:$B$3004,P$4)&lt;P$5,"Pendiente",IF(P$8=0,"OK",IF(EDATE(_xlfn.MAXIFS(Acuses!$D$5:$D$3004,Acuses!$A$5:$A$3004,$A82,Acuses!$B$5:$B$3004,P$4,Acuses!$C$5:$C$3004,P$5),P$8)&lt;Resumen!$C$4,"Caducado",IF(EDATE(_xlfn.MAXIFS(Acuses!$D$5:$D$3004,Acuses!$A$5:$A$3004,$A82,Acuses!$B$5:$B$3004,P$4,Acuses!$C$5:$C$3004,P$5),P$8)&lt;Resumen!$C$4+30,"Caduca pronto","OK"))))))</f>
        <v/>
      </c>
      <c r="Q82" s="26" t="str">
        <f aca="false">IF(OR($A82="",Q$4=""),"",IF(NOT(OR(Q$6="Toda la plantilla",ISNUMBER(SEARCH(";"&amp;SUBSTITUTE($C82," ","")&amp;";",";"&amp;SUBSTITUTE(Q$7," ","")&amp;";")))),"—",IF(_xlfn.MAXIFS(Acuses!$C$5:$C$3004,Acuses!$A$5:$A$3004,$A82,Acuses!$B$5:$B$3004,Q$4)&lt;Q$5,"Pendiente",IF(Q$8=0,"OK",IF(EDATE(_xlfn.MAXIFS(Acuses!$D$5:$D$3004,Acuses!$A$5:$A$3004,$A82,Acuses!$B$5:$B$3004,Q$4,Acuses!$C$5:$C$3004,Q$5),Q$8)&lt;Resumen!$C$4,"Caducado",IF(EDATE(_xlfn.MAXIFS(Acuses!$D$5:$D$3004,Acuses!$A$5:$A$3004,$A82,Acuses!$B$5:$B$3004,Q$4,Acuses!$C$5:$C$3004,Q$5),Q$8)&lt;Resumen!$C$4+30,"Caduca pronto","OK"))))))</f>
        <v/>
      </c>
      <c r="R82" s="26" t="str">
        <f aca="false">IF(OR($A82="",R$4=""),"",IF(NOT(OR(R$6="Toda la plantilla",ISNUMBER(SEARCH(";"&amp;SUBSTITUTE($C82," ","")&amp;";",";"&amp;SUBSTITUTE(R$7," ","")&amp;";")))),"—",IF(_xlfn.MAXIFS(Acuses!$C$5:$C$3004,Acuses!$A$5:$A$3004,$A82,Acuses!$B$5:$B$3004,R$4)&lt;R$5,"Pendiente",IF(R$8=0,"OK",IF(EDATE(_xlfn.MAXIFS(Acuses!$D$5:$D$3004,Acuses!$A$5:$A$3004,$A82,Acuses!$B$5:$B$3004,R$4,Acuses!$C$5:$C$3004,R$5),R$8)&lt;Resumen!$C$4,"Caducado",IF(EDATE(_xlfn.MAXIFS(Acuses!$D$5:$D$3004,Acuses!$A$5:$A$3004,$A82,Acuses!$B$5:$B$3004,R$4,Acuses!$C$5:$C$3004,R$5),R$8)&lt;Resumen!$C$4+30,"Caduca pronto","OK"))))))</f>
        <v/>
      </c>
      <c r="S82" s="26" t="str">
        <f aca="false">IF(OR($A82="",S$4=""),"",IF(NOT(OR(S$6="Toda la plantilla",ISNUMBER(SEARCH(";"&amp;SUBSTITUTE($C82," ","")&amp;";",";"&amp;SUBSTITUTE(S$7," ","")&amp;";")))),"—",IF(_xlfn.MAXIFS(Acuses!$C$5:$C$3004,Acuses!$A$5:$A$3004,$A82,Acuses!$B$5:$B$3004,S$4)&lt;S$5,"Pendiente",IF(S$8=0,"OK",IF(EDATE(_xlfn.MAXIFS(Acuses!$D$5:$D$3004,Acuses!$A$5:$A$3004,$A82,Acuses!$B$5:$B$3004,S$4,Acuses!$C$5:$C$3004,S$5),S$8)&lt;Resumen!$C$4,"Caducado",IF(EDATE(_xlfn.MAXIFS(Acuses!$D$5:$D$3004,Acuses!$A$5:$A$3004,$A82,Acuses!$B$5:$B$3004,S$4,Acuses!$C$5:$C$3004,S$5),S$8)&lt;Resumen!$C$4+30,"Caduca pronto","OK"))))))</f>
        <v/>
      </c>
      <c r="T82" s="26" t="str">
        <f aca="false">IF(OR($A82="",T$4=""),"",IF(NOT(OR(T$6="Toda la plantilla",ISNUMBER(SEARCH(";"&amp;SUBSTITUTE($C82," ","")&amp;";",";"&amp;SUBSTITUTE(T$7," ","")&amp;";")))),"—",IF(_xlfn.MAXIFS(Acuses!$C$5:$C$3004,Acuses!$A$5:$A$3004,$A82,Acuses!$B$5:$B$3004,T$4)&lt;T$5,"Pendiente",IF(T$8=0,"OK",IF(EDATE(_xlfn.MAXIFS(Acuses!$D$5:$D$3004,Acuses!$A$5:$A$3004,$A82,Acuses!$B$5:$B$3004,T$4,Acuses!$C$5:$C$3004,T$5),T$8)&lt;Resumen!$C$4,"Caducado",IF(EDATE(_xlfn.MAXIFS(Acuses!$D$5:$D$3004,Acuses!$A$5:$A$3004,$A82,Acuses!$B$5:$B$3004,T$4,Acuses!$C$5:$C$3004,T$5),T$8)&lt;Resumen!$C$4+30,"Caduca pronto","OK"))))))</f>
        <v/>
      </c>
      <c r="U82" s="26" t="str">
        <f aca="false">IF(OR($A82="",U$4=""),"",IF(NOT(OR(U$6="Toda la plantilla",ISNUMBER(SEARCH(";"&amp;SUBSTITUTE($C82," ","")&amp;";",";"&amp;SUBSTITUTE(U$7," ","")&amp;";")))),"—",IF(_xlfn.MAXIFS(Acuses!$C$5:$C$3004,Acuses!$A$5:$A$3004,$A82,Acuses!$B$5:$B$3004,U$4)&lt;U$5,"Pendiente",IF(U$8=0,"OK",IF(EDATE(_xlfn.MAXIFS(Acuses!$D$5:$D$3004,Acuses!$A$5:$A$3004,$A82,Acuses!$B$5:$B$3004,U$4,Acuses!$C$5:$C$3004,U$5),U$8)&lt;Resumen!$C$4,"Caducado",IF(EDATE(_xlfn.MAXIFS(Acuses!$D$5:$D$3004,Acuses!$A$5:$A$3004,$A82,Acuses!$B$5:$B$3004,U$4,Acuses!$C$5:$C$3004,U$5),U$8)&lt;Resumen!$C$4+30,"Caduca pronto","OK"))))))</f>
        <v/>
      </c>
      <c r="V82" s="26" t="str">
        <f aca="false">IF(OR($A82="",V$4=""),"",IF(NOT(OR(V$6="Toda la plantilla",ISNUMBER(SEARCH(";"&amp;SUBSTITUTE($C82," ","")&amp;";",";"&amp;SUBSTITUTE(V$7," ","")&amp;";")))),"—",IF(_xlfn.MAXIFS(Acuses!$C$5:$C$3004,Acuses!$A$5:$A$3004,$A82,Acuses!$B$5:$B$3004,V$4)&lt;V$5,"Pendiente",IF(V$8=0,"OK",IF(EDATE(_xlfn.MAXIFS(Acuses!$D$5:$D$3004,Acuses!$A$5:$A$3004,$A82,Acuses!$B$5:$B$3004,V$4,Acuses!$C$5:$C$3004,V$5),V$8)&lt;Resumen!$C$4,"Caducado",IF(EDATE(_xlfn.MAXIFS(Acuses!$D$5:$D$3004,Acuses!$A$5:$A$3004,$A82,Acuses!$B$5:$B$3004,V$4,Acuses!$C$5:$C$3004,V$5),V$8)&lt;Resumen!$C$4+30,"Caduca pronto","OK"))))))</f>
        <v/>
      </c>
      <c r="W82" s="26" t="str">
        <f aca="false">IF(OR($A82="",W$4=""),"",IF(NOT(OR(W$6="Toda la plantilla",ISNUMBER(SEARCH(";"&amp;SUBSTITUTE($C82," ","")&amp;";",";"&amp;SUBSTITUTE(W$7," ","")&amp;";")))),"—",IF(_xlfn.MAXIFS(Acuses!$C$5:$C$3004,Acuses!$A$5:$A$3004,$A82,Acuses!$B$5:$B$3004,W$4)&lt;W$5,"Pendiente",IF(W$8=0,"OK",IF(EDATE(_xlfn.MAXIFS(Acuses!$D$5:$D$3004,Acuses!$A$5:$A$3004,$A82,Acuses!$B$5:$B$3004,W$4,Acuses!$C$5:$C$3004,W$5),W$8)&lt;Resumen!$C$4,"Caducado",IF(EDATE(_xlfn.MAXIFS(Acuses!$D$5:$D$3004,Acuses!$A$5:$A$3004,$A82,Acuses!$B$5:$B$3004,W$4,Acuses!$C$5:$C$3004,W$5),W$8)&lt;Resumen!$C$4+30,"Caduca pronto","OK"))))))</f>
        <v/>
      </c>
      <c r="X82" s="26" t="str">
        <f aca="false">IF(OR($A82="",X$4=""),"",IF(NOT(OR(X$6="Toda la plantilla",ISNUMBER(SEARCH(";"&amp;SUBSTITUTE($C82," ","")&amp;";",";"&amp;SUBSTITUTE(X$7," ","")&amp;";")))),"—",IF(_xlfn.MAXIFS(Acuses!$C$5:$C$3004,Acuses!$A$5:$A$3004,$A82,Acuses!$B$5:$B$3004,X$4)&lt;X$5,"Pendiente",IF(X$8=0,"OK",IF(EDATE(_xlfn.MAXIFS(Acuses!$D$5:$D$3004,Acuses!$A$5:$A$3004,$A82,Acuses!$B$5:$B$3004,X$4,Acuses!$C$5:$C$3004,X$5),X$8)&lt;Resumen!$C$4,"Caducado",IF(EDATE(_xlfn.MAXIFS(Acuses!$D$5:$D$3004,Acuses!$A$5:$A$3004,$A82,Acuses!$B$5:$B$3004,X$4,Acuses!$C$5:$C$3004,X$5),X$8)&lt;Resumen!$C$4+30,"Caduca pronto","OK"))))))</f>
        <v/>
      </c>
      <c r="Y82" s="26" t="str">
        <f aca="false">IF(OR($A82="",Y$4=""),"",IF(NOT(OR(Y$6="Toda la plantilla",ISNUMBER(SEARCH(";"&amp;SUBSTITUTE($C82," ","")&amp;";",";"&amp;SUBSTITUTE(Y$7," ","")&amp;";")))),"—",IF(_xlfn.MAXIFS(Acuses!$C$5:$C$3004,Acuses!$A$5:$A$3004,$A82,Acuses!$B$5:$B$3004,Y$4)&lt;Y$5,"Pendiente",IF(Y$8=0,"OK",IF(EDATE(_xlfn.MAXIFS(Acuses!$D$5:$D$3004,Acuses!$A$5:$A$3004,$A82,Acuses!$B$5:$B$3004,Y$4,Acuses!$C$5:$C$3004,Y$5),Y$8)&lt;Resumen!$C$4,"Caducado",IF(EDATE(_xlfn.MAXIFS(Acuses!$D$5:$D$3004,Acuses!$A$5:$A$3004,$A82,Acuses!$B$5:$B$3004,Y$4,Acuses!$C$5:$C$3004,Y$5),Y$8)&lt;Resumen!$C$4+30,"Caduca pronto","OK"))))))</f>
        <v/>
      </c>
      <c r="Z82" s="26" t="str">
        <f aca="false">IF(OR($A82="",Z$4=""),"",IF(NOT(OR(Z$6="Toda la plantilla",ISNUMBER(SEARCH(";"&amp;SUBSTITUTE($C82," ","")&amp;";",";"&amp;SUBSTITUTE(Z$7," ","")&amp;";")))),"—",IF(_xlfn.MAXIFS(Acuses!$C$5:$C$3004,Acuses!$A$5:$A$3004,$A82,Acuses!$B$5:$B$3004,Z$4)&lt;Z$5,"Pendiente",IF(Z$8=0,"OK",IF(EDATE(_xlfn.MAXIFS(Acuses!$D$5:$D$3004,Acuses!$A$5:$A$3004,$A82,Acuses!$B$5:$B$3004,Z$4,Acuses!$C$5:$C$3004,Z$5),Z$8)&lt;Resumen!$C$4,"Caducado",IF(EDATE(_xlfn.MAXIFS(Acuses!$D$5:$D$3004,Acuses!$A$5:$A$3004,$A82,Acuses!$B$5:$B$3004,Z$4,Acuses!$C$5:$C$3004,Z$5),Z$8)&lt;Resumen!$C$4+30,"Caduca pronto","OK"))))))</f>
        <v/>
      </c>
      <c r="AA82" s="26" t="str">
        <f aca="false">IF(OR($A82="",AA$4=""),"",IF(NOT(OR(AA$6="Toda la plantilla",ISNUMBER(SEARCH(";"&amp;SUBSTITUTE($C82," ","")&amp;";",";"&amp;SUBSTITUTE(AA$7," ","")&amp;";")))),"—",IF(_xlfn.MAXIFS(Acuses!$C$5:$C$3004,Acuses!$A$5:$A$3004,$A82,Acuses!$B$5:$B$3004,AA$4)&lt;AA$5,"Pendiente",IF(AA$8=0,"OK",IF(EDATE(_xlfn.MAXIFS(Acuses!$D$5:$D$3004,Acuses!$A$5:$A$3004,$A82,Acuses!$B$5:$B$3004,AA$4,Acuses!$C$5:$C$3004,AA$5),AA$8)&lt;Resumen!$C$4,"Caducado",IF(EDATE(_xlfn.MAXIFS(Acuses!$D$5:$D$3004,Acuses!$A$5:$A$3004,$A82,Acuses!$B$5:$B$3004,AA$4,Acuses!$C$5:$C$3004,AA$5),AA$8)&lt;Resumen!$C$4+30,"Caduca pronto","OK"))))))</f>
        <v/>
      </c>
      <c r="AB82" s="26" t="str">
        <f aca="false">IF(OR($A82="",AB$4=""),"",IF(NOT(OR(AB$6="Toda la plantilla",ISNUMBER(SEARCH(";"&amp;SUBSTITUTE($C82," ","")&amp;";",";"&amp;SUBSTITUTE(AB$7," ","")&amp;";")))),"—",IF(_xlfn.MAXIFS(Acuses!$C$5:$C$3004,Acuses!$A$5:$A$3004,$A82,Acuses!$B$5:$B$3004,AB$4)&lt;AB$5,"Pendiente",IF(AB$8=0,"OK",IF(EDATE(_xlfn.MAXIFS(Acuses!$D$5:$D$3004,Acuses!$A$5:$A$3004,$A82,Acuses!$B$5:$B$3004,AB$4,Acuses!$C$5:$C$3004,AB$5),AB$8)&lt;Resumen!$C$4,"Caducado",IF(EDATE(_xlfn.MAXIFS(Acuses!$D$5:$D$3004,Acuses!$A$5:$A$3004,$A82,Acuses!$B$5:$B$3004,AB$4,Acuses!$C$5:$C$3004,AB$5),AB$8)&lt;Resumen!$C$4+30,"Caduca pronto","OK"))))))</f>
        <v/>
      </c>
      <c r="AC82" s="26" t="str">
        <f aca="false">IF(OR($A82="",AC$4=""),"",IF(NOT(OR(AC$6="Toda la plantilla",ISNUMBER(SEARCH(";"&amp;SUBSTITUTE($C82," ","")&amp;";",";"&amp;SUBSTITUTE(AC$7," ","")&amp;";")))),"—",IF(_xlfn.MAXIFS(Acuses!$C$5:$C$3004,Acuses!$A$5:$A$3004,$A82,Acuses!$B$5:$B$3004,AC$4)&lt;AC$5,"Pendiente",IF(AC$8=0,"OK",IF(EDATE(_xlfn.MAXIFS(Acuses!$D$5:$D$3004,Acuses!$A$5:$A$3004,$A82,Acuses!$B$5:$B$3004,AC$4,Acuses!$C$5:$C$3004,AC$5),AC$8)&lt;Resumen!$C$4,"Caducado",IF(EDATE(_xlfn.MAXIFS(Acuses!$D$5:$D$3004,Acuses!$A$5:$A$3004,$A82,Acuses!$B$5:$B$3004,AC$4,Acuses!$C$5:$C$3004,AC$5),AC$8)&lt;Resumen!$C$4+30,"Caduca pronto","OK"))))))</f>
        <v/>
      </c>
      <c r="AD82" s="26" t="str">
        <f aca="false">IF(OR($A82="",AD$4=""),"",IF(NOT(OR(AD$6="Toda la plantilla",ISNUMBER(SEARCH(";"&amp;SUBSTITUTE($C82," ","")&amp;";",";"&amp;SUBSTITUTE(AD$7," ","")&amp;";")))),"—",IF(_xlfn.MAXIFS(Acuses!$C$5:$C$3004,Acuses!$A$5:$A$3004,$A82,Acuses!$B$5:$B$3004,AD$4)&lt;AD$5,"Pendiente",IF(AD$8=0,"OK",IF(EDATE(_xlfn.MAXIFS(Acuses!$D$5:$D$3004,Acuses!$A$5:$A$3004,$A82,Acuses!$B$5:$B$3004,AD$4,Acuses!$C$5:$C$3004,AD$5),AD$8)&lt;Resumen!$C$4,"Caducado",IF(EDATE(_xlfn.MAXIFS(Acuses!$D$5:$D$3004,Acuses!$A$5:$A$3004,$A82,Acuses!$B$5:$B$3004,AD$4,Acuses!$C$5:$C$3004,AD$5),AD$8)&lt;Resumen!$C$4+30,"Caduca pronto","OK"))))))</f>
        <v/>
      </c>
      <c r="AE82" s="26" t="str">
        <f aca="false">IF(OR($A82="",AE$4=""),"",IF(NOT(OR(AE$6="Toda la plantilla",ISNUMBER(SEARCH(";"&amp;SUBSTITUTE($C82," ","")&amp;";",";"&amp;SUBSTITUTE(AE$7," ","")&amp;";")))),"—",IF(_xlfn.MAXIFS(Acuses!$C$5:$C$3004,Acuses!$A$5:$A$3004,$A82,Acuses!$B$5:$B$3004,AE$4)&lt;AE$5,"Pendiente",IF(AE$8=0,"OK",IF(EDATE(_xlfn.MAXIFS(Acuses!$D$5:$D$3004,Acuses!$A$5:$A$3004,$A82,Acuses!$B$5:$B$3004,AE$4,Acuses!$C$5:$C$3004,AE$5),AE$8)&lt;Resumen!$C$4,"Caducado",IF(EDATE(_xlfn.MAXIFS(Acuses!$D$5:$D$3004,Acuses!$A$5:$A$3004,$A82,Acuses!$B$5:$B$3004,AE$4,Acuses!$C$5:$C$3004,AE$5),AE$8)&lt;Resumen!$C$4+30,"Caduca pronto","OK"))))))</f>
        <v/>
      </c>
      <c r="AF82" s="26" t="str">
        <f aca="false">IF(OR($A82="",AF$4=""),"",IF(NOT(OR(AF$6="Toda la plantilla",ISNUMBER(SEARCH(";"&amp;SUBSTITUTE($C82," ","")&amp;";",";"&amp;SUBSTITUTE(AF$7," ","")&amp;";")))),"—",IF(_xlfn.MAXIFS(Acuses!$C$5:$C$3004,Acuses!$A$5:$A$3004,$A82,Acuses!$B$5:$B$3004,AF$4)&lt;AF$5,"Pendiente",IF(AF$8=0,"OK",IF(EDATE(_xlfn.MAXIFS(Acuses!$D$5:$D$3004,Acuses!$A$5:$A$3004,$A82,Acuses!$B$5:$B$3004,AF$4,Acuses!$C$5:$C$3004,AF$5),AF$8)&lt;Resumen!$C$4,"Caducado",IF(EDATE(_xlfn.MAXIFS(Acuses!$D$5:$D$3004,Acuses!$A$5:$A$3004,$A82,Acuses!$B$5:$B$3004,AF$4,Acuses!$C$5:$C$3004,AF$5),AF$8)&lt;Resumen!$C$4+30,"Caduca pronto","OK"))))))</f>
        <v/>
      </c>
      <c r="AG82" s="26" t="str">
        <f aca="false">IF(OR($A82="",AG$4=""),"",IF(NOT(OR(AG$6="Toda la plantilla",ISNUMBER(SEARCH(";"&amp;SUBSTITUTE($C82," ","")&amp;";",";"&amp;SUBSTITUTE(AG$7," ","")&amp;";")))),"—",IF(_xlfn.MAXIFS(Acuses!$C$5:$C$3004,Acuses!$A$5:$A$3004,$A82,Acuses!$B$5:$B$3004,AG$4)&lt;AG$5,"Pendiente",IF(AG$8=0,"OK",IF(EDATE(_xlfn.MAXIFS(Acuses!$D$5:$D$3004,Acuses!$A$5:$A$3004,$A82,Acuses!$B$5:$B$3004,AG$4,Acuses!$C$5:$C$3004,AG$5),AG$8)&lt;Resumen!$C$4,"Caducado",IF(EDATE(_xlfn.MAXIFS(Acuses!$D$5:$D$3004,Acuses!$A$5:$A$3004,$A82,Acuses!$B$5:$B$3004,AG$4,Acuses!$C$5:$C$3004,AG$5),AG$8)&lt;Resumen!$C$4+30,"Caduca pronto","OK"))))))</f>
        <v/>
      </c>
      <c r="AH82" s="26" t="str">
        <f aca="false">IF(OR($A82="",AH$4=""),"",IF(NOT(OR(AH$6="Toda la plantilla",ISNUMBER(SEARCH(";"&amp;SUBSTITUTE($C82," ","")&amp;";",";"&amp;SUBSTITUTE(AH$7," ","")&amp;";")))),"—",IF(_xlfn.MAXIFS(Acuses!$C$5:$C$3004,Acuses!$A$5:$A$3004,$A82,Acuses!$B$5:$B$3004,AH$4)&lt;AH$5,"Pendiente",IF(AH$8=0,"OK",IF(EDATE(_xlfn.MAXIFS(Acuses!$D$5:$D$3004,Acuses!$A$5:$A$3004,$A82,Acuses!$B$5:$B$3004,AH$4,Acuses!$C$5:$C$3004,AH$5),AH$8)&lt;Resumen!$C$4,"Caducado",IF(EDATE(_xlfn.MAXIFS(Acuses!$D$5:$D$3004,Acuses!$A$5:$A$3004,$A82,Acuses!$B$5:$B$3004,AH$4,Acuses!$C$5:$C$3004,AH$5),AH$8)&lt;Resumen!$C$4+30,"Caduca pronto","OK"))))))</f>
        <v/>
      </c>
      <c r="AI82" s="26" t="str">
        <f aca="false">IF(OR($A82="",AI$4=""),"",IF(NOT(OR(AI$6="Toda la plantilla",ISNUMBER(SEARCH(";"&amp;SUBSTITUTE($C82," ","")&amp;";",";"&amp;SUBSTITUTE(AI$7," ","")&amp;";")))),"—",IF(_xlfn.MAXIFS(Acuses!$C$5:$C$3004,Acuses!$A$5:$A$3004,$A82,Acuses!$B$5:$B$3004,AI$4)&lt;AI$5,"Pendiente",IF(AI$8=0,"OK",IF(EDATE(_xlfn.MAXIFS(Acuses!$D$5:$D$3004,Acuses!$A$5:$A$3004,$A82,Acuses!$B$5:$B$3004,AI$4,Acuses!$C$5:$C$3004,AI$5),AI$8)&lt;Resumen!$C$4,"Caducado",IF(EDATE(_xlfn.MAXIFS(Acuses!$D$5:$D$3004,Acuses!$A$5:$A$3004,$A82,Acuses!$B$5:$B$3004,AI$4,Acuses!$C$5:$C$3004,AI$5),AI$8)&lt;Resumen!$C$4+30,"Caduca pronto","OK"))))))</f>
        <v/>
      </c>
      <c r="AJ82" s="26" t="str">
        <f aca="false">IF(OR($A82="",AJ$4=""),"",IF(NOT(OR(AJ$6="Toda la plantilla",ISNUMBER(SEARCH(";"&amp;SUBSTITUTE($C82," ","")&amp;";",";"&amp;SUBSTITUTE(AJ$7," ","")&amp;";")))),"—",IF(_xlfn.MAXIFS(Acuses!$C$5:$C$3004,Acuses!$A$5:$A$3004,$A82,Acuses!$B$5:$B$3004,AJ$4)&lt;AJ$5,"Pendiente",IF(AJ$8=0,"OK",IF(EDATE(_xlfn.MAXIFS(Acuses!$D$5:$D$3004,Acuses!$A$5:$A$3004,$A82,Acuses!$B$5:$B$3004,AJ$4,Acuses!$C$5:$C$3004,AJ$5),AJ$8)&lt;Resumen!$C$4,"Caducado",IF(EDATE(_xlfn.MAXIFS(Acuses!$D$5:$D$3004,Acuses!$A$5:$A$3004,$A82,Acuses!$B$5:$B$3004,AJ$4,Acuses!$C$5:$C$3004,AJ$5),AJ$8)&lt;Resumen!$C$4+30,"Caduca pronto","OK"))))))</f>
        <v/>
      </c>
      <c r="AK82" s="26" t="str">
        <f aca="false">IF(OR($A82="",AK$4=""),"",IF(NOT(OR(AK$6="Toda la plantilla",ISNUMBER(SEARCH(";"&amp;SUBSTITUTE($C82," ","")&amp;";",";"&amp;SUBSTITUTE(AK$7," ","")&amp;";")))),"—",IF(_xlfn.MAXIFS(Acuses!$C$5:$C$3004,Acuses!$A$5:$A$3004,$A82,Acuses!$B$5:$B$3004,AK$4)&lt;AK$5,"Pendiente",IF(AK$8=0,"OK",IF(EDATE(_xlfn.MAXIFS(Acuses!$D$5:$D$3004,Acuses!$A$5:$A$3004,$A82,Acuses!$B$5:$B$3004,AK$4,Acuses!$C$5:$C$3004,AK$5),AK$8)&lt;Resumen!$C$4,"Caducado",IF(EDATE(_xlfn.MAXIFS(Acuses!$D$5:$D$3004,Acuses!$A$5:$A$3004,$A82,Acuses!$B$5:$B$3004,AK$4,Acuses!$C$5:$C$3004,AK$5),AK$8)&lt;Resumen!$C$4+30,"Caduca pronto","OK"))))))</f>
        <v/>
      </c>
      <c r="AL82" s="26" t="str">
        <f aca="false">IF(OR($A82="",AL$4=""),"",IF(NOT(OR(AL$6="Toda la plantilla",ISNUMBER(SEARCH(";"&amp;SUBSTITUTE($C82," ","")&amp;";",";"&amp;SUBSTITUTE(AL$7," ","")&amp;";")))),"—",IF(_xlfn.MAXIFS(Acuses!$C$5:$C$3004,Acuses!$A$5:$A$3004,$A82,Acuses!$B$5:$B$3004,AL$4)&lt;AL$5,"Pendiente",IF(AL$8=0,"OK",IF(EDATE(_xlfn.MAXIFS(Acuses!$D$5:$D$3004,Acuses!$A$5:$A$3004,$A82,Acuses!$B$5:$B$3004,AL$4,Acuses!$C$5:$C$3004,AL$5),AL$8)&lt;Resumen!$C$4,"Caducado",IF(EDATE(_xlfn.MAXIFS(Acuses!$D$5:$D$3004,Acuses!$A$5:$A$3004,$A82,Acuses!$B$5:$B$3004,AL$4,Acuses!$C$5:$C$3004,AL$5),AL$8)&lt;Resumen!$C$4+30,"Caduca pronto","OK"))))))</f>
        <v/>
      </c>
      <c r="AM82" s="26" t="str">
        <f aca="false">IF(OR($A82="",AM$4=""),"",IF(NOT(OR(AM$6="Toda la plantilla",ISNUMBER(SEARCH(";"&amp;SUBSTITUTE($C82," ","")&amp;";",";"&amp;SUBSTITUTE(AM$7," ","")&amp;";")))),"—",IF(_xlfn.MAXIFS(Acuses!$C$5:$C$3004,Acuses!$A$5:$A$3004,$A82,Acuses!$B$5:$B$3004,AM$4)&lt;AM$5,"Pendiente",IF(AM$8=0,"OK",IF(EDATE(_xlfn.MAXIFS(Acuses!$D$5:$D$3004,Acuses!$A$5:$A$3004,$A82,Acuses!$B$5:$B$3004,AM$4,Acuses!$C$5:$C$3004,AM$5),AM$8)&lt;Resumen!$C$4,"Caducado",IF(EDATE(_xlfn.MAXIFS(Acuses!$D$5:$D$3004,Acuses!$A$5:$A$3004,$A82,Acuses!$B$5:$B$3004,AM$4,Acuses!$C$5:$C$3004,AM$5),AM$8)&lt;Resumen!$C$4+30,"Caduca pronto","OK"))))))</f>
        <v/>
      </c>
      <c r="AN82" s="26" t="str">
        <f aca="false">IF(OR($A82="",AN$4=""),"",IF(NOT(OR(AN$6="Toda la plantilla",ISNUMBER(SEARCH(";"&amp;SUBSTITUTE($C82," ","")&amp;";",";"&amp;SUBSTITUTE(AN$7," ","")&amp;";")))),"—",IF(_xlfn.MAXIFS(Acuses!$C$5:$C$3004,Acuses!$A$5:$A$3004,$A82,Acuses!$B$5:$B$3004,AN$4)&lt;AN$5,"Pendiente",IF(AN$8=0,"OK",IF(EDATE(_xlfn.MAXIFS(Acuses!$D$5:$D$3004,Acuses!$A$5:$A$3004,$A82,Acuses!$B$5:$B$3004,AN$4,Acuses!$C$5:$C$3004,AN$5),AN$8)&lt;Resumen!$C$4,"Caducado",IF(EDATE(_xlfn.MAXIFS(Acuses!$D$5:$D$3004,Acuses!$A$5:$A$3004,$A82,Acuses!$B$5:$B$3004,AN$4,Acuses!$C$5:$C$3004,AN$5),AN$8)&lt;Resumen!$C$4+30,"Caduca pronto","OK"))))))</f>
        <v/>
      </c>
      <c r="AO82" s="26" t="str">
        <f aca="false">IF(OR($A82="",AO$4=""),"",IF(NOT(OR(AO$6="Toda la plantilla",ISNUMBER(SEARCH(";"&amp;SUBSTITUTE($C82," ","")&amp;";",";"&amp;SUBSTITUTE(AO$7," ","")&amp;";")))),"—",IF(_xlfn.MAXIFS(Acuses!$C$5:$C$3004,Acuses!$A$5:$A$3004,$A82,Acuses!$B$5:$B$3004,AO$4)&lt;AO$5,"Pendiente",IF(AO$8=0,"OK",IF(EDATE(_xlfn.MAXIFS(Acuses!$D$5:$D$3004,Acuses!$A$5:$A$3004,$A82,Acuses!$B$5:$B$3004,AO$4,Acuses!$C$5:$C$3004,AO$5),AO$8)&lt;Resumen!$C$4,"Caducado",IF(EDATE(_xlfn.MAXIFS(Acuses!$D$5:$D$3004,Acuses!$A$5:$A$3004,$A82,Acuses!$B$5:$B$3004,AO$4,Acuses!$C$5:$C$3004,AO$5),AO$8)&lt;Resumen!$C$4+30,"Caduca pronto","OK"))))))</f>
        <v/>
      </c>
      <c r="AP82" s="26" t="str">
        <f aca="false">IF(OR($A82="",AP$4=""),"",IF(NOT(OR(AP$6="Toda la plantilla",ISNUMBER(SEARCH(";"&amp;SUBSTITUTE($C82," ","")&amp;";",";"&amp;SUBSTITUTE(AP$7," ","")&amp;";")))),"—",IF(_xlfn.MAXIFS(Acuses!$C$5:$C$3004,Acuses!$A$5:$A$3004,$A82,Acuses!$B$5:$B$3004,AP$4)&lt;AP$5,"Pendiente",IF(AP$8=0,"OK",IF(EDATE(_xlfn.MAXIFS(Acuses!$D$5:$D$3004,Acuses!$A$5:$A$3004,$A82,Acuses!$B$5:$B$3004,AP$4,Acuses!$C$5:$C$3004,AP$5),AP$8)&lt;Resumen!$C$4,"Caducado",IF(EDATE(_xlfn.MAXIFS(Acuses!$D$5:$D$3004,Acuses!$A$5:$A$3004,$A82,Acuses!$B$5:$B$3004,AP$4,Acuses!$C$5:$C$3004,AP$5),AP$8)&lt;Resumen!$C$4+30,"Caduca pronto","OK"))))))</f>
        <v/>
      </c>
      <c r="AQ82" s="26" t="str">
        <f aca="false">IF(OR($A82="",AQ$4=""),"",IF(NOT(OR(AQ$6="Toda la plantilla",ISNUMBER(SEARCH(";"&amp;SUBSTITUTE($C82," ","")&amp;";",";"&amp;SUBSTITUTE(AQ$7," ","")&amp;";")))),"—",IF(_xlfn.MAXIFS(Acuses!$C$5:$C$3004,Acuses!$A$5:$A$3004,$A82,Acuses!$B$5:$B$3004,AQ$4)&lt;AQ$5,"Pendiente",IF(AQ$8=0,"OK",IF(EDATE(_xlfn.MAXIFS(Acuses!$D$5:$D$3004,Acuses!$A$5:$A$3004,$A82,Acuses!$B$5:$B$3004,AQ$4,Acuses!$C$5:$C$3004,AQ$5),AQ$8)&lt;Resumen!$C$4,"Caducado",IF(EDATE(_xlfn.MAXIFS(Acuses!$D$5:$D$3004,Acuses!$A$5:$A$3004,$A82,Acuses!$B$5:$B$3004,AQ$4,Acuses!$C$5:$C$3004,AQ$5),AQ$8)&lt;Resumen!$C$4+30,"Caduca pronto","OK"))))))</f>
        <v/>
      </c>
    </row>
    <row r="83" customFormat="false" ht="15" hidden="false" customHeight="false" outlineLevel="0" collapsed="false">
      <c r="A83" s="25" t="str">
        <f aca="false">IF(AND(Trabajadores!$A$78&lt;&gt;"",Trabajadores!$G$78&lt;&gt;"No"),Trabajadores!$A$78,"")</f>
        <v/>
      </c>
      <c r="B83" s="25" t="str">
        <f aca="false">IF($A83="","",Trabajadores!$B$78)</f>
        <v/>
      </c>
      <c r="C83" s="25" t="str">
        <f aca="false">IF($A83="","",Trabajadores!$C$78)</f>
        <v/>
      </c>
      <c r="D83" s="26" t="str">
        <f aca="false">IF(OR($A83="",D$4=""),"",IF(NOT(OR(D$6="Toda la plantilla",ISNUMBER(SEARCH(";"&amp;SUBSTITUTE($C83," ","")&amp;";",";"&amp;SUBSTITUTE(D$7," ","")&amp;";")))),"—",IF(_xlfn.MAXIFS(Acuses!$C$5:$C$3004,Acuses!$A$5:$A$3004,$A83,Acuses!$B$5:$B$3004,D$4)&lt;D$5,"Pendiente",IF(D$8=0,"OK",IF(EDATE(_xlfn.MAXIFS(Acuses!$D$5:$D$3004,Acuses!$A$5:$A$3004,$A83,Acuses!$B$5:$B$3004,D$4,Acuses!$C$5:$C$3004,D$5),D$8)&lt;Resumen!$C$4,"Caducado",IF(EDATE(_xlfn.MAXIFS(Acuses!$D$5:$D$3004,Acuses!$A$5:$A$3004,$A83,Acuses!$B$5:$B$3004,D$4,Acuses!$C$5:$C$3004,D$5),D$8)&lt;Resumen!$C$4+30,"Caduca pronto","OK"))))))</f>
        <v/>
      </c>
      <c r="E83" s="26" t="str">
        <f aca="false">IF(OR($A83="",E$4=""),"",IF(NOT(OR(E$6="Toda la plantilla",ISNUMBER(SEARCH(";"&amp;SUBSTITUTE($C83," ","")&amp;";",";"&amp;SUBSTITUTE(E$7," ","")&amp;";")))),"—",IF(_xlfn.MAXIFS(Acuses!$C$5:$C$3004,Acuses!$A$5:$A$3004,$A83,Acuses!$B$5:$B$3004,E$4)&lt;E$5,"Pendiente",IF(E$8=0,"OK",IF(EDATE(_xlfn.MAXIFS(Acuses!$D$5:$D$3004,Acuses!$A$5:$A$3004,$A83,Acuses!$B$5:$B$3004,E$4,Acuses!$C$5:$C$3004,E$5),E$8)&lt;Resumen!$C$4,"Caducado",IF(EDATE(_xlfn.MAXIFS(Acuses!$D$5:$D$3004,Acuses!$A$5:$A$3004,$A83,Acuses!$B$5:$B$3004,E$4,Acuses!$C$5:$C$3004,E$5),E$8)&lt;Resumen!$C$4+30,"Caduca pronto","OK"))))))</f>
        <v/>
      </c>
      <c r="F83" s="26" t="str">
        <f aca="false">IF(OR($A83="",F$4=""),"",IF(NOT(OR(F$6="Toda la plantilla",ISNUMBER(SEARCH(";"&amp;SUBSTITUTE($C83," ","")&amp;";",";"&amp;SUBSTITUTE(F$7," ","")&amp;";")))),"—",IF(_xlfn.MAXIFS(Acuses!$C$5:$C$3004,Acuses!$A$5:$A$3004,$A83,Acuses!$B$5:$B$3004,F$4)&lt;F$5,"Pendiente",IF(F$8=0,"OK",IF(EDATE(_xlfn.MAXIFS(Acuses!$D$5:$D$3004,Acuses!$A$5:$A$3004,$A83,Acuses!$B$5:$B$3004,F$4,Acuses!$C$5:$C$3004,F$5),F$8)&lt;Resumen!$C$4,"Caducado",IF(EDATE(_xlfn.MAXIFS(Acuses!$D$5:$D$3004,Acuses!$A$5:$A$3004,$A83,Acuses!$B$5:$B$3004,F$4,Acuses!$C$5:$C$3004,F$5),F$8)&lt;Resumen!$C$4+30,"Caduca pronto","OK"))))))</f>
        <v/>
      </c>
      <c r="G83" s="26" t="str">
        <f aca="false">IF(OR($A83="",G$4=""),"",IF(NOT(OR(G$6="Toda la plantilla",ISNUMBER(SEARCH(";"&amp;SUBSTITUTE($C83," ","")&amp;";",";"&amp;SUBSTITUTE(G$7," ","")&amp;";")))),"—",IF(_xlfn.MAXIFS(Acuses!$C$5:$C$3004,Acuses!$A$5:$A$3004,$A83,Acuses!$B$5:$B$3004,G$4)&lt;G$5,"Pendiente",IF(G$8=0,"OK",IF(EDATE(_xlfn.MAXIFS(Acuses!$D$5:$D$3004,Acuses!$A$5:$A$3004,$A83,Acuses!$B$5:$B$3004,G$4,Acuses!$C$5:$C$3004,G$5),G$8)&lt;Resumen!$C$4,"Caducado",IF(EDATE(_xlfn.MAXIFS(Acuses!$D$5:$D$3004,Acuses!$A$5:$A$3004,$A83,Acuses!$B$5:$B$3004,G$4,Acuses!$C$5:$C$3004,G$5),G$8)&lt;Resumen!$C$4+30,"Caduca pronto","OK"))))))</f>
        <v/>
      </c>
      <c r="H83" s="26" t="str">
        <f aca="false">IF(OR($A83="",H$4=""),"",IF(NOT(OR(H$6="Toda la plantilla",ISNUMBER(SEARCH(";"&amp;SUBSTITUTE($C83," ","")&amp;";",";"&amp;SUBSTITUTE(H$7," ","")&amp;";")))),"—",IF(_xlfn.MAXIFS(Acuses!$C$5:$C$3004,Acuses!$A$5:$A$3004,$A83,Acuses!$B$5:$B$3004,H$4)&lt;H$5,"Pendiente",IF(H$8=0,"OK",IF(EDATE(_xlfn.MAXIFS(Acuses!$D$5:$D$3004,Acuses!$A$5:$A$3004,$A83,Acuses!$B$5:$B$3004,H$4,Acuses!$C$5:$C$3004,H$5),H$8)&lt;Resumen!$C$4,"Caducado",IF(EDATE(_xlfn.MAXIFS(Acuses!$D$5:$D$3004,Acuses!$A$5:$A$3004,$A83,Acuses!$B$5:$B$3004,H$4,Acuses!$C$5:$C$3004,H$5),H$8)&lt;Resumen!$C$4+30,"Caduca pronto","OK"))))))</f>
        <v/>
      </c>
      <c r="I83" s="26" t="str">
        <f aca="false">IF(OR($A83="",I$4=""),"",IF(NOT(OR(I$6="Toda la plantilla",ISNUMBER(SEARCH(";"&amp;SUBSTITUTE($C83," ","")&amp;";",";"&amp;SUBSTITUTE(I$7," ","")&amp;";")))),"—",IF(_xlfn.MAXIFS(Acuses!$C$5:$C$3004,Acuses!$A$5:$A$3004,$A83,Acuses!$B$5:$B$3004,I$4)&lt;I$5,"Pendiente",IF(I$8=0,"OK",IF(EDATE(_xlfn.MAXIFS(Acuses!$D$5:$D$3004,Acuses!$A$5:$A$3004,$A83,Acuses!$B$5:$B$3004,I$4,Acuses!$C$5:$C$3004,I$5),I$8)&lt;Resumen!$C$4,"Caducado",IF(EDATE(_xlfn.MAXIFS(Acuses!$D$5:$D$3004,Acuses!$A$5:$A$3004,$A83,Acuses!$B$5:$B$3004,I$4,Acuses!$C$5:$C$3004,I$5),I$8)&lt;Resumen!$C$4+30,"Caduca pronto","OK"))))))</f>
        <v/>
      </c>
      <c r="J83" s="26" t="str">
        <f aca="false">IF(OR($A83="",J$4=""),"",IF(NOT(OR(J$6="Toda la plantilla",ISNUMBER(SEARCH(";"&amp;SUBSTITUTE($C83," ","")&amp;";",";"&amp;SUBSTITUTE(J$7," ","")&amp;";")))),"—",IF(_xlfn.MAXIFS(Acuses!$C$5:$C$3004,Acuses!$A$5:$A$3004,$A83,Acuses!$B$5:$B$3004,J$4)&lt;J$5,"Pendiente",IF(J$8=0,"OK",IF(EDATE(_xlfn.MAXIFS(Acuses!$D$5:$D$3004,Acuses!$A$5:$A$3004,$A83,Acuses!$B$5:$B$3004,J$4,Acuses!$C$5:$C$3004,J$5),J$8)&lt;Resumen!$C$4,"Caducado",IF(EDATE(_xlfn.MAXIFS(Acuses!$D$5:$D$3004,Acuses!$A$5:$A$3004,$A83,Acuses!$B$5:$B$3004,J$4,Acuses!$C$5:$C$3004,J$5),J$8)&lt;Resumen!$C$4+30,"Caduca pronto","OK"))))))</f>
        <v/>
      </c>
      <c r="K83" s="26" t="str">
        <f aca="false">IF(OR($A83="",K$4=""),"",IF(NOT(OR(K$6="Toda la plantilla",ISNUMBER(SEARCH(";"&amp;SUBSTITUTE($C83," ","")&amp;";",";"&amp;SUBSTITUTE(K$7," ","")&amp;";")))),"—",IF(_xlfn.MAXIFS(Acuses!$C$5:$C$3004,Acuses!$A$5:$A$3004,$A83,Acuses!$B$5:$B$3004,K$4)&lt;K$5,"Pendiente",IF(K$8=0,"OK",IF(EDATE(_xlfn.MAXIFS(Acuses!$D$5:$D$3004,Acuses!$A$5:$A$3004,$A83,Acuses!$B$5:$B$3004,K$4,Acuses!$C$5:$C$3004,K$5),K$8)&lt;Resumen!$C$4,"Caducado",IF(EDATE(_xlfn.MAXIFS(Acuses!$D$5:$D$3004,Acuses!$A$5:$A$3004,$A83,Acuses!$B$5:$B$3004,K$4,Acuses!$C$5:$C$3004,K$5),K$8)&lt;Resumen!$C$4+30,"Caduca pronto","OK"))))))</f>
        <v/>
      </c>
      <c r="L83" s="26" t="str">
        <f aca="false">IF(OR($A83="",L$4=""),"",IF(NOT(OR(L$6="Toda la plantilla",ISNUMBER(SEARCH(";"&amp;SUBSTITUTE($C83," ","")&amp;";",";"&amp;SUBSTITUTE(L$7," ","")&amp;";")))),"—",IF(_xlfn.MAXIFS(Acuses!$C$5:$C$3004,Acuses!$A$5:$A$3004,$A83,Acuses!$B$5:$B$3004,L$4)&lt;L$5,"Pendiente",IF(L$8=0,"OK",IF(EDATE(_xlfn.MAXIFS(Acuses!$D$5:$D$3004,Acuses!$A$5:$A$3004,$A83,Acuses!$B$5:$B$3004,L$4,Acuses!$C$5:$C$3004,L$5),L$8)&lt;Resumen!$C$4,"Caducado",IF(EDATE(_xlfn.MAXIFS(Acuses!$D$5:$D$3004,Acuses!$A$5:$A$3004,$A83,Acuses!$B$5:$B$3004,L$4,Acuses!$C$5:$C$3004,L$5),L$8)&lt;Resumen!$C$4+30,"Caduca pronto","OK"))))))</f>
        <v/>
      </c>
      <c r="M83" s="26" t="str">
        <f aca="false">IF(OR($A83="",M$4=""),"",IF(NOT(OR(M$6="Toda la plantilla",ISNUMBER(SEARCH(";"&amp;SUBSTITUTE($C83," ","")&amp;";",";"&amp;SUBSTITUTE(M$7," ","")&amp;";")))),"—",IF(_xlfn.MAXIFS(Acuses!$C$5:$C$3004,Acuses!$A$5:$A$3004,$A83,Acuses!$B$5:$B$3004,M$4)&lt;M$5,"Pendiente",IF(M$8=0,"OK",IF(EDATE(_xlfn.MAXIFS(Acuses!$D$5:$D$3004,Acuses!$A$5:$A$3004,$A83,Acuses!$B$5:$B$3004,M$4,Acuses!$C$5:$C$3004,M$5),M$8)&lt;Resumen!$C$4,"Caducado",IF(EDATE(_xlfn.MAXIFS(Acuses!$D$5:$D$3004,Acuses!$A$5:$A$3004,$A83,Acuses!$B$5:$B$3004,M$4,Acuses!$C$5:$C$3004,M$5),M$8)&lt;Resumen!$C$4+30,"Caduca pronto","OK"))))))</f>
        <v/>
      </c>
      <c r="N83" s="26" t="str">
        <f aca="false">IF(OR($A83="",N$4=""),"",IF(NOT(OR(N$6="Toda la plantilla",ISNUMBER(SEARCH(";"&amp;SUBSTITUTE($C83," ","")&amp;";",";"&amp;SUBSTITUTE(N$7," ","")&amp;";")))),"—",IF(_xlfn.MAXIFS(Acuses!$C$5:$C$3004,Acuses!$A$5:$A$3004,$A83,Acuses!$B$5:$B$3004,N$4)&lt;N$5,"Pendiente",IF(N$8=0,"OK",IF(EDATE(_xlfn.MAXIFS(Acuses!$D$5:$D$3004,Acuses!$A$5:$A$3004,$A83,Acuses!$B$5:$B$3004,N$4,Acuses!$C$5:$C$3004,N$5),N$8)&lt;Resumen!$C$4,"Caducado",IF(EDATE(_xlfn.MAXIFS(Acuses!$D$5:$D$3004,Acuses!$A$5:$A$3004,$A83,Acuses!$B$5:$B$3004,N$4,Acuses!$C$5:$C$3004,N$5),N$8)&lt;Resumen!$C$4+30,"Caduca pronto","OK"))))))</f>
        <v/>
      </c>
      <c r="O83" s="26" t="str">
        <f aca="false">IF(OR($A83="",O$4=""),"",IF(NOT(OR(O$6="Toda la plantilla",ISNUMBER(SEARCH(";"&amp;SUBSTITUTE($C83," ","")&amp;";",";"&amp;SUBSTITUTE(O$7," ","")&amp;";")))),"—",IF(_xlfn.MAXIFS(Acuses!$C$5:$C$3004,Acuses!$A$5:$A$3004,$A83,Acuses!$B$5:$B$3004,O$4)&lt;O$5,"Pendiente",IF(O$8=0,"OK",IF(EDATE(_xlfn.MAXIFS(Acuses!$D$5:$D$3004,Acuses!$A$5:$A$3004,$A83,Acuses!$B$5:$B$3004,O$4,Acuses!$C$5:$C$3004,O$5),O$8)&lt;Resumen!$C$4,"Caducado",IF(EDATE(_xlfn.MAXIFS(Acuses!$D$5:$D$3004,Acuses!$A$5:$A$3004,$A83,Acuses!$B$5:$B$3004,O$4,Acuses!$C$5:$C$3004,O$5),O$8)&lt;Resumen!$C$4+30,"Caduca pronto","OK"))))))</f>
        <v/>
      </c>
      <c r="P83" s="26" t="str">
        <f aca="false">IF(OR($A83="",P$4=""),"",IF(NOT(OR(P$6="Toda la plantilla",ISNUMBER(SEARCH(";"&amp;SUBSTITUTE($C83," ","")&amp;";",";"&amp;SUBSTITUTE(P$7," ","")&amp;";")))),"—",IF(_xlfn.MAXIFS(Acuses!$C$5:$C$3004,Acuses!$A$5:$A$3004,$A83,Acuses!$B$5:$B$3004,P$4)&lt;P$5,"Pendiente",IF(P$8=0,"OK",IF(EDATE(_xlfn.MAXIFS(Acuses!$D$5:$D$3004,Acuses!$A$5:$A$3004,$A83,Acuses!$B$5:$B$3004,P$4,Acuses!$C$5:$C$3004,P$5),P$8)&lt;Resumen!$C$4,"Caducado",IF(EDATE(_xlfn.MAXIFS(Acuses!$D$5:$D$3004,Acuses!$A$5:$A$3004,$A83,Acuses!$B$5:$B$3004,P$4,Acuses!$C$5:$C$3004,P$5),P$8)&lt;Resumen!$C$4+30,"Caduca pronto","OK"))))))</f>
        <v/>
      </c>
      <c r="Q83" s="26" t="str">
        <f aca="false">IF(OR($A83="",Q$4=""),"",IF(NOT(OR(Q$6="Toda la plantilla",ISNUMBER(SEARCH(";"&amp;SUBSTITUTE($C83," ","")&amp;";",";"&amp;SUBSTITUTE(Q$7," ","")&amp;";")))),"—",IF(_xlfn.MAXIFS(Acuses!$C$5:$C$3004,Acuses!$A$5:$A$3004,$A83,Acuses!$B$5:$B$3004,Q$4)&lt;Q$5,"Pendiente",IF(Q$8=0,"OK",IF(EDATE(_xlfn.MAXIFS(Acuses!$D$5:$D$3004,Acuses!$A$5:$A$3004,$A83,Acuses!$B$5:$B$3004,Q$4,Acuses!$C$5:$C$3004,Q$5),Q$8)&lt;Resumen!$C$4,"Caducado",IF(EDATE(_xlfn.MAXIFS(Acuses!$D$5:$D$3004,Acuses!$A$5:$A$3004,$A83,Acuses!$B$5:$B$3004,Q$4,Acuses!$C$5:$C$3004,Q$5),Q$8)&lt;Resumen!$C$4+30,"Caduca pronto","OK"))))))</f>
        <v/>
      </c>
      <c r="R83" s="26" t="str">
        <f aca="false">IF(OR($A83="",R$4=""),"",IF(NOT(OR(R$6="Toda la plantilla",ISNUMBER(SEARCH(";"&amp;SUBSTITUTE($C83," ","")&amp;";",";"&amp;SUBSTITUTE(R$7," ","")&amp;";")))),"—",IF(_xlfn.MAXIFS(Acuses!$C$5:$C$3004,Acuses!$A$5:$A$3004,$A83,Acuses!$B$5:$B$3004,R$4)&lt;R$5,"Pendiente",IF(R$8=0,"OK",IF(EDATE(_xlfn.MAXIFS(Acuses!$D$5:$D$3004,Acuses!$A$5:$A$3004,$A83,Acuses!$B$5:$B$3004,R$4,Acuses!$C$5:$C$3004,R$5),R$8)&lt;Resumen!$C$4,"Caducado",IF(EDATE(_xlfn.MAXIFS(Acuses!$D$5:$D$3004,Acuses!$A$5:$A$3004,$A83,Acuses!$B$5:$B$3004,R$4,Acuses!$C$5:$C$3004,R$5),R$8)&lt;Resumen!$C$4+30,"Caduca pronto","OK"))))))</f>
        <v/>
      </c>
      <c r="S83" s="26" t="str">
        <f aca="false">IF(OR($A83="",S$4=""),"",IF(NOT(OR(S$6="Toda la plantilla",ISNUMBER(SEARCH(";"&amp;SUBSTITUTE($C83," ","")&amp;";",";"&amp;SUBSTITUTE(S$7," ","")&amp;";")))),"—",IF(_xlfn.MAXIFS(Acuses!$C$5:$C$3004,Acuses!$A$5:$A$3004,$A83,Acuses!$B$5:$B$3004,S$4)&lt;S$5,"Pendiente",IF(S$8=0,"OK",IF(EDATE(_xlfn.MAXIFS(Acuses!$D$5:$D$3004,Acuses!$A$5:$A$3004,$A83,Acuses!$B$5:$B$3004,S$4,Acuses!$C$5:$C$3004,S$5),S$8)&lt;Resumen!$C$4,"Caducado",IF(EDATE(_xlfn.MAXIFS(Acuses!$D$5:$D$3004,Acuses!$A$5:$A$3004,$A83,Acuses!$B$5:$B$3004,S$4,Acuses!$C$5:$C$3004,S$5),S$8)&lt;Resumen!$C$4+30,"Caduca pronto","OK"))))))</f>
        <v/>
      </c>
      <c r="T83" s="26" t="str">
        <f aca="false">IF(OR($A83="",T$4=""),"",IF(NOT(OR(T$6="Toda la plantilla",ISNUMBER(SEARCH(";"&amp;SUBSTITUTE($C83," ","")&amp;";",";"&amp;SUBSTITUTE(T$7," ","")&amp;";")))),"—",IF(_xlfn.MAXIFS(Acuses!$C$5:$C$3004,Acuses!$A$5:$A$3004,$A83,Acuses!$B$5:$B$3004,T$4)&lt;T$5,"Pendiente",IF(T$8=0,"OK",IF(EDATE(_xlfn.MAXIFS(Acuses!$D$5:$D$3004,Acuses!$A$5:$A$3004,$A83,Acuses!$B$5:$B$3004,T$4,Acuses!$C$5:$C$3004,T$5),T$8)&lt;Resumen!$C$4,"Caducado",IF(EDATE(_xlfn.MAXIFS(Acuses!$D$5:$D$3004,Acuses!$A$5:$A$3004,$A83,Acuses!$B$5:$B$3004,T$4,Acuses!$C$5:$C$3004,T$5),T$8)&lt;Resumen!$C$4+30,"Caduca pronto","OK"))))))</f>
        <v/>
      </c>
      <c r="U83" s="26" t="str">
        <f aca="false">IF(OR($A83="",U$4=""),"",IF(NOT(OR(U$6="Toda la plantilla",ISNUMBER(SEARCH(";"&amp;SUBSTITUTE($C83," ","")&amp;";",";"&amp;SUBSTITUTE(U$7," ","")&amp;";")))),"—",IF(_xlfn.MAXIFS(Acuses!$C$5:$C$3004,Acuses!$A$5:$A$3004,$A83,Acuses!$B$5:$B$3004,U$4)&lt;U$5,"Pendiente",IF(U$8=0,"OK",IF(EDATE(_xlfn.MAXIFS(Acuses!$D$5:$D$3004,Acuses!$A$5:$A$3004,$A83,Acuses!$B$5:$B$3004,U$4,Acuses!$C$5:$C$3004,U$5),U$8)&lt;Resumen!$C$4,"Caducado",IF(EDATE(_xlfn.MAXIFS(Acuses!$D$5:$D$3004,Acuses!$A$5:$A$3004,$A83,Acuses!$B$5:$B$3004,U$4,Acuses!$C$5:$C$3004,U$5),U$8)&lt;Resumen!$C$4+30,"Caduca pronto","OK"))))))</f>
        <v/>
      </c>
      <c r="V83" s="26" t="str">
        <f aca="false">IF(OR($A83="",V$4=""),"",IF(NOT(OR(V$6="Toda la plantilla",ISNUMBER(SEARCH(";"&amp;SUBSTITUTE($C83," ","")&amp;";",";"&amp;SUBSTITUTE(V$7," ","")&amp;";")))),"—",IF(_xlfn.MAXIFS(Acuses!$C$5:$C$3004,Acuses!$A$5:$A$3004,$A83,Acuses!$B$5:$B$3004,V$4)&lt;V$5,"Pendiente",IF(V$8=0,"OK",IF(EDATE(_xlfn.MAXIFS(Acuses!$D$5:$D$3004,Acuses!$A$5:$A$3004,$A83,Acuses!$B$5:$B$3004,V$4,Acuses!$C$5:$C$3004,V$5),V$8)&lt;Resumen!$C$4,"Caducado",IF(EDATE(_xlfn.MAXIFS(Acuses!$D$5:$D$3004,Acuses!$A$5:$A$3004,$A83,Acuses!$B$5:$B$3004,V$4,Acuses!$C$5:$C$3004,V$5),V$8)&lt;Resumen!$C$4+30,"Caduca pronto","OK"))))))</f>
        <v/>
      </c>
      <c r="W83" s="26" t="str">
        <f aca="false">IF(OR($A83="",W$4=""),"",IF(NOT(OR(W$6="Toda la plantilla",ISNUMBER(SEARCH(";"&amp;SUBSTITUTE($C83," ","")&amp;";",";"&amp;SUBSTITUTE(W$7," ","")&amp;";")))),"—",IF(_xlfn.MAXIFS(Acuses!$C$5:$C$3004,Acuses!$A$5:$A$3004,$A83,Acuses!$B$5:$B$3004,W$4)&lt;W$5,"Pendiente",IF(W$8=0,"OK",IF(EDATE(_xlfn.MAXIFS(Acuses!$D$5:$D$3004,Acuses!$A$5:$A$3004,$A83,Acuses!$B$5:$B$3004,W$4,Acuses!$C$5:$C$3004,W$5),W$8)&lt;Resumen!$C$4,"Caducado",IF(EDATE(_xlfn.MAXIFS(Acuses!$D$5:$D$3004,Acuses!$A$5:$A$3004,$A83,Acuses!$B$5:$B$3004,W$4,Acuses!$C$5:$C$3004,W$5),W$8)&lt;Resumen!$C$4+30,"Caduca pronto","OK"))))))</f>
        <v/>
      </c>
      <c r="X83" s="26" t="str">
        <f aca="false">IF(OR($A83="",X$4=""),"",IF(NOT(OR(X$6="Toda la plantilla",ISNUMBER(SEARCH(";"&amp;SUBSTITUTE($C83," ","")&amp;";",";"&amp;SUBSTITUTE(X$7," ","")&amp;";")))),"—",IF(_xlfn.MAXIFS(Acuses!$C$5:$C$3004,Acuses!$A$5:$A$3004,$A83,Acuses!$B$5:$B$3004,X$4)&lt;X$5,"Pendiente",IF(X$8=0,"OK",IF(EDATE(_xlfn.MAXIFS(Acuses!$D$5:$D$3004,Acuses!$A$5:$A$3004,$A83,Acuses!$B$5:$B$3004,X$4,Acuses!$C$5:$C$3004,X$5),X$8)&lt;Resumen!$C$4,"Caducado",IF(EDATE(_xlfn.MAXIFS(Acuses!$D$5:$D$3004,Acuses!$A$5:$A$3004,$A83,Acuses!$B$5:$B$3004,X$4,Acuses!$C$5:$C$3004,X$5),X$8)&lt;Resumen!$C$4+30,"Caduca pronto","OK"))))))</f>
        <v/>
      </c>
      <c r="Y83" s="26" t="str">
        <f aca="false">IF(OR($A83="",Y$4=""),"",IF(NOT(OR(Y$6="Toda la plantilla",ISNUMBER(SEARCH(";"&amp;SUBSTITUTE($C83," ","")&amp;";",";"&amp;SUBSTITUTE(Y$7," ","")&amp;";")))),"—",IF(_xlfn.MAXIFS(Acuses!$C$5:$C$3004,Acuses!$A$5:$A$3004,$A83,Acuses!$B$5:$B$3004,Y$4)&lt;Y$5,"Pendiente",IF(Y$8=0,"OK",IF(EDATE(_xlfn.MAXIFS(Acuses!$D$5:$D$3004,Acuses!$A$5:$A$3004,$A83,Acuses!$B$5:$B$3004,Y$4,Acuses!$C$5:$C$3004,Y$5),Y$8)&lt;Resumen!$C$4,"Caducado",IF(EDATE(_xlfn.MAXIFS(Acuses!$D$5:$D$3004,Acuses!$A$5:$A$3004,$A83,Acuses!$B$5:$B$3004,Y$4,Acuses!$C$5:$C$3004,Y$5),Y$8)&lt;Resumen!$C$4+30,"Caduca pronto","OK"))))))</f>
        <v/>
      </c>
      <c r="Z83" s="26" t="str">
        <f aca="false">IF(OR($A83="",Z$4=""),"",IF(NOT(OR(Z$6="Toda la plantilla",ISNUMBER(SEARCH(";"&amp;SUBSTITUTE($C83," ","")&amp;";",";"&amp;SUBSTITUTE(Z$7," ","")&amp;";")))),"—",IF(_xlfn.MAXIFS(Acuses!$C$5:$C$3004,Acuses!$A$5:$A$3004,$A83,Acuses!$B$5:$B$3004,Z$4)&lt;Z$5,"Pendiente",IF(Z$8=0,"OK",IF(EDATE(_xlfn.MAXIFS(Acuses!$D$5:$D$3004,Acuses!$A$5:$A$3004,$A83,Acuses!$B$5:$B$3004,Z$4,Acuses!$C$5:$C$3004,Z$5),Z$8)&lt;Resumen!$C$4,"Caducado",IF(EDATE(_xlfn.MAXIFS(Acuses!$D$5:$D$3004,Acuses!$A$5:$A$3004,$A83,Acuses!$B$5:$B$3004,Z$4,Acuses!$C$5:$C$3004,Z$5),Z$8)&lt;Resumen!$C$4+30,"Caduca pronto","OK"))))))</f>
        <v/>
      </c>
      <c r="AA83" s="26" t="str">
        <f aca="false">IF(OR($A83="",AA$4=""),"",IF(NOT(OR(AA$6="Toda la plantilla",ISNUMBER(SEARCH(";"&amp;SUBSTITUTE($C83," ","")&amp;";",";"&amp;SUBSTITUTE(AA$7," ","")&amp;";")))),"—",IF(_xlfn.MAXIFS(Acuses!$C$5:$C$3004,Acuses!$A$5:$A$3004,$A83,Acuses!$B$5:$B$3004,AA$4)&lt;AA$5,"Pendiente",IF(AA$8=0,"OK",IF(EDATE(_xlfn.MAXIFS(Acuses!$D$5:$D$3004,Acuses!$A$5:$A$3004,$A83,Acuses!$B$5:$B$3004,AA$4,Acuses!$C$5:$C$3004,AA$5),AA$8)&lt;Resumen!$C$4,"Caducado",IF(EDATE(_xlfn.MAXIFS(Acuses!$D$5:$D$3004,Acuses!$A$5:$A$3004,$A83,Acuses!$B$5:$B$3004,AA$4,Acuses!$C$5:$C$3004,AA$5),AA$8)&lt;Resumen!$C$4+30,"Caduca pronto","OK"))))))</f>
        <v/>
      </c>
      <c r="AB83" s="26" t="str">
        <f aca="false">IF(OR($A83="",AB$4=""),"",IF(NOT(OR(AB$6="Toda la plantilla",ISNUMBER(SEARCH(";"&amp;SUBSTITUTE($C83," ","")&amp;";",";"&amp;SUBSTITUTE(AB$7," ","")&amp;";")))),"—",IF(_xlfn.MAXIFS(Acuses!$C$5:$C$3004,Acuses!$A$5:$A$3004,$A83,Acuses!$B$5:$B$3004,AB$4)&lt;AB$5,"Pendiente",IF(AB$8=0,"OK",IF(EDATE(_xlfn.MAXIFS(Acuses!$D$5:$D$3004,Acuses!$A$5:$A$3004,$A83,Acuses!$B$5:$B$3004,AB$4,Acuses!$C$5:$C$3004,AB$5),AB$8)&lt;Resumen!$C$4,"Caducado",IF(EDATE(_xlfn.MAXIFS(Acuses!$D$5:$D$3004,Acuses!$A$5:$A$3004,$A83,Acuses!$B$5:$B$3004,AB$4,Acuses!$C$5:$C$3004,AB$5),AB$8)&lt;Resumen!$C$4+30,"Caduca pronto","OK"))))))</f>
        <v/>
      </c>
      <c r="AC83" s="26" t="str">
        <f aca="false">IF(OR($A83="",AC$4=""),"",IF(NOT(OR(AC$6="Toda la plantilla",ISNUMBER(SEARCH(";"&amp;SUBSTITUTE($C83," ","")&amp;";",";"&amp;SUBSTITUTE(AC$7," ","")&amp;";")))),"—",IF(_xlfn.MAXIFS(Acuses!$C$5:$C$3004,Acuses!$A$5:$A$3004,$A83,Acuses!$B$5:$B$3004,AC$4)&lt;AC$5,"Pendiente",IF(AC$8=0,"OK",IF(EDATE(_xlfn.MAXIFS(Acuses!$D$5:$D$3004,Acuses!$A$5:$A$3004,$A83,Acuses!$B$5:$B$3004,AC$4,Acuses!$C$5:$C$3004,AC$5),AC$8)&lt;Resumen!$C$4,"Caducado",IF(EDATE(_xlfn.MAXIFS(Acuses!$D$5:$D$3004,Acuses!$A$5:$A$3004,$A83,Acuses!$B$5:$B$3004,AC$4,Acuses!$C$5:$C$3004,AC$5),AC$8)&lt;Resumen!$C$4+30,"Caduca pronto","OK"))))))</f>
        <v/>
      </c>
      <c r="AD83" s="26" t="str">
        <f aca="false">IF(OR($A83="",AD$4=""),"",IF(NOT(OR(AD$6="Toda la plantilla",ISNUMBER(SEARCH(";"&amp;SUBSTITUTE($C83," ","")&amp;";",";"&amp;SUBSTITUTE(AD$7," ","")&amp;";")))),"—",IF(_xlfn.MAXIFS(Acuses!$C$5:$C$3004,Acuses!$A$5:$A$3004,$A83,Acuses!$B$5:$B$3004,AD$4)&lt;AD$5,"Pendiente",IF(AD$8=0,"OK",IF(EDATE(_xlfn.MAXIFS(Acuses!$D$5:$D$3004,Acuses!$A$5:$A$3004,$A83,Acuses!$B$5:$B$3004,AD$4,Acuses!$C$5:$C$3004,AD$5),AD$8)&lt;Resumen!$C$4,"Caducado",IF(EDATE(_xlfn.MAXIFS(Acuses!$D$5:$D$3004,Acuses!$A$5:$A$3004,$A83,Acuses!$B$5:$B$3004,AD$4,Acuses!$C$5:$C$3004,AD$5),AD$8)&lt;Resumen!$C$4+30,"Caduca pronto","OK"))))))</f>
        <v/>
      </c>
      <c r="AE83" s="26" t="str">
        <f aca="false">IF(OR($A83="",AE$4=""),"",IF(NOT(OR(AE$6="Toda la plantilla",ISNUMBER(SEARCH(";"&amp;SUBSTITUTE($C83," ","")&amp;";",";"&amp;SUBSTITUTE(AE$7," ","")&amp;";")))),"—",IF(_xlfn.MAXIFS(Acuses!$C$5:$C$3004,Acuses!$A$5:$A$3004,$A83,Acuses!$B$5:$B$3004,AE$4)&lt;AE$5,"Pendiente",IF(AE$8=0,"OK",IF(EDATE(_xlfn.MAXIFS(Acuses!$D$5:$D$3004,Acuses!$A$5:$A$3004,$A83,Acuses!$B$5:$B$3004,AE$4,Acuses!$C$5:$C$3004,AE$5),AE$8)&lt;Resumen!$C$4,"Caducado",IF(EDATE(_xlfn.MAXIFS(Acuses!$D$5:$D$3004,Acuses!$A$5:$A$3004,$A83,Acuses!$B$5:$B$3004,AE$4,Acuses!$C$5:$C$3004,AE$5),AE$8)&lt;Resumen!$C$4+30,"Caduca pronto","OK"))))))</f>
        <v/>
      </c>
      <c r="AF83" s="26" t="str">
        <f aca="false">IF(OR($A83="",AF$4=""),"",IF(NOT(OR(AF$6="Toda la plantilla",ISNUMBER(SEARCH(";"&amp;SUBSTITUTE($C83," ","")&amp;";",";"&amp;SUBSTITUTE(AF$7," ","")&amp;";")))),"—",IF(_xlfn.MAXIFS(Acuses!$C$5:$C$3004,Acuses!$A$5:$A$3004,$A83,Acuses!$B$5:$B$3004,AF$4)&lt;AF$5,"Pendiente",IF(AF$8=0,"OK",IF(EDATE(_xlfn.MAXIFS(Acuses!$D$5:$D$3004,Acuses!$A$5:$A$3004,$A83,Acuses!$B$5:$B$3004,AF$4,Acuses!$C$5:$C$3004,AF$5),AF$8)&lt;Resumen!$C$4,"Caducado",IF(EDATE(_xlfn.MAXIFS(Acuses!$D$5:$D$3004,Acuses!$A$5:$A$3004,$A83,Acuses!$B$5:$B$3004,AF$4,Acuses!$C$5:$C$3004,AF$5),AF$8)&lt;Resumen!$C$4+30,"Caduca pronto","OK"))))))</f>
        <v/>
      </c>
      <c r="AG83" s="26" t="str">
        <f aca="false">IF(OR($A83="",AG$4=""),"",IF(NOT(OR(AG$6="Toda la plantilla",ISNUMBER(SEARCH(";"&amp;SUBSTITUTE($C83," ","")&amp;";",";"&amp;SUBSTITUTE(AG$7," ","")&amp;";")))),"—",IF(_xlfn.MAXIFS(Acuses!$C$5:$C$3004,Acuses!$A$5:$A$3004,$A83,Acuses!$B$5:$B$3004,AG$4)&lt;AG$5,"Pendiente",IF(AG$8=0,"OK",IF(EDATE(_xlfn.MAXIFS(Acuses!$D$5:$D$3004,Acuses!$A$5:$A$3004,$A83,Acuses!$B$5:$B$3004,AG$4,Acuses!$C$5:$C$3004,AG$5),AG$8)&lt;Resumen!$C$4,"Caducado",IF(EDATE(_xlfn.MAXIFS(Acuses!$D$5:$D$3004,Acuses!$A$5:$A$3004,$A83,Acuses!$B$5:$B$3004,AG$4,Acuses!$C$5:$C$3004,AG$5),AG$8)&lt;Resumen!$C$4+30,"Caduca pronto","OK"))))))</f>
        <v/>
      </c>
      <c r="AH83" s="26" t="str">
        <f aca="false">IF(OR($A83="",AH$4=""),"",IF(NOT(OR(AH$6="Toda la plantilla",ISNUMBER(SEARCH(";"&amp;SUBSTITUTE($C83," ","")&amp;";",";"&amp;SUBSTITUTE(AH$7," ","")&amp;";")))),"—",IF(_xlfn.MAXIFS(Acuses!$C$5:$C$3004,Acuses!$A$5:$A$3004,$A83,Acuses!$B$5:$B$3004,AH$4)&lt;AH$5,"Pendiente",IF(AH$8=0,"OK",IF(EDATE(_xlfn.MAXIFS(Acuses!$D$5:$D$3004,Acuses!$A$5:$A$3004,$A83,Acuses!$B$5:$B$3004,AH$4,Acuses!$C$5:$C$3004,AH$5),AH$8)&lt;Resumen!$C$4,"Caducado",IF(EDATE(_xlfn.MAXIFS(Acuses!$D$5:$D$3004,Acuses!$A$5:$A$3004,$A83,Acuses!$B$5:$B$3004,AH$4,Acuses!$C$5:$C$3004,AH$5),AH$8)&lt;Resumen!$C$4+30,"Caduca pronto","OK"))))))</f>
        <v/>
      </c>
      <c r="AI83" s="26" t="str">
        <f aca="false">IF(OR($A83="",AI$4=""),"",IF(NOT(OR(AI$6="Toda la plantilla",ISNUMBER(SEARCH(";"&amp;SUBSTITUTE($C83," ","")&amp;";",";"&amp;SUBSTITUTE(AI$7," ","")&amp;";")))),"—",IF(_xlfn.MAXIFS(Acuses!$C$5:$C$3004,Acuses!$A$5:$A$3004,$A83,Acuses!$B$5:$B$3004,AI$4)&lt;AI$5,"Pendiente",IF(AI$8=0,"OK",IF(EDATE(_xlfn.MAXIFS(Acuses!$D$5:$D$3004,Acuses!$A$5:$A$3004,$A83,Acuses!$B$5:$B$3004,AI$4,Acuses!$C$5:$C$3004,AI$5),AI$8)&lt;Resumen!$C$4,"Caducado",IF(EDATE(_xlfn.MAXIFS(Acuses!$D$5:$D$3004,Acuses!$A$5:$A$3004,$A83,Acuses!$B$5:$B$3004,AI$4,Acuses!$C$5:$C$3004,AI$5),AI$8)&lt;Resumen!$C$4+30,"Caduca pronto","OK"))))))</f>
        <v/>
      </c>
      <c r="AJ83" s="26" t="str">
        <f aca="false">IF(OR($A83="",AJ$4=""),"",IF(NOT(OR(AJ$6="Toda la plantilla",ISNUMBER(SEARCH(";"&amp;SUBSTITUTE($C83," ","")&amp;";",";"&amp;SUBSTITUTE(AJ$7," ","")&amp;";")))),"—",IF(_xlfn.MAXIFS(Acuses!$C$5:$C$3004,Acuses!$A$5:$A$3004,$A83,Acuses!$B$5:$B$3004,AJ$4)&lt;AJ$5,"Pendiente",IF(AJ$8=0,"OK",IF(EDATE(_xlfn.MAXIFS(Acuses!$D$5:$D$3004,Acuses!$A$5:$A$3004,$A83,Acuses!$B$5:$B$3004,AJ$4,Acuses!$C$5:$C$3004,AJ$5),AJ$8)&lt;Resumen!$C$4,"Caducado",IF(EDATE(_xlfn.MAXIFS(Acuses!$D$5:$D$3004,Acuses!$A$5:$A$3004,$A83,Acuses!$B$5:$B$3004,AJ$4,Acuses!$C$5:$C$3004,AJ$5),AJ$8)&lt;Resumen!$C$4+30,"Caduca pronto","OK"))))))</f>
        <v/>
      </c>
      <c r="AK83" s="26" t="str">
        <f aca="false">IF(OR($A83="",AK$4=""),"",IF(NOT(OR(AK$6="Toda la plantilla",ISNUMBER(SEARCH(";"&amp;SUBSTITUTE($C83," ","")&amp;";",";"&amp;SUBSTITUTE(AK$7," ","")&amp;";")))),"—",IF(_xlfn.MAXIFS(Acuses!$C$5:$C$3004,Acuses!$A$5:$A$3004,$A83,Acuses!$B$5:$B$3004,AK$4)&lt;AK$5,"Pendiente",IF(AK$8=0,"OK",IF(EDATE(_xlfn.MAXIFS(Acuses!$D$5:$D$3004,Acuses!$A$5:$A$3004,$A83,Acuses!$B$5:$B$3004,AK$4,Acuses!$C$5:$C$3004,AK$5),AK$8)&lt;Resumen!$C$4,"Caducado",IF(EDATE(_xlfn.MAXIFS(Acuses!$D$5:$D$3004,Acuses!$A$5:$A$3004,$A83,Acuses!$B$5:$B$3004,AK$4,Acuses!$C$5:$C$3004,AK$5),AK$8)&lt;Resumen!$C$4+30,"Caduca pronto","OK"))))))</f>
        <v/>
      </c>
      <c r="AL83" s="26" t="str">
        <f aca="false">IF(OR($A83="",AL$4=""),"",IF(NOT(OR(AL$6="Toda la plantilla",ISNUMBER(SEARCH(";"&amp;SUBSTITUTE($C83," ","")&amp;";",";"&amp;SUBSTITUTE(AL$7," ","")&amp;";")))),"—",IF(_xlfn.MAXIFS(Acuses!$C$5:$C$3004,Acuses!$A$5:$A$3004,$A83,Acuses!$B$5:$B$3004,AL$4)&lt;AL$5,"Pendiente",IF(AL$8=0,"OK",IF(EDATE(_xlfn.MAXIFS(Acuses!$D$5:$D$3004,Acuses!$A$5:$A$3004,$A83,Acuses!$B$5:$B$3004,AL$4,Acuses!$C$5:$C$3004,AL$5),AL$8)&lt;Resumen!$C$4,"Caducado",IF(EDATE(_xlfn.MAXIFS(Acuses!$D$5:$D$3004,Acuses!$A$5:$A$3004,$A83,Acuses!$B$5:$B$3004,AL$4,Acuses!$C$5:$C$3004,AL$5),AL$8)&lt;Resumen!$C$4+30,"Caduca pronto","OK"))))))</f>
        <v/>
      </c>
      <c r="AM83" s="26" t="str">
        <f aca="false">IF(OR($A83="",AM$4=""),"",IF(NOT(OR(AM$6="Toda la plantilla",ISNUMBER(SEARCH(";"&amp;SUBSTITUTE($C83," ","")&amp;";",";"&amp;SUBSTITUTE(AM$7," ","")&amp;";")))),"—",IF(_xlfn.MAXIFS(Acuses!$C$5:$C$3004,Acuses!$A$5:$A$3004,$A83,Acuses!$B$5:$B$3004,AM$4)&lt;AM$5,"Pendiente",IF(AM$8=0,"OK",IF(EDATE(_xlfn.MAXIFS(Acuses!$D$5:$D$3004,Acuses!$A$5:$A$3004,$A83,Acuses!$B$5:$B$3004,AM$4,Acuses!$C$5:$C$3004,AM$5),AM$8)&lt;Resumen!$C$4,"Caducado",IF(EDATE(_xlfn.MAXIFS(Acuses!$D$5:$D$3004,Acuses!$A$5:$A$3004,$A83,Acuses!$B$5:$B$3004,AM$4,Acuses!$C$5:$C$3004,AM$5),AM$8)&lt;Resumen!$C$4+30,"Caduca pronto","OK"))))))</f>
        <v/>
      </c>
      <c r="AN83" s="26" t="str">
        <f aca="false">IF(OR($A83="",AN$4=""),"",IF(NOT(OR(AN$6="Toda la plantilla",ISNUMBER(SEARCH(";"&amp;SUBSTITUTE($C83," ","")&amp;";",";"&amp;SUBSTITUTE(AN$7," ","")&amp;";")))),"—",IF(_xlfn.MAXIFS(Acuses!$C$5:$C$3004,Acuses!$A$5:$A$3004,$A83,Acuses!$B$5:$B$3004,AN$4)&lt;AN$5,"Pendiente",IF(AN$8=0,"OK",IF(EDATE(_xlfn.MAXIFS(Acuses!$D$5:$D$3004,Acuses!$A$5:$A$3004,$A83,Acuses!$B$5:$B$3004,AN$4,Acuses!$C$5:$C$3004,AN$5),AN$8)&lt;Resumen!$C$4,"Caducado",IF(EDATE(_xlfn.MAXIFS(Acuses!$D$5:$D$3004,Acuses!$A$5:$A$3004,$A83,Acuses!$B$5:$B$3004,AN$4,Acuses!$C$5:$C$3004,AN$5),AN$8)&lt;Resumen!$C$4+30,"Caduca pronto","OK"))))))</f>
        <v/>
      </c>
      <c r="AO83" s="26" t="str">
        <f aca="false">IF(OR($A83="",AO$4=""),"",IF(NOT(OR(AO$6="Toda la plantilla",ISNUMBER(SEARCH(";"&amp;SUBSTITUTE($C83," ","")&amp;";",";"&amp;SUBSTITUTE(AO$7," ","")&amp;";")))),"—",IF(_xlfn.MAXIFS(Acuses!$C$5:$C$3004,Acuses!$A$5:$A$3004,$A83,Acuses!$B$5:$B$3004,AO$4)&lt;AO$5,"Pendiente",IF(AO$8=0,"OK",IF(EDATE(_xlfn.MAXIFS(Acuses!$D$5:$D$3004,Acuses!$A$5:$A$3004,$A83,Acuses!$B$5:$B$3004,AO$4,Acuses!$C$5:$C$3004,AO$5),AO$8)&lt;Resumen!$C$4,"Caducado",IF(EDATE(_xlfn.MAXIFS(Acuses!$D$5:$D$3004,Acuses!$A$5:$A$3004,$A83,Acuses!$B$5:$B$3004,AO$4,Acuses!$C$5:$C$3004,AO$5),AO$8)&lt;Resumen!$C$4+30,"Caduca pronto","OK"))))))</f>
        <v/>
      </c>
      <c r="AP83" s="26" t="str">
        <f aca="false">IF(OR($A83="",AP$4=""),"",IF(NOT(OR(AP$6="Toda la plantilla",ISNUMBER(SEARCH(";"&amp;SUBSTITUTE($C83," ","")&amp;";",";"&amp;SUBSTITUTE(AP$7," ","")&amp;";")))),"—",IF(_xlfn.MAXIFS(Acuses!$C$5:$C$3004,Acuses!$A$5:$A$3004,$A83,Acuses!$B$5:$B$3004,AP$4)&lt;AP$5,"Pendiente",IF(AP$8=0,"OK",IF(EDATE(_xlfn.MAXIFS(Acuses!$D$5:$D$3004,Acuses!$A$5:$A$3004,$A83,Acuses!$B$5:$B$3004,AP$4,Acuses!$C$5:$C$3004,AP$5),AP$8)&lt;Resumen!$C$4,"Caducado",IF(EDATE(_xlfn.MAXIFS(Acuses!$D$5:$D$3004,Acuses!$A$5:$A$3004,$A83,Acuses!$B$5:$B$3004,AP$4,Acuses!$C$5:$C$3004,AP$5),AP$8)&lt;Resumen!$C$4+30,"Caduca pronto","OK"))))))</f>
        <v/>
      </c>
      <c r="AQ83" s="26" t="str">
        <f aca="false">IF(OR($A83="",AQ$4=""),"",IF(NOT(OR(AQ$6="Toda la plantilla",ISNUMBER(SEARCH(";"&amp;SUBSTITUTE($C83," ","")&amp;";",";"&amp;SUBSTITUTE(AQ$7," ","")&amp;";")))),"—",IF(_xlfn.MAXIFS(Acuses!$C$5:$C$3004,Acuses!$A$5:$A$3004,$A83,Acuses!$B$5:$B$3004,AQ$4)&lt;AQ$5,"Pendiente",IF(AQ$8=0,"OK",IF(EDATE(_xlfn.MAXIFS(Acuses!$D$5:$D$3004,Acuses!$A$5:$A$3004,$A83,Acuses!$B$5:$B$3004,AQ$4,Acuses!$C$5:$C$3004,AQ$5),AQ$8)&lt;Resumen!$C$4,"Caducado",IF(EDATE(_xlfn.MAXIFS(Acuses!$D$5:$D$3004,Acuses!$A$5:$A$3004,$A83,Acuses!$B$5:$B$3004,AQ$4,Acuses!$C$5:$C$3004,AQ$5),AQ$8)&lt;Resumen!$C$4+30,"Caduca pronto","OK"))))))</f>
        <v/>
      </c>
    </row>
    <row r="84" customFormat="false" ht="15" hidden="false" customHeight="false" outlineLevel="0" collapsed="false">
      <c r="A84" s="25" t="str">
        <f aca="false">IF(AND(Trabajadores!$A$79&lt;&gt;"",Trabajadores!$G$79&lt;&gt;"No"),Trabajadores!$A$79,"")</f>
        <v/>
      </c>
      <c r="B84" s="25" t="str">
        <f aca="false">IF($A84="","",Trabajadores!$B$79)</f>
        <v/>
      </c>
      <c r="C84" s="25" t="str">
        <f aca="false">IF($A84="","",Trabajadores!$C$79)</f>
        <v/>
      </c>
      <c r="D84" s="26" t="str">
        <f aca="false">IF(OR($A84="",D$4=""),"",IF(NOT(OR(D$6="Toda la plantilla",ISNUMBER(SEARCH(";"&amp;SUBSTITUTE($C84," ","")&amp;";",";"&amp;SUBSTITUTE(D$7," ","")&amp;";")))),"—",IF(_xlfn.MAXIFS(Acuses!$C$5:$C$3004,Acuses!$A$5:$A$3004,$A84,Acuses!$B$5:$B$3004,D$4)&lt;D$5,"Pendiente",IF(D$8=0,"OK",IF(EDATE(_xlfn.MAXIFS(Acuses!$D$5:$D$3004,Acuses!$A$5:$A$3004,$A84,Acuses!$B$5:$B$3004,D$4,Acuses!$C$5:$C$3004,D$5),D$8)&lt;Resumen!$C$4,"Caducado",IF(EDATE(_xlfn.MAXIFS(Acuses!$D$5:$D$3004,Acuses!$A$5:$A$3004,$A84,Acuses!$B$5:$B$3004,D$4,Acuses!$C$5:$C$3004,D$5),D$8)&lt;Resumen!$C$4+30,"Caduca pronto","OK"))))))</f>
        <v/>
      </c>
      <c r="E84" s="26" t="str">
        <f aca="false">IF(OR($A84="",E$4=""),"",IF(NOT(OR(E$6="Toda la plantilla",ISNUMBER(SEARCH(";"&amp;SUBSTITUTE($C84," ","")&amp;";",";"&amp;SUBSTITUTE(E$7," ","")&amp;";")))),"—",IF(_xlfn.MAXIFS(Acuses!$C$5:$C$3004,Acuses!$A$5:$A$3004,$A84,Acuses!$B$5:$B$3004,E$4)&lt;E$5,"Pendiente",IF(E$8=0,"OK",IF(EDATE(_xlfn.MAXIFS(Acuses!$D$5:$D$3004,Acuses!$A$5:$A$3004,$A84,Acuses!$B$5:$B$3004,E$4,Acuses!$C$5:$C$3004,E$5),E$8)&lt;Resumen!$C$4,"Caducado",IF(EDATE(_xlfn.MAXIFS(Acuses!$D$5:$D$3004,Acuses!$A$5:$A$3004,$A84,Acuses!$B$5:$B$3004,E$4,Acuses!$C$5:$C$3004,E$5),E$8)&lt;Resumen!$C$4+30,"Caduca pronto","OK"))))))</f>
        <v/>
      </c>
      <c r="F84" s="26" t="str">
        <f aca="false">IF(OR($A84="",F$4=""),"",IF(NOT(OR(F$6="Toda la plantilla",ISNUMBER(SEARCH(";"&amp;SUBSTITUTE($C84," ","")&amp;";",";"&amp;SUBSTITUTE(F$7," ","")&amp;";")))),"—",IF(_xlfn.MAXIFS(Acuses!$C$5:$C$3004,Acuses!$A$5:$A$3004,$A84,Acuses!$B$5:$B$3004,F$4)&lt;F$5,"Pendiente",IF(F$8=0,"OK",IF(EDATE(_xlfn.MAXIFS(Acuses!$D$5:$D$3004,Acuses!$A$5:$A$3004,$A84,Acuses!$B$5:$B$3004,F$4,Acuses!$C$5:$C$3004,F$5),F$8)&lt;Resumen!$C$4,"Caducado",IF(EDATE(_xlfn.MAXIFS(Acuses!$D$5:$D$3004,Acuses!$A$5:$A$3004,$A84,Acuses!$B$5:$B$3004,F$4,Acuses!$C$5:$C$3004,F$5),F$8)&lt;Resumen!$C$4+30,"Caduca pronto","OK"))))))</f>
        <v/>
      </c>
      <c r="G84" s="26" t="str">
        <f aca="false">IF(OR($A84="",G$4=""),"",IF(NOT(OR(G$6="Toda la plantilla",ISNUMBER(SEARCH(";"&amp;SUBSTITUTE($C84," ","")&amp;";",";"&amp;SUBSTITUTE(G$7," ","")&amp;";")))),"—",IF(_xlfn.MAXIFS(Acuses!$C$5:$C$3004,Acuses!$A$5:$A$3004,$A84,Acuses!$B$5:$B$3004,G$4)&lt;G$5,"Pendiente",IF(G$8=0,"OK",IF(EDATE(_xlfn.MAXIFS(Acuses!$D$5:$D$3004,Acuses!$A$5:$A$3004,$A84,Acuses!$B$5:$B$3004,G$4,Acuses!$C$5:$C$3004,G$5),G$8)&lt;Resumen!$C$4,"Caducado",IF(EDATE(_xlfn.MAXIFS(Acuses!$D$5:$D$3004,Acuses!$A$5:$A$3004,$A84,Acuses!$B$5:$B$3004,G$4,Acuses!$C$5:$C$3004,G$5),G$8)&lt;Resumen!$C$4+30,"Caduca pronto","OK"))))))</f>
        <v/>
      </c>
      <c r="H84" s="26" t="str">
        <f aca="false">IF(OR($A84="",H$4=""),"",IF(NOT(OR(H$6="Toda la plantilla",ISNUMBER(SEARCH(";"&amp;SUBSTITUTE($C84," ","")&amp;";",";"&amp;SUBSTITUTE(H$7," ","")&amp;";")))),"—",IF(_xlfn.MAXIFS(Acuses!$C$5:$C$3004,Acuses!$A$5:$A$3004,$A84,Acuses!$B$5:$B$3004,H$4)&lt;H$5,"Pendiente",IF(H$8=0,"OK",IF(EDATE(_xlfn.MAXIFS(Acuses!$D$5:$D$3004,Acuses!$A$5:$A$3004,$A84,Acuses!$B$5:$B$3004,H$4,Acuses!$C$5:$C$3004,H$5),H$8)&lt;Resumen!$C$4,"Caducado",IF(EDATE(_xlfn.MAXIFS(Acuses!$D$5:$D$3004,Acuses!$A$5:$A$3004,$A84,Acuses!$B$5:$B$3004,H$4,Acuses!$C$5:$C$3004,H$5),H$8)&lt;Resumen!$C$4+30,"Caduca pronto","OK"))))))</f>
        <v/>
      </c>
      <c r="I84" s="26" t="str">
        <f aca="false">IF(OR($A84="",I$4=""),"",IF(NOT(OR(I$6="Toda la plantilla",ISNUMBER(SEARCH(";"&amp;SUBSTITUTE($C84," ","")&amp;";",";"&amp;SUBSTITUTE(I$7," ","")&amp;";")))),"—",IF(_xlfn.MAXIFS(Acuses!$C$5:$C$3004,Acuses!$A$5:$A$3004,$A84,Acuses!$B$5:$B$3004,I$4)&lt;I$5,"Pendiente",IF(I$8=0,"OK",IF(EDATE(_xlfn.MAXIFS(Acuses!$D$5:$D$3004,Acuses!$A$5:$A$3004,$A84,Acuses!$B$5:$B$3004,I$4,Acuses!$C$5:$C$3004,I$5),I$8)&lt;Resumen!$C$4,"Caducado",IF(EDATE(_xlfn.MAXIFS(Acuses!$D$5:$D$3004,Acuses!$A$5:$A$3004,$A84,Acuses!$B$5:$B$3004,I$4,Acuses!$C$5:$C$3004,I$5),I$8)&lt;Resumen!$C$4+30,"Caduca pronto","OK"))))))</f>
        <v/>
      </c>
      <c r="J84" s="26" t="str">
        <f aca="false">IF(OR($A84="",J$4=""),"",IF(NOT(OR(J$6="Toda la plantilla",ISNUMBER(SEARCH(";"&amp;SUBSTITUTE($C84," ","")&amp;";",";"&amp;SUBSTITUTE(J$7," ","")&amp;";")))),"—",IF(_xlfn.MAXIFS(Acuses!$C$5:$C$3004,Acuses!$A$5:$A$3004,$A84,Acuses!$B$5:$B$3004,J$4)&lt;J$5,"Pendiente",IF(J$8=0,"OK",IF(EDATE(_xlfn.MAXIFS(Acuses!$D$5:$D$3004,Acuses!$A$5:$A$3004,$A84,Acuses!$B$5:$B$3004,J$4,Acuses!$C$5:$C$3004,J$5),J$8)&lt;Resumen!$C$4,"Caducado",IF(EDATE(_xlfn.MAXIFS(Acuses!$D$5:$D$3004,Acuses!$A$5:$A$3004,$A84,Acuses!$B$5:$B$3004,J$4,Acuses!$C$5:$C$3004,J$5),J$8)&lt;Resumen!$C$4+30,"Caduca pronto","OK"))))))</f>
        <v/>
      </c>
      <c r="K84" s="26" t="str">
        <f aca="false">IF(OR($A84="",K$4=""),"",IF(NOT(OR(K$6="Toda la plantilla",ISNUMBER(SEARCH(";"&amp;SUBSTITUTE($C84," ","")&amp;";",";"&amp;SUBSTITUTE(K$7," ","")&amp;";")))),"—",IF(_xlfn.MAXIFS(Acuses!$C$5:$C$3004,Acuses!$A$5:$A$3004,$A84,Acuses!$B$5:$B$3004,K$4)&lt;K$5,"Pendiente",IF(K$8=0,"OK",IF(EDATE(_xlfn.MAXIFS(Acuses!$D$5:$D$3004,Acuses!$A$5:$A$3004,$A84,Acuses!$B$5:$B$3004,K$4,Acuses!$C$5:$C$3004,K$5),K$8)&lt;Resumen!$C$4,"Caducado",IF(EDATE(_xlfn.MAXIFS(Acuses!$D$5:$D$3004,Acuses!$A$5:$A$3004,$A84,Acuses!$B$5:$B$3004,K$4,Acuses!$C$5:$C$3004,K$5),K$8)&lt;Resumen!$C$4+30,"Caduca pronto","OK"))))))</f>
        <v/>
      </c>
      <c r="L84" s="26" t="str">
        <f aca="false">IF(OR($A84="",L$4=""),"",IF(NOT(OR(L$6="Toda la plantilla",ISNUMBER(SEARCH(";"&amp;SUBSTITUTE($C84," ","")&amp;";",";"&amp;SUBSTITUTE(L$7," ","")&amp;";")))),"—",IF(_xlfn.MAXIFS(Acuses!$C$5:$C$3004,Acuses!$A$5:$A$3004,$A84,Acuses!$B$5:$B$3004,L$4)&lt;L$5,"Pendiente",IF(L$8=0,"OK",IF(EDATE(_xlfn.MAXIFS(Acuses!$D$5:$D$3004,Acuses!$A$5:$A$3004,$A84,Acuses!$B$5:$B$3004,L$4,Acuses!$C$5:$C$3004,L$5),L$8)&lt;Resumen!$C$4,"Caducado",IF(EDATE(_xlfn.MAXIFS(Acuses!$D$5:$D$3004,Acuses!$A$5:$A$3004,$A84,Acuses!$B$5:$B$3004,L$4,Acuses!$C$5:$C$3004,L$5),L$8)&lt;Resumen!$C$4+30,"Caduca pronto","OK"))))))</f>
        <v/>
      </c>
      <c r="M84" s="26" t="str">
        <f aca="false">IF(OR($A84="",M$4=""),"",IF(NOT(OR(M$6="Toda la plantilla",ISNUMBER(SEARCH(";"&amp;SUBSTITUTE($C84," ","")&amp;";",";"&amp;SUBSTITUTE(M$7," ","")&amp;";")))),"—",IF(_xlfn.MAXIFS(Acuses!$C$5:$C$3004,Acuses!$A$5:$A$3004,$A84,Acuses!$B$5:$B$3004,M$4)&lt;M$5,"Pendiente",IF(M$8=0,"OK",IF(EDATE(_xlfn.MAXIFS(Acuses!$D$5:$D$3004,Acuses!$A$5:$A$3004,$A84,Acuses!$B$5:$B$3004,M$4,Acuses!$C$5:$C$3004,M$5),M$8)&lt;Resumen!$C$4,"Caducado",IF(EDATE(_xlfn.MAXIFS(Acuses!$D$5:$D$3004,Acuses!$A$5:$A$3004,$A84,Acuses!$B$5:$B$3004,M$4,Acuses!$C$5:$C$3004,M$5),M$8)&lt;Resumen!$C$4+30,"Caduca pronto","OK"))))))</f>
        <v/>
      </c>
      <c r="N84" s="26" t="str">
        <f aca="false">IF(OR($A84="",N$4=""),"",IF(NOT(OR(N$6="Toda la plantilla",ISNUMBER(SEARCH(";"&amp;SUBSTITUTE($C84," ","")&amp;";",";"&amp;SUBSTITUTE(N$7," ","")&amp;";")))),"—",IF(_xlfn.MAXIFS(Acuses!$C$5:$C$3004,Acuses!$A$5:$A$3004,$A84,Acuses!$B$5:$B$3004,N$4)&lt;N$5,"Pendiente",IF(N$8=0,"OK",IF(EDATE(_xlfn.MAXIFS(Acuses!$D$5:$D$3004,Acuses!$A$5:$A$3004,$A84,Acuses!$B$5:$B$3004,N$4,Acuses!$C$5:$C$3004,N$5),N$8)&lt;Resumen!$C$4,"Caducado",IF(EDATE(_xlfn.MAXIFS(Acuses!$D$5:$D$3004,Acuses!$A$5:$A$3004,$A84,Acuses!$B$5:$B$3004,N$4,Acuses!$C$5:$C$3004,N$5),N$8)&lt;Resumen!$C$4+30,"Caduca pronto","OK"))))))</f>
        <v/>
      </c>
      <c r="O84" s="26" t="str">
        <f aca="false">IF(OR($A84="",O$4=""),"",IF(NOT(OR(O$6="Toda la plantilla",ISNUMBER(SEARCH(";"&amp;SUBSTITUTE($C84," ","")&amp;";",";"&amp;SUBSTITUTE(O$7," ","")&amp;";")))),"—",IF(_xlfn.MAXIFS(Acuses!$C$5:$C$3004,Acuses!$A$5:$A$3004,$A84,Acuses!$B$5:$B$3004,O$4)&lt;O$5,"Pendiente",IF(O$8=0,"OK",IF(EDATE(_xlfn.MAXIFS(Acuses!$D$5:$D$3004,Acuses!$A$5:$A$3004,$A84,Acuses!$B$5:$B$3004,O$4,Acuses!$C$5:$C$3004,O$5),O$8)&lt;Resumen!$C$4,"Caducado",IF(EDATE(_xlfn.MAXIFS(Acuses!$D$5:$D$3004,Acuses!$A$5:$A$3004,$A84,Acuses!$B$5:$B$3004,O$4,Acuses!$C$5:$C$3004,O$5),O$8)&lt;Resumen!$C$4+30,"Caduca pronto","OK"))))))</f>
        <v/>
      </c>
      <c r="P84" s="26" t="str">
        <f aca="false">IF(OR($A84="",P$4=""),"",IF(NOT(OR(P$6="Toda la plantilla",ISNUMBER(SEARCH(";"&amp;SUBSTITUTE($C84," ","")&amp;";",";"&amp;SUBSTITUTE(P$7," ","")&amp;";")))),"—",IF(_xlfn.MAXIFS(Acuses!$C$5:$C$3004,Acuses!$A$5:$A$3004,$A84,Acuses!$B$5:$B$3004,P$4)&lt;P$5,"Pendiente",IF(P$8=0,"OK",IF(EDATE(_xlfn.MAXIFS(Acuses!$D$5:$D$3004,Acuses!$A$5:$A$3004,$A84,Acuses!$B$5:$B$3004,P$4,Acuses!$C$5:$C$3004,P$5),P$8)&lt;Resumen!$C$4,"Caducado",IF(EDATE(_xlfn.MAXIFS(Acuses!$D$5:$D$3004,Acuses!$A$5:$A$3004,$A84,Acuses!$B$5:$B$3004,P$4,Acuses!$C$5:$C$3004,P$5),P$8)&lt;Resumen!$C$4+30,"Caduca pronto","OK"))))))</f>
        <v/>
      </c>
      <c r="Q84" s="26" t="str">
        <f aca="false">IF(OR($A84="",Q$4=""),"",IF(NOT(OR(Q$6="Toda la plantilla",ISNUMBER(SEARCH(";"&amp;SUBSTITUTE($C84," ","")&amp;";",";"&amp;SUBSTITUTE(Q$7," ","")&amp;";")))),"—",IF(_xlfn.MAXIFS(Acuses!$C$5:$C$3004,Acuses!$A$5:$A$3004,$A84,Acuses!$B$5:$B$3004,Q$4)&lt;Q$5,"Pendiente",IF(Q$8=0,"OK",IF(EDATE(_xlfn.MAXIFS(Acuses!$D$5:$D$3004,Acuses!$A$5:$A$3004,$A84,Acuses!$B$5:$B$3004,Q$4,Acuses!$C$5:$C$3004,Q$5),Q$8)&lt;Resumen!$C$4,"Caducado",IF(EDATE(_xlfn.MAXIFS(Acuses!$D$5:$D$3004,Acuses!$A$5:$A$3004,$A84,Acuses!$B$5:$B$3004,Q$4,Acuses!$C$5:$C$3004,Q$5),Q$8)&lt;Resumen!$C$4+30,"Caduca pronto","OK"))))))</f>
        <v/>
      </c>
      <c r="R84" s="26" t="str">
        <f aca="false">IF(OR($A84="",R$4=""),"",IF(NOT(OR(R$6="Toda la plantilla",ISNUMBER(SEARCH(";"&amp;SUBSTITUTE($C84," ","")&amp;";",";"&amp;SUBSTITUTE(R$7," ","")&amp;";")))),"—",IF(_xlfn.MAXIFS(Acuses!$C$5:$C$3004,Acuses!$A$5:$A$3004,$A84,Acuses!$B$5:$B$3004,R$4)&lt;R$5,"Pendiente",IF(R$8=0,"OK",IF(EDATE(_xlfn.MAXIFS(Acuses!$D$5:$D$3004,Acuses!$A$5:$A$3004,$A84,Acuses!$B$5:$B$3004,R$4,Acuses!$C$5:$C$3004,R$5),R$8)&lt;Resumen!$C$4,"Caducado",IF(EDATE(_xlfn.MAXIFS(Acuses!$D$5:$D$3004,Acuses!$A$5:$A$3004,$A84,Acuses!$B$5:$B$3004,R$4,Acuses!$C$5:$C$3004,R$5),R$8)&lt;Resumen!$C$4+30,"Caduca pronto","OK"))))))</f>
        <v/>
      </c>
      <c r="S84" s="26" t="str">
        <f aca="false">IF(OR($A84="",S$4=""),"",IF(NOT(OR(S$6="Toda la plantilla",ISNUMBER(SEARCH(";"&amp;SUBSTITUTE($C84," ","")&amp;";",";"&amp;SUBSTITUTE(S$7," ","")&amp;";")))),"—",IF(_xlfn.MAXIFS(Acuses!$C$5:$C$3004,Acuses!$A$5:$A$3004,$A84,Acuses!$B$5:$B$3004,S$4)&lt;S$5,"Pendiente",IF(S$8=0,"OK",IF(EDATE(_xlfn.MAXIFS(Acuses!$D$5:$D$3004,Acuses!$A$5:$A$3004,$A84,Acuses!$B$5:$B$3004,S$4,Acuses!$C$5:$C$3004,S$5),S$8)&lt;Resumen!$C$4,"Caducado",IF(EDATE(_xlfn.MAXIFS(Acuses!$D$5:$D$3004,Acuses!$A$5:$A$3004,$A84,Acuses!$B$5:$B$3004,S$4,Acuses!$C$5:$C$3004,S$5),S$8)&lt;Resumen!$C$4+30,"Caduca pronto","OK"))))))</f>
        <v/>
      </c>
      <c r="T84" s="26" t="str">
        <f aca="false">IF(OR($A84="",T$4=""),"",IF(NOT(OR(T$6="Toda la plantilla",ISNUMBER(SEARCH(";"&amp;SUBSTITUTE($C84," ","")&amp;";",";"&amp;SUBSTITUTE(T$7," ","")&amp;";")))),"—",IF(_xlfn.MAXIFS(Acuses!$C$5:$C$3004,Acuses!$A$5:$A$3004,$A84,Acuses!$B$5:$B$3004,T$4)&lt;T$5,"Pendiente",IF(T$8=0,"OK",IF(EDATE(_xlfn.MAXIFS(Acuses!$D$5:$D$3004,Acuses!$A$5:$A$3004,$A84,Acuses!$B$5:$B$3004,T$4,Acuses!$C$5:$C$3004,T$5),T$8)&lt;Resumen!$C$4,"Caducado",IF(EDATE(_xlfn.MAXIFS(Acuses!$D$5:$D$3004,Acuses!$A$5:$A$3004,$A84,Acuses!$B$5:$B$3004,T$4,Acuses!$C$5:$C$3004,T$5),T$8)&lt;Resumen!$C$4+30,"Caduca pronto","OK"))))))</f>
        <v/>
      </c>
      <c r="U84" s="26" t="str">
        <f aca="false">IF(OR($A84="",U$4=""),"",IF(NOT(OR(U$6="Toda la plantilla",ISNUMBER(SEARCH(";"&amp;SUBSTITUTE($C84," ","")&amp;";",";"&amp;SUBSTITUTE(U$7," ","")&amp;";")))),"—",IF(_xlfn.MAXIFS(Acuses!$C$5:$C$3004,Acuses!$A$5:$A$3004,$A84,Acuses!$B$5:$B$3004,U$4)&lt;U$5,"Pendiente",IF(U$8=0,"OK",IF(EDATE(_xlfn.MAXIFS(Acuses!$D$5:$D$3004,Acuses!$A$5:$A$3004,$A84,Acuses!$B$5:$B$3004,U$4,Acuses!$C$5:$C$3004,U$5),U$8)&lt;Resumen!$C$4,"Caducado",IF(EDATE(_xlfn.MAXIFS(Acuses!$D$5:$D$3004,Acuses!$A$5:$A$3004,$A84,Acuses!$B$5:$B$3004,U$4,Acuses!$C$5:$C$3004,U$5),U$8)&lt;Resumen!$C$4+30,"Caduca pronto","OK"))))))</f>
        <v/>
      </c>
      <c r="V84" s="26" t="str">
        <f aca="false">IF(OR($A84="",V$4=""),"",IF(NOT(OR(V$6="Toda la plantilla",ISNUMBER(SEARCH(";"&amp;SUBSTITUTE($C84," ","")&amp;";",";"&amp;SUBSTITUTE(V$7," ","")&amp;";")))),"—",IF(_xlfn.MAXIFS(Acuses!$C$5:$C$3004,Acuses!$A$5:$A$3004,$A84,Acuses!$B$5:$B$3004,V$4)&lt;V$5,"Pendiente",IF(V$8=0,"OK",IF(EDATE(_xlfn.MAXIFS(Acuses!$D$5:$D$3004,Acuses!$A$5:$A$3004,$A84,Acuses!$B$5:$B$3004,V$4,Acuses!$C$5:$C$3004,V$5),V$8)&lt;Resumen!$C$4,"Caducado",IF(EDATE(_xlfn.MAXIFS(Acuses!$D$5:$D$3004,Acuses!$A$5:$A$3004,$A84,Acuses!$B$5:$B$3004,V$4,Acuses!$C$5:$C$3004,V$5),V$8)&lt;Resumen!$C$4+30,"Caduca pronto","OK"))))))</f>
        <v/>
      </c>
      <c r="W84" s="26" t="str">
        <f aca="false">IF(OR($A84="",W$4=""),"",IF(NOT(OR(W$6="Toda la plantilla",ISNUMBER(SEARCH(";"&amp;SUBSTITUTE($C84," ","")&amp;";",";"&amp;SUBSTITUTE(W$7," ","")&amp;";")))),"—",IF(_xlfn.MAXIFS(Acuses!$C$5:$C$3004,Acuses!$A$5:$A$3004,$A84,Acuses!$B$5:$B$3004,W$4)&lt;W$5,"Pendiente",IF(W$8=0,"OK",IF(EDATE(_xlfn.MAXIFS(Acuses!$D$5:$D$3004,Acuses!$A$5:$A$3004,$A84,Acuses!$B$5:$B$3004,W$4,Acuses!$C$5:$C$3004,W$5),W$8)&lt;Resumen!$C$4,"Caducado",IF(EDATE(_xlfn.MAXIFS(Acuses!$D$5:$D$3004,Acuses!$A$5:$A$3004,$A84,Acuses!$B$5:$B$3004,W$4,Acuses!$C$5:$C$3004,W$5),W$8)&lt;Resumen!$C$4+30,"Caduca pronto","OK"))))))</f>
        <v/>
      </c>
      <c r="X84" s="26" t="str">
        <f aca="false">IF(OR($A84="",X$4=""),"",IF(NOT(OR(X$6="Toda la plantilla",ISNUMBER(SEARCH(";"&amp;SUBSTITUTE($C84," ","")&amp;";",";"&amp;SUBSTITUTE(X$7," ","")&amp;";")))),"—",IF(_xlfn.MAXIFS(Acuses!$C$5:$C$3004,Acuses!$A$5:$A$3004,$A84,Acuses!$B$5:$B$3004,X$4)&lt;X$5,"Pendiente",IF(X$8=0,"OK",IF(EDATE(_xlfn.MAXIFS(Acuses!$D$5:$D$3004,Acuses!$A$5:$A$3004,$A84,Acuses!$B$5:$B$3004,X$4,Acuses!$C$5:$C$3004,X$5),X$8)&lt;Resumen!$C$4,"Caducado",IF(EDATE(_xlfn.MAXIFS(Acuses!$D$5:$D$3004,Acuses!$A$5:$A$3004,$A84,Acuses!$B$5:$B$3004,X$4,Acuses!$C$5:$C$3004,X$5),X$8)&lt;Resumen!$C$4+30,"Caduca pronto","OK"))))))</f>
        <v/>
      </c>
      <c r="Y84" s="26" t="str">
        <f aca="false">IF(OR($A84="",Y$4=""),"",IF(NOT(OR(Y$6="Toda la plantilla",ISNUMBER(SEARCH(";"&amp;SUBSTITUTE($C84," ","")&amp;";",";"&amp;SUBSTITUTE(Y$7," ","")&amp;";")))),"—",IF(_xlfn.MAXIFS(Acuses!$C$5:$C$3004,Acuses!$A$5:$A$3004,$A84,Acuses!$B$5:$B$3004,Y$4)&lt;Y$5,"Pendiente",IF(Y$8=0,"OK",IF(EDATE(_xlfn.MAXIFS(Acuses!$D$5:$D$3004,Acuses!$A$5:$A$3004,$A84,Acuses!$B$5:$B$3004,Y$4,Acuses!$C$5:$C$3004,Y$5),Y$8)&lt;Resumen!$C$4,"Caducado",IF(EDATE(_xlfn.MAXIFS(Acuses!$D$5:$D$3004,Acuses!$A$5:$A$3004,$A84,Acuses!$B$5:$B$3004,Y$4,Acuses!$C$5:$C$3004,Y$5),Y$8)&lt;Resumen!$C$4+30,"Caduca pronto","OK"))))))</f>
        <v/>
      </c>
      <c r="Z84" s="26" t="str">
        <f aca="false">IF(OR($A84="",Z$4=""),"",IF(NOT(OR(Z$6="Toda la plantilla",ISNUMBER(SEARCH(";"&amp;SUBSTITUTE($C84," ","")&amp;";",";"&amp;SUBSTITUTE(Z$7," ","")&amp;";")))),"—",IF(_xlfn.MAXIFS(Acuses!$C$5:$C$3004,Acuses!$A$5:$A$3004,$A84,Acuses!$B$5:$B$3004,Z$4)&lt;Z$5,"Pendiente",IF(Z$8=0,"OK",IF(EDATE(_xlfn.MAXIFS(Acuses!$D$5:$D$3004,Acuses!$A$5:$A$3004,$A84,Acuses!$B$5:$B$3004,Z$4,Acuses!$C$5:$C$3004,Z$5),Z$8)&lt;Resumen!$C$4,"Caducado",IF(EDATE(_xlfn.MAXIFS(Acuses!$D$5:$D$3004,Acuses!$A$5:$A$3004,$A84,Acuses!$B$5:$B$3004,Z$4,Acuses!$C$5:$C$3004,Z$5),Z$8)&lt;Resumen!$C$4+30,"Caduca pronto","OK"))))))</f>
        <v/>
      </c>
      <c r="AA84" s="26" t="str">
        <f aca="false">IF(OR($A84="",AA$4=""),"",IF(NOT(OR(AA$6="Toda la plantilla",ISNUMBER(SEARCH(";"&amp;SUBSTITUTE($C84," ","")&amp;";",";"&amp;SUBSTITUTE(AA$7," ","")&amp;";")))),"—",IF(_xlfn.MAXIFS(Acuses!$C$5:$C$3004,Acuses!$A$5:$A$3004,$A84,Acuses!$B$5:$B$3004,AA$4)&lt;AA$5,"Pendiente",IF(AA$8=0,"OK",IF(EDATE(_xlfn.MAXIFS(Acuses!$D$5:$D$3004,Acuses!$A$5:$A$3004,$A84,Acuses!$B$5:$B$3004,AA$4,Acuses!$C$5:$C$3004,AA$5),AA$8)&lt;Resumen!$C$4,"Caducado",IF(EDATE(_xlfn.MAXIFS(Acuses!$D$5:$D$3004,Acuses!$A$5:$A$3004,$A84,Acuses!$B$5:$B$3004,AA$4,Acuses!$C$5:$C$3004,AA$5),AA$8)&lt;Resumen!$C$4+30,"Caduca pronto","OK"))))))</f>
        <v/>
      </c>
      <c r="AB84" s="26" t="str">
        <f aca="false">IF(OR($A84="",AB$4=""),"",IF(NOT(OR(AB$6="Toda la plantilla",ISNUMBER(SEARCH(";"&amp;SUBSTITUTE($C84," ","")&amp;";",";"&amp;SUBSTITUTE(AB$7," ","")&amp;";")))),"—",IF(_xlfn.MAXIFS(Acuses!$C$5:$C$3004,Acuses!$A$5:$A$3004,$A84,Acuses!$B$5:$B$3004,AB$4)&lt;AB$5,"Pendiente",IF(AB$8=0,"OK",IF(EDATE(_xlfn.MAXIFS(Acuses!$D$5:$D$3004,Acuses!$A$5:$A$3004,$A84,Acuses!$B$5:$B$3004,AB$4,Acuses!$C$5:$C$3004,AB$5),AB$8)&lt;Resumen!$C$4,"Caducado",IF(EDATE(_xlfn.MAXIFS(Acuses!$D$5:$D$3004,Acuses!$A$5:$A$3004,$A84,Acuses!$B$5:$B$3004,AB$4,Acuses!$C$5:$C$3004,AB$5),AB$8)&lt;Resumen!$C$4+30,"Caduca pronto","OK"))))))</f>
        <v/>
      </c>
      <c r="AC84" s="26" t="str">
        <f aca="false">IF(OR($A84="",AC$4=""),"",IF(NOT(OR(AC$6="Toda la plantilla",ISNUMBER(SEARCH(";"&amp;SUBSTITUTE($C84," ","")&amp;";",";"&amp;SUBSTITUTE(AC$7," ","")&amp;";")))),"—",IF(_xlfn.MAXIFS(Acuses!$C$5:$C$3004,Acuses!$A$5:$A$3004,$A84,Acuses!$B$5:$B$3004,AC$4)&lt;AC$5,"Pendiente",IF(AC$8=0,"OK",IF(EDATE(_xlfn.MAXIFS(Acuses!$D$5:$D$3004,Acuses!$A$5:$A$3004,$A84,Acuses!$B$5:$B$3004,AC$4,Acuses!$C$5:$C$3004,AC$5),AC$8)&lt;Resumen!$C$4,"Caducado",IF(EDATE(_xlfn.MAXIFS(Acuses!$D$5:$D$3004,Acuses!$A$5:$A$3004,$A84,Acuses!$B$5:$B$3004,AC$4,Acuses!$C$5:$C$3004,AC$5),AC$8)&lt;Resumen!$C$4+30,"Caduca pronto","OK"))))))</f>
        <v/>
      </c>
      <c r="AD84" s="26" t="str">
        <f aca="false">IF(OR($A84="",AD$4=""),"",IF(NOT(OR(AD$6="Toda la plantilla",ISNUMBER(SEARCH(";"&amp;SUBSTITUTE($C84," ","")&amp;";",";"&amp;SUBSTITUTE(AD$7," ","")&amp;";")))),"—",IF(_xlfn.MAXIFS(Acuses!$C$5:$C$3004,Acuses!$A$5:$A$3004,$A84,Acuses!$B$5:$B$3004,AD$4)&lt;AD$5,"Pendiente",IF(AD$8=0,"OK",IF(EDATE(_xlfn.MAXIFS(Acuses!$D$5:$D$3004,Acuses!$A$5:$A$3004,$A84,Acuses!$B$5:$B$3004,AD$4,Acuses!$C$5:$C$3004,AD$5),AD$8)&lt;Resumen!$C$4,"Caducado",IF(EDATE(_xlfn.MAXIFS(Acuses!$D$5:$D$3004,Acuses!$A$5:$A$3004,$A84,Acuses!$B$5:$B$3004,AD$4,Acuses!$C$5:$C$3004,AD$5),AD$8)&lt;Resumen!$C$4+30,"Caduca pronto","OK"))))))</f>
        <v/>
      </c>
      <c r="AE84" s="26" t="str">
        <f aca="false">IF(OR($A84="",AE$4=""),"",IF(NOT(OR(AE$6="Toda la plantilla",ISNUMBER(SEARCH(";"&amp;SUBSTITUTE($C84," ","")&amp;";",";"&amp;SUBSTITUTE(AE$7," ","")&amp;";")))),"—",IF(_xlfn.MAXIFS(Acuses!$C$5:$C$3004,Acuses!$A$5:$A$3004,$A84,Acuses!$B$5:$B$3004,AE$4)&lt;AE$5,"Pendiente",IF(AE$8=0,"OK",IF(EDATE(_xlfn.MAXIFS(Acuses!$D$5:$D$3004,Acuses!$A$5:$A$3004,$A84,Acuses!$B$5:$B$3004,AE$4,Acuses!$C$5:$C$3004,AE$5),AE$8)&lt;Resumen!$C$4,"Caducado",IF(EDATE(_xlfn.MAXIFS(Acuses!$D$5:$D$3004,Acuses!$A$5:$A$3004,$A84,Acuses!$B$5:$B$3004,AE$4,Acuses!$C$5:$C$3004,AE$5),AE$8)&lt;Resumen!$C$4+30,"Caduca pronto","OK"))))))</f>
        <v/>
      </c>
      <c r="AF84" s="26" t="str">
        <f aca="false">IF(OR($A84="",AF$4=""),"",IF(NOT(OR(AF$6="Toda la plantilla",ISNUMBER(SEARCH(";"&amp;SUBSTITUTE($C84," ","")&amp;";",";"&amp;SUBSTITUTE(AF$7," ","")&amp;";")))),"—",IF(_xlfn.MAXIFS(Acuses!$C$5:$C$3004,Acuses!$A$5:$A$3004,$A84,Acuses!$B$5:$B$3004,AF$4)&lt;AF$5,"Pendiente",IF(AF$8=0,"OK",IF(EDATE(_xlfn.MAXIFS(Acuses!$D$5:$D$3004,Acuses!$A$5:$A$3004,$A84,Acuses!$B$5:$B$3004,AF$4,Acuses!$C$5:$C$3004,AF$5),AF$8)&lt;Resumen!$C$4,"Caducado",IF(EDATE(_xlfn.MAXIFS(Acuses!$D$5:$D$3004,Acuses!$A$5:$A$3004,$A84,Acuses!$B$5:$B$3004,AF$4,Acuses!$C$5:$C$3004,AF$5),AF$8)&lt;Resumen!$C$4+30,"Caduca pronto","OK"))))))</f>
        <v/>
      </c>
      <c r="AG84" s="26" t="str">
        <f aca="false">IF(OR($A84="",AG$4=""),"",IF(NOT(OR(AG$6="Toda la plantilla",ISNUMBER(SEARCH(";"&amp;SUBSTITUTE($C84," ","")&amp;";",";"&amp;SUBSTITUTE(AG$7," ","")&amp;";")))),"—",IF(_xlfn.MAXIFS(Acuses!$C$5:$C$3004,Acuses!$A$5:$A$3004,$A84,Acuses!$B$5:$B$3004,AG$4)&lt;AG$5,"Pendiente",IF(AG$8=0,"OK",IF(EDATE(_xlfn.MAXIFS(Acuses!$D$5:$D$3004,Acuses!$A$5:$A$3004,$A84,Acuses!$B$5:$B$3004,AG$4,Acuses!$C$5:$C$3004,AG$5),AG$8)&lt;Resumen!$C$4,"Caducado",IF(EDATE(_xlfn.MAXIFS(Acuses!$D$5:$D$3004,Acuses!$A$5:$A$3004,$A84,Acuses!$B$5:$B$3004,AG$4,Acuses!$C$5:$C$3004,AG$5),AG$8)&lt;Resumen!$C$4+30,"Caduca pronto","OK"))))))</f>
        <v/>
      </c>
      <c r="AH84" s="26" t="str">
        <f aca="false">IF(OR($A84="",AH$4=""),"",IF(NOT(OR(AH$6="Toda la plantilla",ISNUMBER(SEARCH(";"&amp;SUBSTITUTE($C84," ","")&amp;";",";"&amp;SUBSTITUTE(AH$7," ","")&amp;";")))),"—",IF(_xlfn.MAXIFS(Acuses!$C$5:$C$3004,Acuses!$A$5:$A$3004,$A84,Acuses!$B$5:$B$3004,AH$4)&lt;AH$5,"Pendiente",IF(AH$8=0,"OK",IF(EDATE(_xlfn.MAXIFS(Acuses!$D$5:$D$3004,Acuses!$A$5:$A$3004,$A84,Acuses!$B$5:$B$3004,AH$4,Acuses!$C$5:$C$3004,AH$5),AH$8)&lt;Resumen!$C$4,"Caducado",IF(EDATE(_xlfn.MAXIFS(Acuses!$D$5:$D$3004,Acuses!$A$5:$A$3004,$A84,Acuses!$B$5:$B$3004,AH$4,Acuses!$C$5:$C$3004,AH$5),AH$8)&lt;Resumen!$C$4+30,"Caduca pronto","OK"))))))</f>
        <v/>
      </c>
      <c r="AI84" s="26" t="str">
        <f aca="false">IF(OR($A84="",AI$4=""),"",IF(NOT(OR(AI$6="Toda la plantilla",ISNUMBER(SEARCH(";"&amp;SUBSTITUTE($C84," ","")&amp;";",";"&amp;SUBSTITUTE(AI$7," ","")&amp;";")))),"—",IF(_xlfn.MAXIFS(Acuses!$C$5:$C$3004,Acuses!$A$5:$A$3004,$A84,Acuses!$B$5:$B$3004,AI$4)&lt;AI$5,"Pendiente",IF(AI$8=0,"OK",IF(EDATE(_xlfn.MAXIFS(Acuses!$D$5:$D$3004,Acuses!$A$5:$A$3004,$A84,Acuses!$B$5:$B$3004,AI$4,Acuses!$C$5:$C$3004,AI$5),AI$8)&lt;Resumen!$C$4,"Caducado",IF(EDATE(_xlfn.MAXIFS(Acuses!$D$5:$D$3004,Acuses!$A$5:$A$3004,$A84,Acuses!$B$5:$B$3004,AI$4,Acuses!$C$5:$C$3004,AI$5),AI$8)&lt;Resumen!$C$4+30,"Caduca pronto","OK"))))))</f>
        <v/>
      </c>
      <c r="AJ84" s="26" t="str">
        <f aca="false">IF(OR($A84="",AJ$4=""),"",IF(NOT(OR(AJ$6="Toda la plantilla",ISNUMBER(SEARCH(";"&amp;SUBSTITUTE($C84," ","")&amp;";",";"&amp;SUBSTITUTE(AJ$7," ","")&amp;";")))),"—",IF(_xlfn.MAXIFS(Acuses!$C$5:$C$3004,Acuses!$A$5:$A$3004,$A84,Acuses!$B$5:$B$3004,AJ$4)&lt;AJ$5,"Pendiente",IF(AJ$8=0,"OK",IF(EDATE(_xlfn.MAXIFS(Acuses!$D$5:$D$3004,Acuses!$A$5:$A$3004,$A84,Acuses!$B$5:$B$3004,AJ$4,Acuses!$C$5:$C$3004,AJ$5),AJ$8)&lt;Resumen!$C$4,"Caducado",IF(EDATE(_xlfn.MAXIFS(Acuses!$D$5:$D$3004,Acuses!$A$5:$A$3004,$A84,Acuses!$B$5:$B$3004,AJ$4,Acuses!$C$5:$C$3004,AJ$5),AJ$8)&lt;Resumen!$C$4+30,"Caduca pronto","OK"))))))</f>
        <v/>
      </c>
      <c r="AK84" s="26" t="str">
        <f aca="false">IF(OR($A84="",AK$4=""),"",IF(NOT(OR(AK$6="Toda la plantilla",ISNUMBER(SEARCH(";"&amp;SUBSTITUTE($C84," ","")&amp;";",";"&amp;SUBSTITUTE(AK$7," ","")&amp;";")))),"—",IF(_xlfn.MAXIFS(Acuses!$C$5:$C$3004,Acuses!$A$5:$A$3004,$A84,Acuses!$B$5:$B$3004,AK$4)&lt;AK$5,"Pendiente",IF(AK$8=0,"OK",IF(EDATE(_xlfn.MAXIFS(Acuses!$D$5:$D$3004,Acuses!$A$5:$A$3004,$A84,Acuses!$B$5:$B$3004,AK$4,Acuses!$C$5:$C$3004,AK$5),AK$8)&lt;Resumen!$C$4,"Caducado",IF(EDATE(_xlfn.MAXIFS(Acuses!$D$5:$D$3004,Acuses!$A$5:$A$3004,$A84,Acuses!$B$5:$B$3004,AK$4,Acuses!$C$5:$C$3004,AK$5),AK$8)&lt;Resumen!$C$4+30,"Caduca pronto","OK"))))))</f>
        <v/>
      </c>
      <c r="AL84" s="26" t="str">
        <f aca="false">IF(OR($A84="",AL$4=""),"",IF(NOT(OR(AL$6="Toda la plantilla",ISNUMBER(SEARCH(";"&amp;SUBSTITUTE($C84," ","")&amp;";",";"&amp;SUBSTITUTE(AL$7," ","")&amp;";")))),"—",IF(_xlfn.MAXIFS(Acuses!$C$5:$C$3004,Acuses!$A$5:$A$3004,$A84,Acuses!$B$5:$B$3004,AL$4)&lt;AL$5,"Pendiente",IF(AL$8=0,"OK",IF(EDATE(_xlfn.MAXIFS(Acuses!$D$5:$D$3004,Acuses!$A$5:$A$3004,$A84,Acuses!$B$5:$B$3004,AL$4,Acuses!$C$5:$C$3004,AL$5),AL$8)&lt;Resumen!$C$4,"Caducado",IF(EDATE(_xlfn.MAXIFS(Acuses!$D$5:$D$3004,Acuses!$A$5:$A$3004,$A84,Acuses!$B$5:$B$3004,AL$4,Acuses!$C$5:$C$3004,AL$5),AL$8)&lt;Resumen!$C$4+30,"Caduca pronto","OK"))))))</f>
        <v/>
      </c>
      <c r="AM84" s="26" t="str">
        <f aca="false">IF(OR($A84="",AM$4=""),"",IF(NOT(OR(AM$6="Toda la plantilla",ISNUMBER(SEARCH(";"&amp;SUBSTITUTE($C84," ","")&amp;";",";"&amp;SUBSTITUTE(AM$7," ","")&amp;";")))),"—",IF(_xlfn.MAXIFS(Acuses!$C$5:$C$3004,Acuses!$A$5:$A$3004,$A84,Acuses!$B$5:$B$3004,AM$4)&lt;AM$5,"Pendiente",IF(AM$8=0,"OK",IF(EDATE(_xlfn.MAXIFS(Acuses!$D$5:$D$3004,Acuses!$A$5:$A$3004,$A84,Acuses!$B$5:$B$3004,AM$4,Acuses!$C$5:$C$3004,AM$5),AM$8)&lt;Resumen!$C$4,"Caducado",IF(EDATE(_xlfn.MAXIFS(Acuses!$D$5:$D$3004,Acuses!$A$5:$A$3004,$A84,Acuses!$B$5:$B$3004,AM$4,Acuses!$C$5:$C$3004,AM$5),AM$8)&lt;Resumen!$C$4+30,"Caduca pronto","OK"))))))</f>
        <v/>
      </c>
      <c r="AN84" s="26" t="str">
        <f aca="false">IF(OR($A84="",AN$4=""),"",IF(NOT(OR(AN$6="Toda la plantilla",ISNUMBER(SEARCH(";"&amp;SUBSTITUTE($C84," ","")&amp;";",";"&amp;SUBSTITUTE(AN$7," ","")&amp;";")))),"—",IF(_xlfn.MAXIFS(Acuses!$C$5:$C$3004,Acuses!$A$5:$A$3004,$A84,Acuses!$B$5:$B$3004,AN$4)&lt;AN$5,"Pendiente",IF(AN$8=0,"OK",IF(EDATE(_xlfn.MAXIFS(Acuses!$D$5:$D$3004,Acuses!$A$5:$A$3004,$A84,Acuses!$B$5:$B$3004,AN$4,Acuses!$C$5:$C$3004,AN$5),AN$8)&lt;Resumen!$C$4,"Caducado",IF(EDATE(_xlfn.MAXIFS(Acuses!$D$5:$D$3004,Acuses!$A$5:$A$3004,$A84,Acuses!$B$5:$B$3004,AN$4,Acuses!$C$5:$C$3004,AN$5),AN$8)&lt;Resumen!$C$4+30,"Caduca pronto","OK"))))))</f>
        <v/>
      </c>
      <c r="AO84" s="26" t="str">
        <f aca="false">IF(OR($A84="",AO$4=""),"",IF(NOT(OR(AO$6="Toda la plantilla",ISNUMBER(SEARCH(";"&amp;SUBSTITUTE($C84," ","")&amp;";",";"&amp;SUBSTITUTE(AO$7," ","")&amp;";")))),"—",IF(_xlfn.MAXIFS(Acuses!$C$5:$C$3004,Acuses!$A$5:$A$3004,$A84,Acuses!$B$5:$B$3004,AO$4)&lt;AO$5,"Pendiente",IF(AO$8=0,"OK",IF(EDATE(_xlfn.MAXIFS(Acuses!$D$5:$D$3004,Acuses!$A$5:$A$3004,$A84,Acuses!$B$5:$B$3004,AO$4,Acuses!$C$5:$C$3004,AO$5),AO$8)&lt;Resumen!$C$4,"Caducado",IF(EDATE(_xlfn.MAXIFS(Acuses!$D$5:$D$3004,Acuses!$A$5:$A$3004,$A84,Acuses!$B$5:$B$3004,AO$4,Acuses!$C$5:$C$3004,AO$5),AO$8)&lt;Resumen!$C$4+30,"Caduca pronto","OK"))))))</f>
        <v/>
      </c>
      <c r="AP84" s="26" t="str">
        <f aca="false">IF(OR($A84="",AP$4=""),"",IF(NOT(OR(AP$6="Toda la plantilla",ISNUMBER(SEARCH(";"&amp;SUBSTITUTE($C84," ","")&amp;";",";"&amp;SUBSTITUTE(AP$7," ","")&amp;";")))),"—",IF(_xlfn.MAXIFS(Acuses!$C$5:$C$3004,Acuses!$A$5:$A$3004,$A84,Acuses!$B$5:$B$3004,AP$4)&lt;AP$5,"Pendiente",IF(AP$8=0,"OK",IF(EDATE(_xlfn.MAXIFS(Acuses!$D$5:$D$3004,Acuses!$A$5:$A$3004,$A84,Acuses!$B$5:$B$3004,AP$4,Acuses!$C$5:$C$3004,AP$5),AP$8)&lt;Resumen!$C$4,"Caducado",IF(EDATE(_xlfn.MAXIFS(Acuses!$D$5:$D$3004,Acuses!$A$5:$A$3004,$A84,Acuses!$B$5:$B$3004,AP$4,Acuses!$C$5:$C$3004,AP$5),AP$8)&lt;Resumen!$C$4+30,"Caduca pronto","OK"))))))</f>
        <v/>
      </c>
      <c r="AQ84" s="26" t="str">
        <f aca="false">IF(OR($A84="",AQ$4=""),"",IF(NOT(OR(AQ$6="Toda la plantilla",ISNUMBER(SEARCH(";"&amp;SUBSTITUTE($C84," ","")&amp;";",";"&amp;SUBSTITUTE(AQ$7," ","")&amp;";")))),"—",IF(_xlfn.MAXIFS(Acuses!$C$5:$C$3004,Acuses!$A$5:$A$3004,$A84,Acuses!$B$5:$B$3004,AQ$4)&lt;AQ$5,"Pendiente",IF(AQ$8=0,"OK",IF(EDATE(_xlfn.MAXIFS(Acuses!$D$5:$D$3004,Acuses!$A$5:$A$3004,$A84,Acuses!$B$5:$B$3004,AQ$4,Acuses!$C$5:$C$3004,AQ$5),AQ$8)&lt;Resumen!$C$4,"Caducado",IF(EDATE(_xlfn.MAXIFS(Acuses!$D$5:$D$3004,Acuses!$A$5:$A$3004,$A84,Acuses!$B$5:$B$3004,AQ$4,Acuses!$C$5:$C$3004,AQ$5),AQ$8)&lt;Resumen!$C$4+30,"Caduca pronto","OK"))))))</f>
        <v/>
      </c>
    </row>
    <row r="85" customFormat="false" ht="15" hidden="false" customHeight="false" outlineLevel="0" collapsed="false">
      <c r="A85" s="25" t="str">
        <f aca="false">IF(AND(Trabajadores!$A$80&lt;&gt;"",Trabajadores!$G$80&lt;&gt;"No"),Trabajadores!$A$80,"")</f>
        <v/>
      </c>
      <c r="B85" s="25" t="str">
        <f aca="false">IF($A85="","",Trabajadores!$B$80)</f>
        <v/>
      </c>
      <c r="C85" s="25" t="str">
        <f aca="false">IF($A85="","",Trabajadores!$C$80)</f>
        <v/>
      </c>
      <c r="D85" s="26" t="str">
        <f aca="false">IF(OR($A85="",D$4=""),"",IF(NOT(OR(D$6="Toda la plantilla",ISNUMBER(SEARCH(";"&amp;SUBSTITUTE($C85," ","")&amp;";",";"&amp;SUBSTITUTE(D$7," ","")&amp;";")))),"—",IF(_xlfn.MAXIFS(Acuses!$C$5:$C$3004,Acuses!$A$5:$A$3004,$A85,Acuses!$B$5:$B$3004,D$4)&lt;D$5,"Pendiente",IF(D$8=0,"OK",IF(EDATE(_xlfn.MAXIFS(Acuses!$D$5:$D$3004,Acuses!$A$5:$A$3004,$A85,Acuses!$B$5:$B$3004,D$4,Acuses!$C$5:$C$3004,D$5),D$8)&lt;Resumen!$C$4,"Caducado",IF(EDATE(_xlfn.MAXIFS(Acuses!$D$5:$D$3004,Acuses!$A$5:$A$3004,$A85,Acuses!$B$5:$B$3004,D$4,Acuses!$C$5:$C$3004,D$5),D$8)&lt;Resumen!$C$4+30,"Caduca pronto","OK"))))))</f>
        <v/>
      </c>
      <c r="E85" s="26" t="str">
        <f aca="false">IF(OR($A85="",E$4=""),"",IF(NOT(OR(E$6="Toda la plantilla",ISNUMBER(SEARCH(";"&amp;SUBSTITUTE($C85," ","")&amp;";",";"&amp;SUBSTITUTE(E$7," ","")&amp;";")))),"—",IF(_xlfn.MAXIFS(Acuses!$C$5:$C$3004,Acuses!$A$5:$A$3004,$A85,Acuses!$B$5:$B$3004,E$4)&lt;E$5,"Pendiente",IF(E$8=0,"OK",IF(EDATE(_xlfn.MAXIFS(Acuses!$D$5:$D$3004,Acuses!$A$5:$A$3004,$A85,Acuses!$B$5:$B$3004,E$4,Acuses!$C$5:$C$3004,E$5),E$8)&lt;Resumen!$C$4,"Caducado",IF(EDATE(_xlfn.MAXIFS(Acuses!$D$5:$D$3004,Acuses!$A$5:$A$3004,$A85,Acuses!$B$5:$B$3004,E$4,Acuses!$C$5:$C$3004,E$5),E$8)&lt;Resumen!$C$4+30,"Caduca pronto","OK"))))))</f>
        <v/>
      </c>
      <c r="F85" s="26" t="str">
        <f aca="false">IF(OR($A85="",F$4=""),"",IF(NOT(OR(F$6="Toda la plantilla",ISNUMBER(SEARCH(";"&amp;SUBSTITUTE($C85," ","")&amp;";",";"&amp;SUBSTITUTE(F$7," ","")&amp;";")))),"—",IF(_xlfn.MAXIFS(Acuses!$C$5:$C$3004,Acuses!$A$5:$A$3004,$A85,Acuses!$B$5:$B$3004,F$4)&lt;F$5,"Pendiente",IF(F$8=0,"OK",IF(EDATE(_xlfn.MAXIFS(Acuses!$D$5:$D$3004,Acuses!$A$5:$A$3004,$A85,Acuses!$B$5:$B$3004,F$4,Acuses!$C$5:$C$3004,F$5),F$8)&lt;Resumen!$C$4,"Caducado",IF(EDATE(_xlfn.MAXIFS(Acuses!$D$5:$D$3004,Acuses!$A$5:$A$3004,$A85,Acuses!$B$5:$B$3004,F$4,Acuses!$C$5:$C$3004,F$5),F$8)&lt;Resumen!$C$4+30,"Caduca pronto","OK"))))))</f>
        <v/>
      </c>
      <c r="G85" s="26" t="str">
        <f aca="false">IF(OR($A85="",G$4=""),"",IF(NOT(OR(G$6="Toda la plantilla",ISNUMBER(SEARCH(";"&amp;SUBSTITUTE($C85," ","")&amp;";",";"&amp;SUBSTITUTE(G$7," ","")&amp;";")))),"—",IF(_xlfn.MAXIFS(Acuses!$C$5:$C$3004,Acuses!$A$5:$A$3004,$A85,Acuses!$B$5:$B$3004,G$4)&lt;G$5,"Pendiente",IF(G$8=0,"OK",IF(EDATE(_xlfn.MAXIFS(Acuses!$D$5:$D$3004,Acuses!$A$5:$A$3004,$A85,Acuses!$B$5:$B$3004,G$4,Acuses!$C$5:$C$3004,G$5),G$8)&lt;Resumen!$C$4,"Caducado",IF(EDATE(_xlfn.MAXIFS(Acuses!$D$5:$D$3004,Acuses!$A$5:$A$3004,$A85,Acuses!$B$5:$B$3004,G$4,Acuses!$C$5:$C$3004,G$5),G$8)&lt;Resumen!$C$4+30,"Caduca pronto","OK"))))))</f>
        <v/>
      </c>
      <c r="H85" s="26" t="str">
        <f aca="false">IF(OR($A85="",H$4=""),"",IF(NOT(OR(H$6="Toda la plantilla",ISNUMBER(SEARCH(";"&amp;SUBSTITUTE($C85," ","")&amp;";",";"&amp;SUBSTITUTE(H$7," ","")&amp;";")))),"—",IF(_xlfn.MAXIFS(Acuses!$C$5:$C$3004,Acuses!$A$5:$A$3004,$A85,Acuses!$B$5:$B$3004,H$4)&lt;H$5,"Pendiente",IF(H$8=0,"OK",IF(EDATE(_xlfn.MAXIFS(Acuses!$D$5:$D$3004,Acuses!$A$5:$A$3004,$A85,Acuses!$B$5:$B$3004,H$4,Acuses!$C$5:$C$3004,H$5),H$8)&lt;Resumen!$C$4,"Caducado",IF(EDATE(_xlfn.MAXIFS(Acuses!$D$5:$D$3004,Acuses!$A$5:$A$3004,$A85,Acuses!$B$5:$B$3004,H$4,Acuses!$C$5:$C$3004,H$5),H$8)&lt;Resumen!$C$4+30,"Caduca pronto","OK"))))))</f>
        <v/>
      </c>
      <c r="I85" s="26" t="str">
        <f aca="false">IF(OR($A85="",I$4=""),"",IF(NOT(OR(I$6="Toda la plantilla",ISNUMBER(SEARCH(";"&amp;SUBSTITUTE($C85," ","")&amp;";",";"&amp;SUBSTITUTE(I$7," ","")&amp;";")))),"—",IF(_xlfn.MAXIFS(Acuses!$C$5:$C$3004,Acuses!$A$5:$A$3004,$A85,Acuses!$B$5:$B$3004,I$4)&lt;I$5,"Pendiente",IF(I$8=0,"OK",IF(EDATE(_xlfn.MAXIFS(Acuses!$D$5:$D$3004,Acuses!$A$5:$A$3004,$A85,Acuses!$B$5:$B$3004,I$4,Acuses!$C$5:$C$3004,I$5),I$8)&lt;Resumen!$C$4,"Caducado",IF(EDATE(_xlfn.MAXIFS(Acuses!$D$5:$D$3004,Acuses!$A$5:$A$3004,$A85,Acuses!$B$5:$B$3004,I$4,Acuses!$C$5:$C$3004,I$5),I$8)&lt;Resumen!$C$4+30,"Caduca pronto","OK"))))))</f>
        <v/>
      </c>
      <c r="J85" s="26" t="str">
        <f aca="false">IF(OR($A85="",J$4=""),"",IF(NOT(OR(J$6="Toda la plantilla",ISNUMBER(SEARCH(";"&amp;SUBSTITUTE($C85," ","")&amp;";",";"&amp;SUBSTITUTE(J$7," ","")&amp;";")))),"—",IF(_xlfn.MAXIFS(Acuses!$C$5:$C$3004,Acuses!$A$5:$A$3004,$A85,Acuses!$B$5:$B$3004,J$4)&lt;J$5,"Pendiente",IF(J$8=0,"OK",IF(EDATE(_xlfn.MAXIFS(Acuses!$D$5:$D$3004,Acuses!$A$5:$A$3004,$A85,Acuses!$B$5:$B$3004,J$4,Acuses!$C$5:$C$3004,J$5),J$8)&lt;Resumen!$C$4,"Caducado",IF(EDATE(_xlfn.MAXIFS(Acuses!$D$5:$D$3004,Acuses!$A$5:$A$3004,$A85,Acuses!$B$5:$B$3004,J$4,Acuses!$C$5:$C$3004,J$5),J$8)&lt;Resumen!$C$4+30,"Caduca pronto","OK"))))))</f>
        <v/>
      </c>
      <c r="K85" s="26" t="str">
        <f aca="false">IF(OR($A85="",K$4=""),"",IF(NOT(OR(K$6="Toda la plantilla",ISNUMBER(SEARCH(";"&amp;SUBSTITUTE($C85," ","")&amp;";",";"&amp;SUBSTITUTE(K$7," ","")&amp;";")))),"—",IF(_xlfn.MAXIFS(Acuses!$C$5:$C$3004,Acuses!$A$5:$A$3004,$A85,Acuses!$B$5:$B$3004,K$4)&lt;K$5,"Pendiente",IF(K$8=0,"OK",IF(EDATE(_xlfn.MAXIFS(Acuses!$D$5:$D$3004,Acuses!$A$5:$A$3004,$A85,Acuses!$B$5:$B$3004,K$4,Acuses!$C$5:$C$3004,K$5),K$8)&lt;Resumen!$C$4,"Caducado",IF(EDATE(_xlfn.MAXIFS(Acuses!$D$5:$D$3004,Acuses!$A$5:$A$3004,$A85,Acuses!$B$5:$B$3004,K$4,Acuses!$C$5:$C$3004,K$5),K$8)&lt;Resumen!$C$4+30,"Caduca pronto","OK"))))))</f>
        <v/>
      </c>
      <c r="L85" s="26" t="str">
        <f aca="false">IF(OR($A85="",L$4=""),"",IF(NOT(OR(L$6="Toda la plantilla",ISNUMBER(SEARCH(";"&amp;SUBSTITUTE($C85," ","")&amp;";",";"&amp;SUBSTITUTE(L$7," ","")&amp;";")))),"—",IF(_xlfn.MAXIFS(Acuses!$C$5:$C$3004,Acuses!$A$5:$A$3004,$A85,Acuses!$B$5:$B$3004,L$4)&lt;L$5,"Pendiente",IF(L$8=0,"OK",IF(EDATE(_xlfn.MAXIFS(Acuses!$D$5:$D$3004,Acuses!$A$5:$A$3004,$A85,Acuses!$B$5:$B$3004,L$4,Acuses!$C$5:$C$3004,L$5),L$8)&lt;Resumen!$C$4,"Caducado",IF(EDATE(_xlfn.MAXIFS(Acuses!$D$5:$D$3004,Acuses!$A$5:$A$3004,$A85,Acuses!$B$5:$B$3004,L$4,Acuses!$C$5:$C$3004,L$5),L$8)&lt;Resumen!$C$4+30,"Caduca pronto","OK"))))))</f>
        <v/>
      </c>
      <c r="M85" s="26" t="str">
        <f aca="false">IF(OR($A85="",M$4=""),"",IF(NOT(OR(M$6="Toda la plantilla",ISNUMBER(SEARCH(";"&amp;SUBSTITUTE($C85," ","")&amp;";",";"&amp;SUBSTITUTE(M$7," ","")&amp;";")))),"—",IF(_xlfn.MAXIFS(Acuses!$C$5:$C$3004,Acuses!$A$5:$A$3004,$A85,Acuses!$B$5:$B$3004,M$4)&lt;M$5,"Pendiente",IF(M$8=0,"OK",IF(EDATE(_xlfn.MAXIFS(Acuses!$D$5:$D$3004,Acuses!$A$5:$A$3004,$A85,Acuses!$B$5:$B$3004,M$4,Acuses!$C$5:$C$3004,M$5),M$8)&lt;Resumen!$C$4,"Caducado",IF(EDATE(_xlfn.MAXIFS(Acuses!$D$5:$D$3004,Acuses!$A$5:$A$3004,$A85,Acuses!$B$5:$B$3004,M$4,Acuses!$C$5:$C$3004,M$5),M$8)&lt;Resumen!$C$4+30,"Caduca pronto","OK"))))))</f>
        <v/>
      </c>
      <c r="N85" s="26" t="str">
        <f aca="false">IF(OR($A85="",N$4=""),"",IF(NOT(OR(N$6="Toda la plantilla",ISNUMBER(SEARCH(";"&amp;SUBSTITUTE($C85," ","")&amp;";",";"&amp;SUBSTITUTE(N$7," ","")&amp;";")))),"—",IF(_xlfn.MAXIFS(Acuses!$C$5:$C$3004,Acuses!$A$5:$A$3004,$A85,Acuses!$B$5:$B$3004,N$4)&lt;N$5,"Pendiente",IF(N$8=0,"OK",IF(EDATE(_xlfn.MAXIFS(Acuses!$D$5:$D$3004,Acuses!$A$5:$A$3004,$A85,Acuses!$B$5:$B$3004,N$4,Acuses!$C$5:$C$3004,N$5),N$8)&lt;Resumen!$C$4,"Caducado",IF(EDATE(_xlfn.MAXIFS(Acuses!$D$5:$D$3004,Acuses!$A$5:$A$3004,$A85,Acuses!$B$5:$B$3004,N$4,Acuses!$C$5:$C$3004,N$5),N$8)&lt;Resumen!$C$4+30,"Caduca pronto","OK"))))))</f>
        <v/>
      </c>
      <c r="O85" s="26" t="str">
        <f aca="false">IF(OR($A85="",O$4=""),"",IF(NOT(OR(O$6="Toda la plantilla",ISNUMBER(SEARCH(";"&amp;SUBSTITUTE($C85," ","")&amp;";",";"&amp;SUBSTITUTE(O$7," ","")&amp;";")))),"—",IF(_xlfn.MAXIFS(Acuses!$C$5:$C$3004,Acuses!$A$5:$A$3004,$A85,Acuses!$B$5:$B$3004,O$4)&lt;O$5,"Pendiente",IF(O$8=0,"OK",IF(EDATE(_xlfn.MAXIFS(Acuses!$D$5:$D$3004,Acuses!$A$5:$A$3004,$A85,Acuses!$B$5:$B$3004,O$4,Acuses!$C$5:$C$3004,O$5),O$8)&lt;Resumen!$C$4,"Caducado",IF(EDATE(_xlfn.MAXIFS(Acuses!$D$5:$D$3004,Acuses!$A$5:$A$3004,$A85,Acuses!$B$5:$B$3004,O$4,Acuses!$C$5:$C$3004,O$5),O$8)&lt;Resumen!$C$4+30,"Caduca pronto","OK"))))))</f>
        <v/>
      </c>
      <c r="P85" s="26" t="str">
        <f aca="false">IF(OR($A85="",P$4=""),"",IF(NOT(OR(P$6="Toda la plantilla",ISNUMBER(SEARCH(";"&amp;SUBSTITUTE($C85," ","")&amp;";",";"&amp;SUBSTITUTE(P$7," ","")&amp;";")))),"—",IF(_xlfn.MAXIFS(Acuses!$C$5:$C$3004,Acuses!$A$5:$A$3004,$A85,Acuses!$B$5:$B$3004,P$4)&lt;P$5,"Pendiente",IF(P$8=0,"OK",IF(EDATE(_xlfn.MAXIFS(Acuses!$D$5:$D$3004,Acuses!$A$5:$A$3004,$A85,Acuses!$B$5:$B$3004,P$4,Acuses!$C$5:$C$3004,P$5),P$8)&lt;Resumen!$C$4,"Caducado",IF(EDATE(_xlfn.MAXIFS(Acuses!$D$5:$D$3004,Acuses!$A$5:$A$3004,$A85,Acuses!$B$5:$B$3004,P$4,Acuses!$C$5:$C$3004,P$5),P$8)&lt;Resumen!$C$4+30,"Caduca pronto","OK"))))))</f>
        <v/>
      </c>
      <c r="Q85" s="26" t="str">
        <f aca="false">IF(OR($A85="",Q$4=""),"",IF(NOT(OR(Q$6="Toda la plantilla",ISNUMBER(SEARCH(";"&amp;SUBSTITUTE($C85," ","")&amp;";",";"&amp;SUBSTITUTE(Q$7," ","")&amp;";")))),"—",IF(_xlfn.MAXIFS(Acuses!$C$5:$C$3004,Acuses!$A$5:$A$3004,$A85,Acuses!$B$5:$B$3004,Q$4)&lt;Q$5,"Pendiente",IF(Q$8=0,"OK",IF(EDATE(_xlfn.MAXIFS(Acuses!$D$5:$D$3004,Acuses!$A$5:$A$3004,$A85,Acuses!$B$5:$B$3004,Q$4,Acuses!$C$5:$C$3004,Q$5),Q$8)&lt;Resumen!$C$4,"Caducado",IF(EDATE(_xlfn.MAXIFS(Acuses!$D$5:$D$3004,Acuses!$A$5:$A$3004,$A85,Acuses!$B$5:$B$3004,Q$4,Acuses!$C$5:$C$3004,Q$5),Q$8)&lt;Resumen!$C$4+30,"Caduca pronto","OK"))))))</f>
        <v/>
      </c>
      <c r="R85" s="26" t="str">
        <f aca="false">IF(OR($A85="",R$4=""),"",IF(NOT(OR(R$6="Toda la plantilla",ISNUMBER(SEARCH(";"&amp;SUBSTITUTE($C85," ","")&amp;";",";"&amp;SUBSTITUTE(R$7," ","")&amp;";")))),"—",IF(_xlfn.MAXIFS(Acuses!$C$5:$C$3004,Acuses!$A$5:$A$3004,$A85,Acuses!$B$5:$B$3004,R$4)&lt;R$5,"Pendiente",IF(R$8=0,"OK",IF(EDATE(_xlfn.MAXIFS(Acuses!$D$5:$D$3004,Acuses!$A$5:$A$3004,$A85,Acuses!$B$5:$B$3004,R$4,Acuses!$C$5:$C$3004,R$5),R$8)&lt;Resumen!$C$4,"Caducado",IF(EDATE(_xlfn.MAXIFS(Acuses!$D$5:$D$3004,Acuses!$A$5:$A$3004,$A85,Acuses!$B$5:$B$3004,R$4,Acuses!$C$5:$C$3004,R$5),R$8)&lt;Resumen!$C$4+30,"Caduca pronto","OK"))))))</f>
        <v/>
      </c>
      <c r="S85" s="26" t="str">
        <f aca="false">IF(OR($A85="",S$4=""),"",IF(NOT(OR(S$6="Toda la plantilla",ISNUMBER(SEARCH(";"&amp;SUBSTITUTE($C85," ","")&amp;";",";"&amp;SUBSTITUTE(S$7," ","")&amp;";")))),"—",IF(_xlfn.MAXIFS(Acuses!$C$5:$C$3004,Acuses!$A$5:$A$3004,$A85,Acuses!$B$5:$B$3004,S$4)&lt;S$5,"Pendiente",IF(S$8=0,"OK",IF(EDATE(_xlfn.MAXIFS(Acuses!$D$5:$D$3004,Acuses!$A$5:$A$3004,$A85,Acuses!$B$5:$B$3004,S$4,Acuses!$C$5:$C$3004,S$5),S$8)&lt;Resumen!$C$4,"Caducado",IF(EDATE(_xlfn.MAXIFS(Acuses!$D$5:$D$3004,Acuses!$A$5:$A$3004,$A85,Acuses!$B$5:$B$3004,S$4,Acuses!$C$5:$C$3004,S$5),S$8)&lt;Resumen!$C$4+30,"Caduca pronto","OK"))))))</f>
        <v/>
      </c>
      <c r="T85" s="26" t="str">
        <f aca="false">IF(OR($A85="",T$4=""),"",IF(NOT(OR(T$6="Toda la plantilla",ISNUMBER(SEARCH(";"&amp;SUBSTITUTE($C85," ","")&amp;";",";"&amp;SUBSTITUTE(T$7," ","")&amp;";")))),"—",IF(_xlfn.MAXIFS(Acuses!$C$5:$C$3004,Acuses!$A$5:$A$3004,$A85,Acuses!$B$5:$B$3004,T$4)&lt;T$5,"Pendiente",IF(T$8=0,"OK",IF(EDATE(_xlfn.MAXIFS(Acuses!$D$5:$D$3004,Acuses!$A$5:$A$3004,$A85,Acuses!$B$5:$B$3004,T$4,Acuses!$C$5:$C$3004,T$5),T$8)&lt;Resumen!$C$4,"Caducado",IF(EDATE(_xlfn.MAXIFS(Acuses!$D$5:$D$3004,Acuses!$A$5:$A$3004,$A85,Acuses!$B$5:$B$3004,T$4,Acuses!$C$5:$C$3004,T$5),T$8)&lt;Resumen!$C$4+30,"Caduca pronto","OK"))))))</f>
        <v/>
      </c>
      <c r="U85" s="26" t="str">
        <f aca="false">IF(OR($A85="",U$4=""),"",IF(NOT(OR(U$6="Toda la plantilla",ISNUMBER(SEARCH(";"&amp;SUBSTITUTE($C85," ","")&amp;";",";"&amp;SUBSTITUTE(U$7," ","")&amp;";")))),"—",IF(_xlfn.MAXIFS(Acuses!$C$5:$C$3004,Acuses!$A$5:$A$3004,$A85,Acuses!$B$5:$B$3004,U$4)&lt;U$5,"Pendiente",IF(U$8=0,"OK",IF(EDATE(_xlfn.MAXIFS(Acuses!$D$5:$D$3004,Acuses!$A$5:$A$3004,$A85,Acuses!$B$5:$B$3004,U$4,Acuses!$C$5:$C$3004,U$5),U$8)&lt;Resumen!$C$4,"Caducado",IF(EDATE(_xlfn.MAXIFS(Acuses!$D$5:$D$3004,Acuses!$A$5:$A$3004,$A85,Acuses!$B$5:$B$3004,U$4,Acuses!$C$5:$C$3004,U$5),U$8)&lt;Resumen!$C$4+30,"Caduca pronto","OK"))))))</f>
        <v/>
      </c>
      <c r="V85" s="26" t="str">
        <f aca="false">IF(OR($A85="",V$4=""),"",IF(NOT(OR(V$6="Toda la plantilla",ISNUMBER(SEARCH(";"&amp;SUBSTITUTE($C85," ","")&amp;";",";"&amp;SUBSTITUTE(V$7," ","")&amp;";")))),"—",IF(_xlfn.MAXIFS(Acuses!$C$5:$C$3004,Acuses!$A$5:$A$3004,$A85,Acuses!$B$5:$B$3004,V$4)&lt;V$5,"Pendiente",IF(V$8=0,"OK",IF(EDATE(_xlfn.MAXIFS(Acuses!$D$5:$D$3004,Acuses!$A$5:$A$3004,$A85,Acuses!$B$5:$B$3004,V$4,Acuses!$C$5:$C$3004,V$5),V$8)&lt;Resumen!$C$4,"Caducado",IF(EDATE(_xlfn.MAXIFS(Acuses!$D$5:$D$3004,Acuses!$A$5:$A$3004,$A85,Acuses!$B$5:$B$3004,V$4,Acuses!$C$5:$C$3004,V$5),V$8)&lt;Resumen!$C$4+30,"Caduca pronto","OK"))))))</f>
        <v/>
      </c>
      <c r="W85" s="26" t="str">
        <f aca="false">IF(OR($A85="",W$4=""),"",IF(NOT(OR(W$6="Toda la plantilla",ISNUMBER(SEARCH(";"&amp;SUBSTITUTE($C85," ","")&amp;";",";"&amp;SUBSTITUTE(W$7," ","")&amp;";")))),"—",IF(_xlfn.MAXIFS(Acuses!$C$5:$C$3004,Acuses!$A$5:$A$3004,$A85,Acuses!$B$5:$B$3004,W$4)&lt;W$5,"Pendiente",IF(W$8=0,"OK",IF(EDATE(_xlfn.MAXIFS(Acuses!$D$5:$D$3004,Acuses!$A$5:$A$3004,$A85,Acuses!$B$5:$B$3004,W$4,Acuses!$C$5:$C$3004,W$5),W$8)&lt;Resumen!$C$4,"Caducado",IF(EDATE(_xlfn.MAXIFS(Acuses!$D$5:$D$3004,Acuses!$A$5:$A$3004,$A85,Acuses!$B$5:$B$3004,W$4,Acuses!$C$5:$C$3004,W$5),W$8)&lt;Resumen!$C$4+30,"Caduca pronto","OK"))))))</f>
        <v/>
      </c>
      <c r="X85" s="26" t="str">
        <f aca="false">IF(OR($A85="",X$4=""),"",IF(NOT(OR(X$6="Toda la plantilla",ISNUMBER(SEARCH(";"&amp;SUBSTITUTE($C85," ","")&amp;";",";"&amp;SUBSTITUTE(X$7," ","")&amp;";")))),"—",IF(_xlfn.MAXIFS(Acuses!$C$5:$C$3004,Acuses!$A$5:$A$3004,$A85,Acuses!$B$5:$B$3004,X$4)&lt;X$5,"Pendiente",IF(X$8=0,"OK",IF(EDATE(_xlfn.MAXIFS(Acuses!$D$5:$D$3004,Acuses!$A$5:$A$3004,$A85,Acuses!$B$5:$B$3004,X$4,Acuses!$C$5:$C$3004,X$5),X$8)&lt;Resumen!$C$4,"Caducado",IF(EDATE(_xlfn.MAXIFS(Acuses!$D$5:$D$3004,Acuses!$A$5:$A$3004,$A85,Acuses!$B$5:$B$3004,X$4,Acuses!$C$5:$C$3004,X$5),X$8)&lt;Resumen!$C$4+30,"Caduca pronto","OK"))))))</f>
        <v/>
      </c>
      <c r="Y85" s="26" t="str">
        <f aca="false">IF(OR($A85="",Y$4=""),"",IF(NOT(OR(Y$6="Toda la plantilla",ISNUMBER(SEARCH(";"&amp;SUBSTITUTE($C85," ","")&amp;";",";"&amp;SUBSTITUTE(Y$7," ","")&amp;";")))),"—",IF(_xlfn.MAXIFS(Acuses!$C$5:$C$3004,Acuses!$A$5:$A$3004,$A85,Acuses!$B$5:$B$3004,Y$4)&lt;Y$5,"Pendiente",IF(Y$8=0,"OK",IF(EDATE(_xlfn.MAXIFS(Acuses!$D$5:$D$3004,Acuses!$A$5:$A$3004,$A85,Acuses!$B$5:$B$3004,Y$4,Acuses!$C$5:$C$3004,Y$5),Y$8)&lt;Resumen!$C$4,"Caducado",IF(EDATE(_xlfn.MAXIFS(Acuses!$D$5:$D$3004,Acuses!$A$5:$A$3004,$A85,Acuses!$B$5:$B$3004,Y$4,Acuses!$C$5:$C$3004,Y$5),Y$8)&lt;Resumen!$C$4+30,"Caduca pronto","OK"))))))</f>
        <v/>
      </c>
      <c r="Z85" s="26" t="str">
        <f aca="false">IF(OR($A85="",Z$4=""),"",IF(NOT(OR(Z$6="Toda la plantilla",ISNUMBER(SEARCH(";"&amp;SUBSTITUTE($C85," ","")&amp;";",";"&amp;SUBSTITUTE(Z$7," ","")&amp;";")))),"—",IF(_xlfn.MAXIFS(Acuses!$C$5:$C$3004,Acuses!$A$5:$A$3004,$A85,Acuses!$B$5:$B$3004,Z$4)&lt;Z$5,"Pendiente",IF(Z$8=0,"OK",IF(EDATE(_xlfn.MAXIFS(Acuses!$D$5:$D$3004,Acuses!$A$5:$A$3004,$A85,Acuses!$B$5:$B$3004,Z$4,Acuses!$C$5:$C$3004,Z$5),Z$8)&lt;Resumen!$C$4,"Caducado",IF(EDATE(_xlfn.MAXIFS(Acuses!$D$5:$D$3004,Acuses!$A$5:$A$3004,$A85,Acuses!$B$5:$B$3004,Z$4,Acuses!$C$5:$C$3004,Z$5),Z$8)&lt;Resumen!$C$4+30,"Caduca pronto","OK"))))))</f>
        <v/>
      </c>
      <c r="AA85" s="26" t="str">
        <f aca="false">IF(OR($A85="",AA$4=""),"",IF(NOT(OR(AA$6="Toda la plantilla",ISNUMBER(SEARCH(";"&amp;SUBSTITUTE($C85," ","")&amp;";",";"&amp;SUBSTITUTE(AA$7," ","")&amp;";")))),"—",IF(_xlfn.MAXIFS(Acuses!$C$5:$C$3004,Acuses!$A$5:$A$3004,$A85,Acuses!$B$5:$B$3004,AA$4)&lt;AA$5,"Pendiente",IF(AA$8=0,"OK",IF(EDATE(_xlfn.MAXIFS(Acuses!$D$5:$D$3004,Acuses!$A$5:$A$3004,$A85,Acuses!$B$5:$B$3004,AA$4,Acuses!$C$5:$C$3004,AA$5),AA$8)&lt;Resumen!$C$4,"Caducado",IF(EDATE(_xlfn.MAXIFS(Acuses!$D$5:$D$3004,Acuses!$A$5:$A$3004,$A85,Acuses!$B$5:$B$3004,AA$4,Acuses!$C$5:$C$3004,AA$5),AA$8)&lt;Resumen!$C$4+30,"Caduca pronto","OK"))))))</f>
        <v/>
      </c>
      <c r="AB85" s="26" t="str">
        <f aca="false">IF(OR($A85="",AB$4=""),"",IF(NOT(OR(AB$6="Toda la plantilla",ISNUMBER(SEARCH(";"&amp;SUBSTITUTE($C85," ","")&amp;";",";"&amp;SUBSTITUTE(AB$7," ","")&amp;";")))),"—",IF(_xlfn.MAXIFS(Acuses!$C$5:$C$3004,Acuses!$A$5:$A$3004,$A85,Acuses!$B$5:$B$3004,AB$4)&lt;AB$5,"Pendiente",IF(AB$8=0,"OK",IF(EDATE(_xlfn.MAXIFS(Acuses!$D$5:$D$3004,Acuses!$A$5:$A$3004,$A85,Acuses!$B$5:$B$3004,AB$4,Acuses!$C$5:$C$3004,AB$5),AB$8)&lt;Resumen!$C$4,"Caducado",IF(EDATE(_xlfn.MAXIFS(Acuses!$D$5:$D$3004,Acuses!$A$5:$A$3004,$A85,Acuses!$B$5:$B$3004,AB$4,Acuses!$C$5:$C$3004,AB$5),AB$8)&lt;Resumen!$C$4+30,"Caduca pronto","OK"))))))</f>
        <v/>
      </c>
      <c r="AC85" s="26" t="str">
        <f aca="false">IF(OR($A85="",AC$4=""),"",IF(NOT(OR(AC$6="Toda la plantilla",ISNUMBER(SEARCH(";"&amp;SUBSTITUTE($C85," ","")&amp;";",";"&amp;SUBSTITUTE(AC$7," ","")&amp;";")))),"—",IF(_xlfn.MAXIFS(Acuses!$C$5:$C$3004,Acuses!$A$5:$A$3004,$A85,Acuses!$B$5:$B$3004,AC$4)&lt;AC$5,"Pendiente",IF(AC$8=0,"OK",IF(EDATE(_xlfn.MAXIFS(Acuses!$D$5:$D$3004,Acuses!$A$5:$A$3004,$A85,Acuses!$B$5:$B$3004,AC$4,Acuses!$C$5:$C$3004,AC$5),AC$8)&lt;Resumen!$C$4,"Caducado",IF(EDATE(_xlfn.MAXIFS(Acuses!$D$5:$D$3004,Acuses!$A$5:$A$3004,$A85,Acuses!$B$5:$B$3004,AC$4,Acuses!$C$5:$C$3004,AC$5),AC$8)&lt;Resumen!$C$4+30,"Caduca pronto","OK"))))))</f>
        <v/>
      </c>
      <c r="AD85" s="26" t="str">
        <f aca="false">IF(OR($A85="",AD$4=""),"",IF(NOT(OR(AD$6="Toda la plantilla",ISNUMBER(SEARCH(";"&amp;SUBSTITUTE($C85," ","")&amp;";",";"&amp;SUBSTITUTE(AD$7," ","")&amp;";")))),"—",IF(_xlfn.MAXIFS(Acuses!$C$5:$C$3004,Acuses!$A$5:$A$3004,$A85,Acuses!$B$5:$B$3004,AD$4)&lt;AD$5,"Pendiente",IF(AD$8=0,"OK",IF(EDATE(_xlfn.MAXIFS(Acuses!$D$5:$D$3004,Acuses!$A$5:$A$3004,$A85,Acuses!$B$5:$B$3004,AD$4,Acuses!$C$5:$C$3004,AD$5),AD$8)&lt;Resumen!$C$4,"Caducado",IF(EDATE(_xlfn.MAXIFS(Acuses!$D$5:$D$3004,Acuses!$A$5:$A$3004,$A85,Acuses!$B$5:$B$3004,AD$4,Acuses!$C$5:$C$3004,AD$5),AD$8)&lt;Resumen!$C$4+30,"Caduca pronto","OK"))))))</f>
        <v/>
      </c>
      <c r="AE85" s="26" t="str">
        <f aca="false">IF(OR($A85="",AE$4=""),"",IF(NOT(OR(AE$6="Toda la plantilla",ISNUMBER(SEARCH(";"&amp;SUBSTITUTE($C85," ","")&amp;";",";"&amp;SUBSTITUTE(AE$7," ","")&amp;";")))),"—",IF(_xlfn.MAXIFS(Acuses!$C$5:$C$3004,Acuses!$A$5:$A$3004,$A85,Acuses!$B$5:$B$3004,AE$4)&lt;AE$5,"Pendiente",IF(AE$8=0,"OK",IF(EDATE(_xlfn.MAXIFS(Acuses!$D$5:$D$3004,Acuses!$A$5:$A$3004,$A85,Acuses!$B$5:$B$3004,AE$4,Acuses!$C$5:$C$3004,AE$5),AE$8)&lt;Resumen!$C$4,"Caducado",IF(EDATE(_xlfn.MAXIFS(Acuses!$D$5:$D$3004,Acuses!$A$5:$A$3004,$A85,Acuses!$B$5:$B$3004,AE$4,Acuses!$C$5:$C$3004,AE$5),AE$8)&lt;Resumen!$C$4+30,"Caduca pronto","OK"))))))</f>
        <v/>
      </c>
      <c r="AF85" s="26" t="str">
        <f aca="false">IF(OR($A85="",AF$4=""),"",IF(NOT(OR(AF$6="Toda la plantilla",ISNUMBER(SEARCH(";"&amp;SUBSTITUTE($C85," ","")&amp;";",";"&amp;SUBSTITUTE(AF$7," ","")&amp;";")))),"—",IF(_xlfn.MAXIFS(Acuses!$C$5:$C$3004,Acuses!$A$5:$A$3004,$A85,Acuses!$B$5:$B$3004,AF$4)&lt;AF$5,"Pendiente",IF(AF$8=0,"OK",IF(EDATE(_xlfn.MAXIFS(Acuses!$D$5:$D$3004,Acuses!$A$5:$A$3004,$A85,Acuses!$B$5:$B$3004,AF$4,Acuses!$C$5:$C$3004,AF$5),AF$8)&lt;Resumen!$C$4,"Caducado",IF(EDATE(_xlfn.MAXIFS(Acuses!$D$5:$D$3004,Acuses!$A$5:$A$3004,$A85,Acuses!$B$5:$B$3004,AF$4,Acuses!$C$5:$C$3004,AF$5),AF$8)&lt;Resumen!$C$4+30,"Caduca pronto","OK"))))))</f>
        <v/>
      </c>
      <c r="AG85" s="26" t="str">
        <f aca="false">IF(OR($A85="",AG$4=""),"",IF(NOT(OR(AG$6="Toda la plantilla",ISNUMBER(SEARCH(";"&amp;SUBSTITUTE($C85," ","")&amp;";",";"&amp;SUBSTITUTE(AG$7," ","")&amp;";")))),"—",IF(_xlfn.MAXIFS(Acuses!$C$5:$C$3004,Acuses!$A$5:$A$3004,$A85,Acuses!$B$5:$B$3004,AG$4)&lt;AG$5,"Pendiente",IF(AG$8=0,"OK",IF(EDATE(_xlfn.MAXIFS(Acuses!$D$5:$D$3004,Acuses!$A$5:$A$3004,$A85,Acuses!$B$5:$B$3004,AG$4,Acuses!$C$5:$C$3004,AG$5),AG$8)&lt;Resumen!$C$4,"Caducado",IF(EDATE(_xlfn.MAXIFS(Acuses!$D$5:$D$3004,Acuses!$A$5:$A$3004,$A85,Acuses!$B$5:$B$3004,AG$4,Acuses!$C$5:$C$3004,AG$5),AG$8)&lt;Resumen!$C$4+30,"Caduca pronto","OK"))))))</f>
        <v/>
      </c>
      <c r="AH85" s="26" t="str">
        <f aca="false">IF(OR($A85="",AH$4=""),"",IF(NOT(OR(AH$6="Toda la plantilla",ISNUMBER(SEARCH(";"&amp;SUBSTITUTE($C85," ","")&amp;";",";"&amp;SUBSTITUTE(AH$7," ","")&amp;";")))),"—",IF(_xlfn.MAXIFS(Acuses!$C$5:$C$3004,Acuses!$A$5:$A$3004,$A85,Acuses!$B$5:$B$3004,AH$4)&lt;AH$5,"Pendiente",IF(AH$8=0,"OK",IF(EDATE(_xlfn.MAXIFS(Acuses!$D$5:$D$3004,Acuses!$A$5:$A$3004,$A85,Acuses!$B$5:$B$3004,AH$4,Acuses!$C$5:$C$3004,AH$5),AH$8)&lt;Resumen!$C$4,"Caducado",IF(EDATE(_xlfn.MAXIFS(Acuses!$D$5:$D$3004,Acuses!$A$5:$A$3004,$A85,Acuses!$B$5:$B$3004,AH$4,Acuses!$C$5:$C$3004,AH$5),AH$8)&lt;Resumen!$C$4+30,"Caduca pronto","OK"))))))</f>
        <v/>
      </c>
      <c r="AI85" s="26" t="str">
        <f aca="false">IF(OR($A85="",AI$4=""),"",IF(NOT(OR(AI$6="Toda la plantilla",ISNUMBER(SEARCH(";"&amp;SUBSTITUTE($C85," ","")&amp;";",";"&amp;SUBSTITUTE(AI$7," ","")&amp;";")))),"—",IF(_xlfn.MAXIFS(Acuses!$C$5:$C$3004,Acuses!$A$5:$A$3004,$A85,Acuses!$B$5:$B$3004,AI$4)&lt;AI$5,"Pendiente",IF(AI$8=0,"OK",IF(EDATE(_xlfn.MAXIFS(Acuses!$D$5:$D$3004,Acuses!$A$5:$A$3004,$A85,Acuses!$B$5:$B$3004,AI$4,Acuses!$C$5:$C$3004,AI$5),AI$8)&lt;Resumen!$C$4,"Caducado",IF(EDATE(_xlfn.MAXIFS(Acuses!$D$5:$D$3004,Acuses!$A$5:$A$3004,$A85,Acuses!$B$5:$B$3004,AI$4,Acuses!$C$5:$C$3004,AI$5),AI$8)&lt;Resumen!$C$4+30,"Caduca pronto","OK"))))))</f>
        <v/>
      </c>
      <c r="AJ85" s="26" t="str">
        <f aca="false">IF(OR($A85="",AJ$4=""),"",IF(NOT(OR(AJ$6="Toda la plantilla",ISNUMBER(SEARCH(";"&amp;SUBSTITUTE($C85," ","")&amp;";",";"&amp;SUBSTITUTE(AJ$7," ","")&amp;";")))),"—",IF(_xlfn.MAXIFS(Acuses!$C$5:$C$3004,Acuses!$A$5:$A$3004,$A85,Acuses!$B$5:$B$3004,AJ$4)&lt;AJ$5,"Pendiente",IF(AJ$8=0,"OK",IF(EDATE(_xlfn.MAXIFS(Acuses!$D$5:$D$3004,Acuses!$A$5:$A$3004,$A85,Acuses!$B$5:$B$3004,AJ$4,Acuses!$C$5:$C$3004,AJ$5),AJ$8)&lt;Resumen!$C$4,"Caducado",IF(EDATE(_xlfn.MAXIFS(Acuses!$D$5:$D$3004,Acuses!$A$5:$A$3004,$A85,Acuses!$B$5:$B$3004,AJ$4,Acuses!$C$5:$C$3004,AJ$5),AJ$8)&lt;Resumen!$C$4+30,"Caduca pronto","OK"))))))</f>
        <v/>
      </c>
      <c r="AK85" s="26" t="str">
        <f aca="false">IF(OR($A85="",AK$4=""),"",IF(NOT(OR(AK$6="Toda la plantilla",ISNUMBER(SEARCH(";"&amp;SUBSTITUTE($C85," ","")&amp;";",";"&amp;SUBSTITUTE(AK$7," ","")&amp;";")))),"—",IF(_xlfn.MAXIFS(Acuses!$C$5:$C$3004,Acuses!$A$5:$A$3004,$A85,Acuses!$B$5:$B$3004,AK$4)&lt;AK$5,"Pendiente",IF(AK$8=0,"OK",IF(EDATE(_xlfn.MAXIFS(Acuses!$D$5:$D$3004,Acuses!$A$5:$A$3004,$A85,Acuses!$B$5:$B$3004,AK$4,Acuses!$C$5:$C$3004,AK$5),AK$8)&lt;Resumen!$C$4,"Caducado",IF(EDATE(_xlfn.MAXIFS(Acuses!$D$5:$D$3004,Acuses!$A$5:$A$3004,$A85,Acuses!$B$5:$B$3004,AK$4,Acuses!$C$5:$C$3004,AK$5),AK$8)&lt;Resumen!$C$4+30,"Caduca pronto","OK"))))))</f>
        <v/>
      </c>
      <c r="AL85" s="26" t="str">
        <f aca="false">IF(OR($A85="",AL$4=""),"",IF(NOT(OR(AL$6="Toda la plantilla",ISNUMBER(SEARCH(";"&amp;SUBSTITUTE($C85," ","")&amp;";",";"&amp;SUBSTITUTE(AL$7," ","")&amp;";")))),"—",IF(_xlfn.MAXIFS(Acuses!$C$5:$C$3004,Acuses!$A$5:$A$3004,$A85,Acuses!$B$5:$B$3004,AL$4)&lt;AL$5,"Pendiente",IF(AL$8=0,"OK",IF(EDATE(_xlfn.MAXIFS(Acuses!$D$5:$D$3004,Acuses!$A$5:$A$3004,$A85,Acuses!$B$5:$B$3004,AL$4,Acuses!$C$5:$C$3004,AL$5),AL$8)&lt;Resumen!$C$4,"Caducado",IF(EDATE(_xlfn.MAXIFS(Acuses!$D$5:$D$3004,Acuses!$A$5:$A$3004,$A85,Acuses!$B$5:$B$3004,AL$4,Acuses!$C$5:$C$3004,AL$5),AL$8)&lt;Resumen!$C$4+30,"Caduca pronto","OK"))))))</f>
        <v/>
      </c>
      <c r="AM85" s="26" t="str">
        <f aca="false">IF(OR($A85="",AM$4=""),"",IF(NOT(OR(AM$6="Toda la plantilla",ISNUMBER(SEARCH(";"&amp;SUBSTITUTE($C85," ","")&amp;";",";"&amp;SUBSTITUTE(AM$7," ","")&amp;";")))),"—",IF(_xlfn.MAXIFS(Acuses!$C$5:$C$3004,Acuses!$A$5:$A$3004,$A85,Acuses!$B$5:$B$3004,AM$4)&lt;AM$5,"Pendiente",IF(AM$8=0,"OK",IF(EDATE(_xlfn.MAXIFS(Acuses!$D$5:$D$3004,Acuses!$A$5:$A$3004,$A85,Acuses!$B$5:$B$3004,AM$4,Acuses!$C$5:$C$3004,AM$5),AM$8)&lt;Resumen!$C$4,"Caducado",IF(EDATE(_xlfn.MAXIFS(Acuses!$D$5:$D$3004,Acuses!$A$5:$A$3004,$A85,Acuses!$B$5:$B$3004,AM$4,Acuses!$C$5:$C$3004,AM$5),AM$8)&lt;Resumen!$C$4+30,"Caduca pronto","OK"))))))</f>
        <v/>
      </c>
      <c r="AN85" s="26" t="str">
        <f aca="false">IF(OR($A85="",AN$4=""),"",IF(NOT(OR(AN$6="Toda la plantilla",ISNUMBER(SEARCH(";"&amp;SUBSTITUTE($C85," ","")&amp;";",";"&amp;SUBSTITUTE(AN$7," ","")&amp;";")))),"—",IF(_xlfn.MAXIFS(Acuses!$C$5:$C$3004,Acuses!$A$5:$A$3004,$A85,Acuses!$B$5:$B$3004,AN$4)&lt;AN$5,"Pendiente",IF(AN$8=0,"OK",IF(EDATE(_xlfn.MAXIFS(Acuses!$D$5:$D$3004,Acuses!$A$5:$A$3004,$A85,Acuses!$B$5:$B$3004,AN$4,Acuses!$C$5:$C$3004,AN$5),AN$8)&lt;Resumen!$C$4,"Caducado",IF(EDATE(_xlfn.MAXIFS(Acuses!$D$5:$D$3004,Acuses!$A$5:$A$3004,$A85,Acuses!$B$5:$B$3004,AN$4,Acuses!$C$5:$C$3004,AN$5),AN$8)&lt;Resumen!$C$4+30,"Caduca pronto","OK"))))))</f>
        <v/>
      </c>
      <c r="AO85" s="26" t="str">
        <f aca="false">IF(OR($A85="",AO$4=""),"",IF(NOT(OR(AO$6="Toda la plantilla",ISNUMBER(SEARCH(";"&amp;SUBSTITUTE($C85," ","")&amp;";",";"&amp;SUBSTITUTE(AO$7," ","")&amp;";")))),"—",IF(_xlfn.MAXIFS(Acuses!$C$5:$C$3004,Acuses!$A$5:$A$3004,$A85,Acuses!$B$5:$B$3004,AO$4)&lt;AO$5,"Pendiente",IF(AO$8=0,"OK",IF(EDATE(_xlfn.MAXIFS(Acuses!$D$5:$D$3004,Acuses!$A$5:$A$3004,$A85,Acuses!$B$5:$B$3004,AO$4,Acuses!$C$5:$C$3004,AO$5),AO$8)&lt;Resumen!$C$4,"Caducado",IF(EDATE(_xlfn.MAXIFS(Acuses!$D$5:$D$3004,Acuses!$A$5:$A$3004,$A85,Acuses!$B$5:$B$3004,AO$4,Acuses!$C$5:$C$3004,AO$5),AO$8)&lt;Resumen!$C$4+30,"Caduca pronto","OK"))))))</f>
        <v/>
      </c>
      <c r="AP85" s="26" t="str">
        <f aca="false">IF(OR($A85="",AP$4=""),"",IF(NOT(OR(AP$6="Toda la plantilla",ISNUMBER(SEARCH(";"&amp;SUBSTITUTE($C85," ","")&amp;";",";"&amp;SUBSTITUTE(AP$7," ","")&amp;";")))),"—",IF(_xlfn.MAXIFS(Acuses!$C$5:$C$3004,Acuses!$A$5:$A$3004,$A85,Acuses!$B$5:$B$3004,AP$4)&lt;AP$5,"Pendiente",IF(AP$8=0,"OK",IF(EDATE(_xlfn.MAXIFS(Acuses!$D$5:$D$3004,Acuses!$A$5:$A$3004,$A85,Acuses!$B$5:$B$3004,AP$4,Acuses!$C$5:$C$3004,AP$5),AP$8)&lt;Resumen!$C$4,"Caducado",IF(EDATE(_xlfn.MAXIFS(Acuses!$D$5:$D$3004,Acuses!$A$5:$A$3004,$A85,Acuses!$B$5:$B$3004,AP$4,Acuses!$C$5:$C$3004,AP$5),AP$8)&lt;Resumen!$C$4+30,"Caduca pronto","OK"))))))</f>
        <v/>
      </c>
      <c r="AQ85" s="26" t="str">
        <f aca="false">IF(OR($A85="",AQ$4=""),"",IF(NOT(OR(AQ$6="Toda la plantilla",ISNUMBER(SEARCH(";"&amp;SUBSTITUTE($C85," ","")&amp;";",";"&amp;SUBSTITUTE(AQ$7," ","")&amp;";")))),"—",IF(_xlfn.MAXIFS(Acuses!$C$5:$C$3004,Acuses!$A$5:$A$3004,$A85,Acuses!$B$5:$B$3004,AQ$4)&lt;AQ$5,"Pendiente",IF(AQ$8=0,"OK",IF(EDATE(_xlfn.MAXIFS(Acuses!$D$5:$D$3004,Acuses!$A$5:$A$3004,$A85,Acuses!$B$5:$B$3004,AQ$4,Acuses!$C$5:$C$3004,AQ$5),AQ$8)&lt;Resumen!$C$4,"Caducado",IF(EDATE(_xlfn.MAXIFS(Acuses!$D$5:$D$3004,Acuses!$A$5:$A$3004,$A85,Acuses!$B$5:$B$3004,AQ$4,Acuses!$C$5:$C$3004,AQ$5),AQ$8)&lt;Resumen!$C$4+30,"Caduca pronto","OK"))))))</f>
        <v/>
      </c>
    </row>
    <row r="86" customFormat="false" ht="15" hidden="false" customHeight="false" outlineLevel="0" collapsed="false">
      <c r="A86" s="25" t="str">
        <f aca="false">IF(AND(Trabajadores!$A$81&lt;&gt;"",Trabajadores!$G$81&lt;&gt;"No"),Trabajadores!$A$81,"")</f>
        <v/>
      </c>
      <c r="B86" s="25" t="str">
        <f aca="false">IF($A86="","",Trabajadores!$B$81)</f>
        <v/>
      </c>
      <c r="C86" s="25" t="str">
        <f aca="false">IF($A86="","",Trabajadores!$C$81)</f>
        <v/>
      </c>
      <c r="D86" s="26" t="str">
        <f aca="false">IF(OR($A86="",D$4=""),"",IF(NOT(OR(D$6="Toda la plantilla",ISNUMBER(SEARCH(";"&amp;SUBSTITUTE($C86," ","")&amp;";",";"&amp;SUBSTITUTE(D$7," ","")&amp;";")))),"—",IF(_xlfn.MAXIFS(Acuses!$C$5:$C$3004,Acuses!$A$5:$A$3004,$A86,Acuses!$B$5:$B$3004,D$4)&lt;D$5,"Pendiente",IF(D$8=0,"OK",IF(EDATE(_xlfn.MAXIFS(Acuses!$D$5:$D$3004,Acuses!$A$5:$A$3004,$A86,Acuses!$B$5:$B$3004,D$4,Acuses!$C$5:$C$3004,D$5),D$8)&lt;Resumen!$C$4,"Caducado",IF(EDATE(_xlfn.MAXIFS(Acuses!$D$5:$D$3004,Acuses!$A$5:$A$3004,$A86,Acuses!$B$5:$B$3004,D$4,Acuses!$C$5:$C$3004,D$5),D$8)&lt;Resumen!$C$4+30,"Caduca pronto","OK"))))))</f>
        <v/>
      </c>
      <c r="E86" s="26" t="str">
        <f aca="false">IF(OR($A86="",E$4=""),"",IF(NOT(OR(E$6="Toda la plantilla",ISNUMBER(SEARCH(";"&amp;SUBSTITUTE($C86," ","")&amp;";",";"&amp;SUBSTITUTE(E$7," ","")&amp;";")))),"—",IF(_xlfn.MAXIFS(Acuses!$C$5:$C$3004,Acuses!$A$5:$A$3004,$A86,Acuses!$B$5:$B$3004,E$4)&lt;E$5,"Pendiente",IF(E$8=0,"OK",IF(EDATE(_xlfn.MAXIFS(Acuses!$D$5:$D$3004,Acuses!$A$5:$A$3004,$A86,Acuses!$B$5:$B$3004,E$4,Acuses!$C$5:$C$3004,E$5),E$8)&lt;Resumen!$C$4,"Caducado",IF(EDATE(_xlfn.MAXIFS(Acuses!$D$5:$D$3004,Acuses!$A$5:$A$3004,$A86,Acuses!$B$5:$B$3004,E$4,Acuses!$C$5:$C$3004,E$5),E$8)&lt;Resumen!$C$4+30,"Caduca pronto","OK"))))))</f>
        <v/>
      </c>
      <c r="F86" s="26" t="str">
        <f aca="false">IF(OR($A86="",F$4=""),"",IF(NOT(OR(F$6="Toda la plantilla",ISNUMBER(SEARCH(";"&amp;SUBSTITUTE($C86," ","")&amp;";",";"&amp;SUBSTITUTE(F$7," ","")&amp;";")))),"—",IF(_xlfn.MAXIFS(Acuses!$C$5:$C$3004,Acuses!$A$5:$A$3004,$A86,Acuses!$B$5:$B$3004,F$4)&lt;F$5,"Pendiente",IF(F$8=0,"OK",IF(EDATE(_xlfn.MAXIFS(Acuses!$D$5:$D$3004,Acuses!$A$5:$A$3004,$A86,Acuses!$B$5:$B$3004,F$4,Acuses!$C$5:$C$3004,F$5),F$8)&lt;Resumen!$C$4,"Caducado",IF(EDATE(_xlfn.MAXIFS(Acuses!$D$5:$D$3004,Acuses!$A$5:$A$3004,$A86,Acuses!$B$5:$B$3004,F$4,Acuses!$C$5:$C$3004,F$5),F$8)&lt;Resumen!$C$4+30,"Caduca pronto","OK"))))))</f>
        <v/>
      </c>
      <c r="G86" s="26" t="str">
        <f aca="false">IF(OR($A86="",G$4=""),"",IF(NOT(OR(G$6="Toda la plantilla",ISNUMBER(SEARCH(";"&amp;SUBSTITUTE($C86," ","")&amp;";",";"&amp;SUBSTITUTE(G$7," ","")&amp;";")))),"—",IF(_xlfn.MAXIFS(Acuses!$C$5:$C$3004,Acuses!$A$5:$A$3004,$A86,Acuses!$B$5:$B$3004,G$4)&lt;G$5,"Pendiente",IF(G$8=0,"OK",IF(EDATE(_xlfn.MAXIFS(Acuses!$D$5:$D$3004,Acuses!$A$5:$A$3004,$A86,Acuses!$B$5:$B$3004,G$4,Acuses!$C$5:$C$3004,G$5),G$8)&lt;Resumen!$C$4,"Caducado",IF(EDATE(_xlfn.MAXIFS(Acuses!$D$5:$D$3004,Acuses!$A$5:$A$3004,$A86,Acuses!$B$5:$B$3004,G$4,Acuses!$C$5:$C$3004,G$5),G$8)&lt;Resumen!$C$4+30,"Caduca pronto","OK"))))))</f>
        <v/>
      </c>
      <c r="H86" s="26" t="str">
        <f aca="false">IF(OR($A86="",H$4=""),"",IF(NOT(OR(H$6="Toda la plantilla",ISNUMBER(SEARCH(";"&amp;SUBSTITUTE($C86," ","")&amp;";",";"&amp;SUBSTITUTE(H$7," ","")&amp;";")))),"—",IF(_xlfn.MAXIFS(Acuses!$C$5:$C$3004,Acuses!$A$5:$A$3004,$A86,Acuses!$B$5:$B$3004,H$4)&lt;H$5,"Pendiente",IF(H$8=0,"OK",IF(EDATE(_xlfn.MAXIFS(Acuses!$D$5:$D$3004,Acuses!$A$5:$A$3004,$A86,Acuses!$B$5:$B$3004,H$4,Acuses!$C$5:$C$3004,H$5),H$8)&lt;Resumen!$C$4,"Caducado",IF(EDATE(_xlfn.MAXIFS(Acuses!$D$5:$D$3004,Acuses!$A$5:$A$3004,$A86,Acuses!$B$5:$B$3004,H$4,Acuses!$C$5:$C$3004,H$5),H$8)&lt;Resumen!$C$4+30,"Caduca pronto","OK"))))))</f>
        <v/>
      </c>
      <c r="I86" s="26" t="str">
        <f aca="false">IF(OR($A86="",I$4=""),"",IF(NOT(OR(I$6="Toda la plantilla",ISNUMBER(SEARCH(";"&amp;SUBSTITUTE($C86," ","")&amp;";",";"&amp;SUBSTITUTE(I$7," ","")&amp;";")))),"—",IF(_xlfn.MAXIFS(Acuses!$C$5:$C$3004,Acuses!$A$5:$A$3004,$A86,Acuses!$B$5:$B$3004,I$4)&lt;I$5,"Pendiente",IF(I$8=0,"OK",IF(EDATE(_xlfn.MAXIFS(Acuses!$D$5:$D$3004,Acuses!$A$5:$A$3004,$A86,Acuses!$B$5:$B$3004,I$4,Acuses!$C$5:$C$3004,I$5),I$8)&lt;Resumen!$C$4,"Caducado",IF(EDATE(_xlfn.MAXIFS(Acuses!$D$5:$D$3004,Acuses!$A$5:$A$3004,$A86,Acuses!$B$5:$B$3004,I$4,Acuses!$C$5:$C$3004,I$5),I$8)&lt;Resumen!$C$4+30,"Caduca pronto","OK"))))))</f>
        <v/>
      </c>
      <c r="J86" s="26" t="str">
        <f aca="false">IF(OR($A86="",J$4=""),"",IF(NOT(OR(J$6="Toda la plantilla",ISNUMBER(SEARCH(";"&amp;SUBSTITUTE($C86," ","")&amp;";",";"&amp;SUBSTITUTE(J$7," ","")&amp;";")))),"—",IF(_xlfn.MAXIFS(Acuses!$C$5:$C$3004,Acuses!$A$5:$A$3004,$A86,Acuses!$B$5:$B$3004,J$4)&lt;J$5,"Pendiente",IF(J$8=0,"OK",IF(EDATE(_xlfn.MAXIFS(Acuses!$D$5:$D$3004,Acuses!$A$5:$A$3004,$A86,Acuses!$B$5:$B$3004,J$4,Acuses!$C$5:$C$3004,J$5),J$8)&lt;Resumen!$C$4,"Caducado",IF(EDATE(_xlfn.MAXIFS(Acuses!$D$5:$D$3004,Acuses!$A$5:$A$3004,$A86,Acuses!$B$5:$B$3004,J$4,Acuses!$C$5:$C$3004,J$5),J$8)&lt;Resumen!$C$4+30,"Caduca pronto","OK"))))))</f>
        <v/>
      </c>
      <c r="K86" s="26" t="str">
        <f aca="false">IF(OR($A86="",K$4=""),"",IF(NOT(OR(K$6="Toda la plantilla",ISNUMBER(SEARCH(";"&amp;SUBSTITUTE($C86," ","")&amp;";",";"&amp;SUBSTITUTE(K$7," ","")&amp;";")))),"—",IF(_xlfn.MAXIFS(Acuses!$C$5:$C$3004,Acuses!$A$5:$A$3004,$A86,Acuses!$B$5:$B$3004,K$4)&lt;K$5,"Pendiente",IF(K$8=0,"OK",IF(EDATE(_xlfn.MAXIFS(Acuses!$D$5:$D$3004,Acuses!$A$5:$A$3004,$A86,Acuses!$B$5:$B$3004,K$4,Acuses!$C$5:$C$3004,K$5),K$8)&lt;Resumen!$C$4,"Caducado",IF(EDATE(_xlfn.MAXIFS(Acuses!$D$5:$D$3004,Acuses!$A$5:$A$3004,$A86,Acuses!$B$5:$B$3004,K$4,Acuses!$C$5:$C$3004,K$5),K$8)&lt;Resumen!$C$4+30,"Caduca pronto","OK"))))))</f>
        <v/>
      </c>
      <c r="L86" s="26" t="str">
        <f aca="false">IF(OR($A86="",L$4=""),"",IF(NOT(OR(L$6="Toda la plantilla",ISNUMBER(SEARCH(";"&amp;SUBSTITUTE($C86," ","")&amp;";",";"&amp;SUBSTITUTE(L$7," ","")&amp;";")))),"—",IF(_xlfn.MAXIFS(Acuses!$C$5:$C$3004,Acuses!$A$5:$A$3004,$A86,Acuses!$B$5:$B$3004,L$4)&lt;L$5,"Pendiente",IF(L$8=0,"OK",IF(EDATE(_xlfn.MAXIFS(Acuses!$D$5:$D$3004,Acuses!$A$5:$A$3004,$A86,Acuses!$B$5:$B$3004,L$4,Acuses!$C$5:$C$3004,L$5),L$8)&lt;Resumen!$C$4,"Caducado",IF(EDATE(_xlfn.MAXIFS(Acuses!$D$5:$D$3004,Acuses!$A$5:$A$3004,$A86,Acuses!$B$5:$B$3004,L$4,Acuses!$C$5:$C$3004,L$5),L$8)&lt;Resumen!$C$4+30,"Caduca pronto","OK"))))))</f>
        <v/>
      </c>
      <c r="M86" s="26" t="str">
        <f aca="false">IF(OR($A86="",M$4=""),"",IF(NOT(OR(M$6="Toda la plantilla",ISNUMBER(SEARCH(";"&amp;SUBSTITUTE($C86," ","")&amp;";",";"&amp;SUBSTITUTE(M$7," ","")&amp;";")))),"—",IF(_xlfn.MAXIFS(Acuses!$C$5:$C$3004,Acuses!$A$5:$A$3004,$A86,Acuses!$B$5:$B$3004,M$4)&lt;M$5,"Pendiente",IF(M$8=0,"OK",IF(EDATE(_xlfn.MAXIFS(Acuses!$D$5:$D$3004,Acuses!$A$5:$A$3004,$A86,Acuses!$B$5:$B$3004,M$4,Acuses!$C$5:$C$3004,M$5),M$8)&lt;Resumen!$C$4,"Caducado",IF(EDATE(_xlfn.MAXIFS(Acuses!$D$5:$D$3004,Acuses!$A$5:$A$3004,$A86,Acuses!$B$5:$B$3004,M$4,Acuses!$C$5:$C$3004,M$5),M$8)&lt;Resumen!$C$4+30,"Caduca pronto","OK"))))))</f>
        <v/>
      </c>
      <c r="N86" s="26" t="str">
        <f aca="false">IF(OR($A86="",N$4=""),"",IF(NOT(OR(N$6="Toda la plantilla",ISNUMBER(SEARCH(";"&amp;SUBSTITUTE($C86," ","")&amp;";",";"&amp;SUBSTITUTE(N$7," ","")&amp;";")))),"—",IF(_xlfn.MAXIFS(Acuses!$C$5:$C$3004,Acuses!$A$5:$A$3004,$A86,Acuses!$B$5:$B$3004,N$4)&lt;N$5,"Pendiente",IF(N$8=0,"OK",IF(EDATE(_xlfn.MAXIFS(Acuses!$D$5:$D$3004,Acuses!$A$5:$A$3004,$A86,Acuses!$B$5:$B$3004,N$4,Acuses!$C$5:$C$3004,N$5),N$8)&lt;Resumen!$C$4,"Caducado",IF(EDATE(_xlfn.MAXIFS(Acuses!$D$5:$D$3004,Acuses!$A$5:$A$3004,$A86,Acuses!$B$5:$B$3004,N$4,Acuses!$C$5:$C$3004,N$5),N$8)&lt;Resumen!$C$4+30,"Caduca pronto","OK"))))))</f>
        <v/>
      </c>
      <c r="O86" s="26" t="str">
        <f aca="false">IF(OR($A86="",O$4=""),"",IF(NOT(OR(O$6="Toda la plantilla",ISNUMBER(SEARCH(";"&amp;SUBSTITUTE($C86," ","")&amp;";",";"&amp;SUBSTITUTE(O$7," ","")&amp;";")))),"—",IF(_xlfn.MAXIFS(Acuses!$C$5:$C$3004,Acuses!$A$5:$A$3004,$A86,Acuses!$B$5:$B$3004,O$4)&lt;O$5,"Pendiente",IF(O$8=0,"OK",IF(EDATE(_xlfn.MAXIFS(Acuses!$D$5:$D$3004,Acuses!$A$5:$A$3004,$A86,Acuses!$B$5:$B$3004,O$4,Acuses!$C$5:$C$3004,O$5),O$8)&lt;Resumen!$C$4,"Caducado",IF(EDATE(_xlfn.MAXIFS(Acuses!$D$5:$D$3004,Acuses!$A$5:$A$3004,$A86,Acuses!$B$5:$B$3004,O$4,Acuses!$C$5:$C$3004,O$5),O$8)&lt;Resumen!$C$4+30,"Caduca pronto","OK"))))))</f>
        <v/>
      </c>
      <c r="P86" s="26" t="str">
        <f aca="false">IF(OR($A86="",P$4=""),"",IF(NOT(OR(P$6="Toda la plantilla",ISNUMBER(SEARCH(";"&amp;SUBSTITUTE($C86," ","")&amp;";",";"&amp;SUBSTITUTE(P$7," ","")&amp;";")))),"—",IF(_xlfn.MAXIFS(Acuses!$C$5:$C$3004,Acuses!$A$5:$A$3004,$A86,Acuses!$B$5:$B$3004,P$4)&lt;P$5,"Pendiente",IF(P$8=0,"OK",IF(EDATE(_xlfn.MAXIFS(Acuses!$D$5:$D$3004,Acuses!$A$5:$A$3004,$A86,Acuses!$B$5:$B$3004,P$4,Acuses!$C$5:$C$3004,P$5),P$8)&lt;Resumen!$C$4,"Caducado",IF(EDATE(_xlfn.MAXIFS(Acuses!$D$5:$D$3004,Acuses!$A$5:$A$3004,$A86,Acuses!$B$5:$B$3004,P$4,Acuses!$C$5:$C$3004,P$5),P$8)&lt;Resumen!$C$4+30,"Caduca pronto","OK"))))))</f>
        <v/>
      </c>
      <c r="Q86" s="26" t="str">
        <f aca="false">IF(OR($A86="",Q$4=""),"",IF(NOT(OR(Q$6="Toda la plantilla",ISNUMBER(SEARCH(";"&amp;SUBSTITUTE($C86," ","")&amp;";",";"&amp;SUBSTITUTE(Q$7," ","")&amp;";")))),"—",IF(_xlfn.MAXIFS(Acuses!$C$5:$C$3004,Acuses!$A$5:$A$3004,$A86,Acuses!$B$5:$B$3004,Q$4)&lt;Q$5,"Pendiente",IF(Q$8=0,"OK",IF(EDATE(_xlfn.MAXIFS(Acuses!$D$5:$D$3004,Acuses!$A$5:$A$3004,$A86,Acuses!$B$5:$B$3004,Q$4,Acuses!$C$5:$C$3004,Q$5),Q$8)&lt;Resumen!$C$4,"Caducado",IF(EDATE(_xlfn.MAXIFS(Acuses!$D$5:$D$3004,Acuses!$A$5:$A$3004,$A86,Acuses!$B$5:$B$3004,Q$4,Acuses!$C$5:$C$3004,Q$5),Q$8)&lt;Resumen!$C$4+30,"Caduca pronto","OK"))))))</f>
        <v/>
      </c>
      <c r="R86" s="26" t="str">
        <f aca="false">IF(OR($A86="",R$4=""),"",IF(NOT(OR(R$6="Toda la plantilla",ISNUMBER(SEARCH(";"&amp;SUBSTITUTE($C86," ","")&amp;";",";"&amp;SUBSTITUTE(R$7," ","")&amp;";")))),"—",IF(_xlfn.MAXIFS(Acuses!$C$5:$C$3004,Acuses!$A$5:$A$3004,$A86,Acuses!$B$5:$B$3004,R$4)&lt;R$5,"Pendiente",IF(R$8=0,"OK",IF(EDATE(_xlfn.MAXIFS(Acuses!$D$5:$D$3004,Acuses!$A$5:$A$3004,$A86,Acuses!$B$5:$B$3004,R$4,Acuses!$C$5:$C$3004,R$5),R$8)&lt;Resumen!$C$4,"Caducado",IF(EDATE(_xlfn.MAXIFS(Acuses!$D$5:$D$3004,Acuses!$A$5:$A$3004,$A86,Acuses!$B$5:$B$3004,R$4,Acuses!$C$5:$C$3004,R$5),R$8)&lt;Resumen!$C$4+30,"Caduca pronto","OK"))))))</f>
        <v/>
      </c>
      <c r="S86" s="26" t="str">
        <f aca="false">IF(OR($A86="",S$4=""),"",IF(NOT(OR(S$6="Toda la plantilla",ISNUMBER(SEARCH(";"&amp;SUBSTITUTE($C86," ","")&amp;";",";"&amp;SUBSTITUTE(S$7," ","")&amp;";")))),"—",IF(_xlfn.MAXIFS(Acuses!$C$5:$C$3004,Acuses!$A$5:$A$3004,$A86,Acuses!$B$5:$B$3004,S$4)&lt;S$5,"Pendiente",IF(S$8=0,"OK",IF(EDATE(_xlfn.MAXIFS(Acuses!$D$5:$D$3004,Acuses!$A$5:$A$3004,$A86,Acuses!$B$5:$B$3004,S$4,Acuses!$C$5:$C$3004,S$5),S$8)&lt;Resumen!$C$4,"Caducado",IF(EDATE(_xlfn.MAXIFS(Acuses!$D$5:$D$3004,Acuses!$A$5:$A$3004,$A86,Acuses!$B$5:$B$3004,S$4,Acuses!$C$5:$C$3004,S$5),S$8)&lt;Resumen!$C$4+30,"Caduca pronto","OK"))))))</f>
        <v/>
      </c>
      <c r="T86" s="26" t="str">
        <f aca="false">IF(OR($A86="",T$4=""),"",IF(NOT(OR(T$6="Toda la plantilla",ISNUMBER(SEARCH(";"&amp;SUBSTITUTE($C86," ","")&amp;";",";"&amp;SUBSTITUTE(T$7," ","")&amp;";")))),"—",IF(_xlfn.MAXIFS(Acuses!$C$5:$C$3004,Acuses!$A$5:$A$3004,$A86,Acuses!$B$5:$B$3004,T$4)&lt;T$5,"Pendiente",IF(T$8=0,"OK",IF(EDATE(_xlfn.MAXIFS(Acuses!$D$5:$D$3004,Acuses!$A$5:$A$3004,$A86,Acuses!$B$5:$B$3004,T$4,Acuses!$C$5:$C$3004,T$5),T$8)&lt;Resumen!$C$4,"Caducado",IF(EDATE(_xlfn.MAXIFS(Acuses!$D$5:$D$3004,Acuses!$A$5:$A$3004,$A86,Acuses!$B$5:$B$3004,T$4,Acuses!$C$5:$C$3004,T$5),T$8)&lt;Resumen!$C$4+30,"Caduca pronto","OK"))))))</f>
        <v/>
      </c>
      <c r="U86" s="26" t="str">
        <f aca="false">IF(OR($A86="",U$4=""),"",IF(NOT(OR(U$6="Toda la plantilla",ISNUMBER(SEARCH(";"&amp;SUBSTITUTE($C86," ","")&amp;";",";"&amp;SUBSTITUTE(U$7," ","")&amp;";")))),"—",IF(_xlfn.MAXIFS(Acuses!$C$5:$C$3004,Acuses!$A$5:$A$3004,$A86,Acuses!$B$5:$B$3004,U$4)&lt;U$5,"Pendiente",IF(U$8=0,"OK",IF(EDATE(_xlfn.MAXIFS(Acuses!$D$5:$D$3004,Acuses!$A$5:$A$3004,$A86,Acuses!$B$5:$B$3004,U$4,Acuses!$C$5:$C$3004,U$5),U$8)&lt;Resumen!$C$4,"Caducado",IF(EDATE(_xlfn.MAXIFS(Acuses!$D$5:$D$3004,Acuses!$A$5:$A$3004,$A86,Acuses!$B$5:$B$3004,U$4,Acuses!$C$5:$C$3004,U$5),U$8)&lt;Resumen!$C$4+30,"Caduca pronto","OK"))))))</f>
        <v/>
      </c>
      <c r="V86" s="26" t="str">
        <f aca="false">IF(OR($A86="",V$4=""),"",IF(NOT(OR(V$6="Toda la plantilla",ISNUMBER(SEARCH(";"&amp;SUBSTITUTE($C86," ","")&amp;";",";"&amp;SUBSTITUTE(V$7," ","")&amp;";")))),"—",IF(_xlfn.MAXIFS(Acuses!$C$5:$C$3004,Acuses!$A$5:$A$3004,$A86,Acuses!$B$5:$B$3004,V$4)&lt;V$5,"Pendiente",IF(V$8=0,"OK",IF(EDATE(_xlfn.MAXIFS(Acuses!$D$5:$D$3004,Acuses!$A$5:$A$3004,$A86,Acuses!$B$5:$B$3004,V$4,Acuses!$C$5:$C$3004,V$5),V$8)&lt;Resumen!$C$4,"Caducado",IF(EDATE(_xlfn.MAXIFS(Acuses!$D$5:$D$3004,Acuses!$A$5:$A$3004,$A86,Acuses!$B$5:$B$3004,V$4,Acuses!$C$5:$C$3004,V$5),V$8)&lt;Resumen!$C$4+30,"Caduca pronto","OK"))))))</f>
        <v/>
      </c>
      <c r="W86" s="26" t="str">
        <f aca="false">IF(OR($A86="",W$4=""),"",IF(NOT(OR(W$6="Toda la plantilla",ISNUMBER(SEARCH(";"&amp;SUBSTITUTE($C86," ","")&amp;";",";"&amp;SUBSTITUTE(W$7," ","")&amp;";")))),"—",IF(_xlfn.MAXIFS(Acuses!$C$5:$C$3004,Acuses!$A$5:$A$3004,$A86,Acuses!$B$5:$B$3004,W$4)&lt;W$5,"Pendiente",IF(W$8=0,"OK",IF(EDATE(_xlfn.MAXIFS(Acuses!$D$5:$D$3004,Acuses!$A$5:$A$3004,$A86,Acuses!$B$5:$B$3004,W$4,Acuses!$C$5:$C$3004,W$5),W$8)&lt;Resumen!$C$4,"Caducado",IF(EDATE(_xlfn.MAXIFS(Acuses!$D$5:$D$3004,Acuses!$A$5:$A$3004,$A86,Acuses!$B$5:$B$3004,W$4,Acuses!$C$5:$C$3004,W$5),W$8)&lt;Resumen!$C$4+30,"Caduca pronto","OK"))))))</f>
        <v/>
      </c>
      <c r="X86" s="26" t="str">
        <f aca="false">IF(OR($A86="",X$4=""),"",IF(NOT(OR(X$6="Toda la plantilla",ISNUMBER(SEARCH(";"&amp;SUBSTITUTE($C86," ","")&amp;";",";"&amp;SUBSTITUTE(X$7," ","")&amp;";")))),"—",IF(_xlfn.MAXIFS(Acuses!$C$5:$C$3004,Acuses!$A$5:$A$3004,$A86,Acuses!$B$5:$B$3004,X$4)&lt;X$5,"Pendiente",IF(X$8=0,"OK",IF(EDATE(_xlfn.MAXIFS(Acuses!$D$5:$D$3004,Acuses!$A$5:$A$3004,$A86,Acuses!$B$5:$B$3004,X$4,Acuses!$C$5:$C$3004,X$5),X$8)&lt;Resumen!$C$4,"Caducado",IF(EDATE(_xlfn.MAXIFS(Acuses!$D$5:$D$3004,Acuses!$A$5:$A$3004,$A86,Acuses!$B$5:$B$3004,X$4,Acuses!$C$5:$C$3004,X$5),X$8)&lt;Resumen!$C$4+30,"Caduca pronto","OK"))))))</f>
        <v/>
      </c>
      <c r="Y86" s="26" t="str">
        <f aca="false">IF(OR($A86="",Y$4=""),"",IF(NOT(OR(Y$6="Toda la plantilla",ISNUMBER(SEARCH(";"&amp;SUBSTITUTE($C86," ","")&amp;";",";"&amp;SUBSTITUTE(Y$7," ","")&amp;";")))),"—",IF(_xlfn.MAXIFS(Acuses!$C$5:$C$3004,Acuses!$A$5:$A$3004,$A86,Acuses!$B$5:$B$3004,Y$4)&lt;Y$5,"Pendiente",IF(Y$8=0,"OK",IF(EDATE(_xlfn.MAXIFS(Acuses!$D$5:$D$3004,Acuses!$A$5:$A$3004,$A86,Acuses!$B$5:$B$3004,Y$4,Acuses!$C$5:$C$3004,Y$5),Y$8)&lt;Resumen!$C$4,"Caducado",IF(EDATE(_xlfn.MAXIFS(Acuses!$D$5:$D$3004,Acuses!$A$5:$A$3004,$A86,Acuses!$B$5:$B$3004,Y$4,Acuses!$C$5:$C$3004,Y$5),Y$8)&lt;Resumen!$C$4+30,"Caduca pronto","OK"))))))</f>
        <v/>
      </c>
      <c r="Z86" s="26" t="str">
        <f aca="false">IF(OR($A86="",Z$4=""),"",IF(NOT(OR(Z$6="Toda la plantilla",ISNUMBER(SEARCH(";"&amp;SUBSTITUTE($C86," ","")&amp;";",";"&amp;SUBSTITUTE(Z$7," ","")&amp;";")))),"—",IF(_xlfn.MAXIFS(Acuses!$C$5:$C$3004,Acuses!$A$5:$A$3004,$A86,Acuses!$B$5:$B$3004,Z$4)&lt;Z$5,"Pendiente",IF(Z$8=0,"OK",IF(EDATE(_xlfn.MAXIFS(Acuses!$D$5:$D$3004,Acuses!$A$5:$A$3004,$A86,Acuses!$B$5:$B$3004,Z$4,Acuses!$C$5:$C$3004,Z$5),Z$8)&lt;Resumen!$C$4,"Caducado",IF(EDATE(_xlfn.MAXIFS(Acuses!$D$5:$D$3004,Acuses!$A$5:$A$3004,$A86,Acuses!$B$5:$B$3004,Z$4,Acuses!$C$5:$C$3004,Z$5),Z$8)&lt;Resumen!$C$4+30,"Caduca pronto","OK"))))))</f>
        <v/>
      </c>
      <c r="AA86" s="26" t="str">
        <f aca="false">IF(OR($A86="",AA$4=""),"",IF(NOT(OR(AA$6="Toda la plantilla",ISNUMBER(SEARCH(";"&amp;SUBSTITUTE($C86," ","")&amp;";",";"&amp;SUBSTITUTE(AA$7," ","")&amp;";")))),"—",IF(_xlfn.MAXIFS(Acuses!$C$5:$C$3004,Acuses!$A$5:$A$3004,$A86,Acuses!$B$5:$B$3004,AA$4)&lt;AA$5,"Pendiente",IF(AA$8=0,"OK",IF(EDATE(_xlfn.MAXIFS(Acuses!$D$5:$D$3004,Acuses!$A$5:$A$3004,$A86,Acuses!$B$5:$B$3004,AA$4,Acuses!$C$5:$C$3004,AA$5),AA$8)&lt;Resumen!$C$4,"Caducado",IF(EDATE(_xlfn.MAXIFS(Acuses!$D$5:$D$3004,Acuses!$A$5:$A$3004,$A86,Acuses!$B$5:$B$3004,AA$4,Acuses!$C$5:$C$3004,AA$5),AA$8)&lt;Resumen!$C$4+30,"Caduca pronto","OK"))))))</f>
        <v/>
      </c>
      <c r="AB86" s="26" t="str">
        <f aca="false">IF(OR($A86="",AB$4=""),"",IF(NOT(OR(AB$6="Toda la plantilla",ISNUMBER(SEARCH(";"&amp;SUBSTITUTE($C86," ","")&amp;";",";"&amp;SUBSTITUTE(AB$7," ","")&amp;";")))),"—",IF(_xlfn.MAXIFS(Acuses!$C$5:$C$3004,Acuses!$A$5:$A$3004,$A86,Acuses!$B$5:$B$3004,AB$4)&lt;AB$5,"Pendiente",IF(AB$8=0,"OK",IF(EDATE(_xlfn.MAXIFS(Acuses!$D$5:$D$3004,Acuses!$A$5:$A$3004,$A86,Acuses!$B$5:$B$3004,AB$4,Acuses!$C$5:$C$3004,AB$5),AB$8)&lt;Resumen!$C$4,"Caducado",IF(EDATE(_xlfn.MAXIFS(Acuses!$D$5:$D$3004,Acuses!$A$5:$A$3004,$A86,Acuses!$B$5:$B$3004,AB$4,Acuses!$C$5:$C$3004,AB$5),AB$8)&lt;Resumen!$C$4+30,"Caduca pronto","OK"))))))</f>
        <v/>
      </c>
      <c r="AC86" s="26" t="str">
        <f aca="false">IF(OR($A86="",AC$4=""),"",IF(NOT(OR(AC$6="Toda la plantilla",ISNUMBER(SEARCH(";"&amp;SUBSTITUTE($C86," ","")&amp;";",";"&amp;SUBSTITUTE(AC$7," ","")&amp;";")))),"—",IF(_xlfn.MAXIFS(Acuses!$C$5:$C$3004,Acuses!$A$5:$A$3004,$A86,Acuses!$B$5:$B$3004,AC$4)&lt;AC$5,"Pendiente",IF(AC$8=0,"OK",IF(EDATE(_xlfn.MAXIFS(Acuses!$D$5:$D$3004,Acuses!$A$5:$A$3004,$A86,Acuses!$B$5:$B$3004,AC$4,Acuses!$C$5:$C$3004,AC$5),AC$8)&lt;Resumen!$C$4,"Caducado",IF(EDATE(_xlfn.MAXIFS(Acuses!$D$5:$D$3004,Acuses!$A$5:$A$3004,$A86,Acuses!$B$5:$B$3004,AC$4,Acuses!$C$5:$C$3004,AC$5),AC$8)&lt;Resumen!$C$4+30,"Caduca pronto","OK"))))))</f>
        <v/>
      </c>
      <c r="AD86" s="26" t="str">
        <f aca="false">IF(OR($A86="",AD$4=""),"",IF(NOT(OR(AD$6="Toda la plantilla",ISNUMBER(SEARCH(";"&amp;SUBSTITUTE($C86," ","")&amp;";",";"&amp;SUBSTITUTE(AD$7," ","")&amp;";")))),"—",IF(_xlfn.MAXIFS(Acuses!$C$5:$C$3004,Acuses!$A$5:$A$3004,$A86,Acuses!$B$5:$B$3004,AD$4)&lt;AD$5,"Pendiente",IF(AD$8=0,"OK",IF(EDATE(_xlfn.MAXIFS(Acuses!$D$5:$D$3004,Acuses!$A$5:$A$3004,$A86,Acuses!$B$5:$B$3004,AD$4,Acuses!$C$5:$C$3004,AD$5),AD$8)&lt;Resumen!$C$4,"Caducado",IF(EDATE(_xlfn.MAXIFS(Acuses!$D$5:$D$3004,Acuses!$A$5:$A$3004,$A86,Acuses!$B$5:$B$3004,AD$4,Acuses!$C$5:$C$3004,AD$5),AD$8)&lt;Resumen!$C$4+30,"Caduca pronto","OK"))))))</f>
        <v/>
      </c>
      <c r="AE86" s="26" t="str">
        <f aca="false">IF(OR($A86="",AE$4=""),"",IF(NOT(OR(AE$6="Toda la plantilla",ISNUMBER(SEARCH(";"&amp;SUBSTITUTE($C86," ","")&amp;";",";"&amp;SUBSTITUTE(AE$7," ","")&amp;";")))),"—",IF(_xlfn.MAXIFS(Acuses!$C$5:$C$3004,Acuses!$A$5:$A$3004,$A86,Acuses!$B$5:$B$3004,AE$4)&lt;AE$5,"Pendiente",IF(AE$8=0,"OK",IF(EDATE(_xlfn.MAXIFS(Acuses!$D$5:$D$3004,Acuses!$A$5:$A$3004,$A86,Acuses!$B$5:$B$3004,AE$4,Acuses!$C$5:$C$3004,AE$5),AE$8)&lt;Resumen!$C$4,"Caducado",IF(EDATE(_xlfn.MAXIFS(Acuses!$D$5:$D$3004,Acuses!$A$5:$A$3004,$A86,Acuses!$B$5:$B$3004,AE$4,Acuses!$C$5:$C$3004,AE$5),AE$8)&lt;Resumen!$C$4+30,"Caduca pronto","OK"))))))</f>
        <v/>
      </c>
      <c r="AF86" s="26" t="str">
        <f aca="false">IF(OR($A86="",AF$4=""),"",IF(NOT(OR(AF$6="Toda la plantilla",ISNUMBER(SEARCH(";"&amp;SUBSTITUTE($C86," ","")&amp;";",";"&amp;SUBSTITUTE(AF$7," ","")&amp;";")))),"—",IF(_xlfn.MAXIFS(Acuses!$C$5:$C$3004,Acuses!$A$5:$A$3004,$A86,Acuses!$B$5:$B$3004,AF$4)&lt;AF$5,"Pendiente",IF(AF$8=0,"OK",IF(EDATE(_xlfn.MAXIFS(Acuses!$D$5:$D$3004,Acuses!$A$5:$A$3004,$A86,Acuses!$B$5:$B$3004,AF$4,Acuses!$C$5:$C$3004,AF$5),AF$8)&lt;Resumen!$C$4,"Caducado",IF(EDATE(_xlfn.MAXIFS(Acuses!$D$5:$D$3004,Acuses!$A$5:$A$3004,$A86,Acuses!$B$5:$B$3004,AF$4,Acuses!$C$5:$C$3004,AF$5),AF$8)&lt;Resumen!$C$4+30,"Caduca pronto","OK"))))))</f>
        <v/>
      </c>
      <c r="AG86" s="26" t="str">
        <f aca="false">IF(OR($A86="",AG$4=""),"",IF(NOT(OR(AG$6="Toda la plantilla",ISNUMBER(SEARCH(";"&amp;SUBSTITUTE($C86," ","")&amp;";",";"&amp;SUBSTITUTE(AG$7," ","")&amp;";")))),"—",IF(_xlfn.MAXIFS(Acuses!$C$5:$C$3004,Acuses!$A$5:$A$3004,$A86,Acuses!$B$5:$B$3004,AG$4)&lt;AG$5,"Pendiente",IF(AG$8=0,"OK",IF(EDATE(_xlfn.MAXIFS(Acuses!$D$5:$D$3004,Acuses!$A$5:$A$3004,$A86,Acuses!$B$5:$B$3004,AG$4,Acuses!$C$5:$C$3004,AG$5),AG$8)&lt;Resumen!$C$4,"Caducado",IF(EDATE(_xlfn.MAXIFS(Acuses!$D$5:$D$3004,Acuses!$A$5:$A$3004,$A86,Acuses!$B$5:$B$3004,AG$4,Acuses!$C$5:$C$3004,AG$5),AG$8)&lt;Resumen!$C$4+30,"Caduca pronto","OK"))))))</f>
        <v/>
      </c>
      <c r="AH86" s="26" t="str">
        <f aca="false">IF(OR($A86="",AH$4=""),"",IF(NOT(OR(AH$6="Toda la plantilla",ISNUMBER(SEARCH(";"&amp;SUBSTITUTE($C86," ","")&amp;";",";"&amp;SUBSTITUTE(AH$7," ","")&amp;";")))),"—",IF(_xlfn.MAXIFS(Acuses!$C$5:$C$3004,Acuses!$A$5:$A$3004,$A86,Acuses!$B$5:$B$3004,AH$4)&lt;AH$5,"Pendiente",IF(AH$8=0,"OK",IF(EDATE(_xlfn.MAXIFS(Acuses!$D$5:$D$3004,Acuses!$A$5:$A$3004,$A86,Acuses!$B$5:$B$3004,AH$4,Acuses!$C$5:$C$3004,AH$5),AH$8)&lt;Resumen!$C$4,"Caducado",IF(EDATE(_xlfn.MAXIFS(Acuses!$D$5:$D$3004,Acuses!$A$5:$A$3004,$A86,Acuses!$B$5:$B$3004,AH$4,Acuses!$C$5:$C$3004,AH$5),AH$8)&lt;Resumen!$C$4+30,"Caduca pronto","OK"))))))</f>
        <v/>
      </c>
      <c r="AI86" s="26" t="str">
        <f aca="false">IF(OR($A86="",AI$4=""),"",IF(NOT(OR(AI$6="Toda la plantilla",ISNUMBER(SEARCH(";"&amp;SUBSTITUTE($C86," ","")&amp;";",";"&amp;SUBSTITUTE(AI$7," ","")&amp;";")))),"—",IF(_xlfn.MAXIFS(Acuses!$C$5:$C$3004,Acuses!$A$5:$A$3004,$A86,Acuses!$B$5:$B$3004,AI$4)&lt;AI$5,"Pendiente",IF(AI$8=0,"OK",IF(EDATE(_xlfn.MAXIFS(Acuses!$D$5:$D$3004,Acuses!$A$5:$A$3004,$A86,Acuses!$B$5:$B$3004,AI$4,Acuses!$C$5:$C$3004,AI$5),AI$8)&lt;Resumen!$C$4,"Caducado",IF(EDATE(_xlfn.MAXIFS(Acuses!$D$5:$D$3004,Acuses!$A$5:$A$3004,$A86,Acuses!$B$5:$B$3004,AI$4,Acuses!$C$5:$C$3004,AI$5),AI$8)&lt;Resumen!$C$4+30,"Caduca pronto","OK"))))))</f>
        <v/>
      </c>
      <c r="AJ86" s="26" t="str">
        <f aca="false">IF(OR($A86="",AJ$4=""),"",IF(NOT(OR(AJ$6="Toda la plantilla",ISNUMBER(SEARCH(";"&amp;SUBSTITUTE($C86," ","")&amp;";",";"&amp;SUBSTITUTE(AJ$7," ","")&amp;";")))),"—",IF(_xlfn.MAXIFS(Acuses!$C$5:$C$3004,Acuses!$A$5:$A$3004,$A86,Acuses!$B$5:$B$3004,AJ$4)&lt;AJ$5,"Pendiente",IF(AJ$8=0,"OK",IF(EDATE(_xlfn.MAXIFS(Acuses!$D$5:$D$3004,Acuses!$A$5:$A$3004,$A86,Acuses!$B$5:$B$3004,AJ$4,Acuses!$C$5:$C$3004,AJ$5),AJ$8)&lt;Resumen!$C$4,"Caducado",IF(EDATE(_xlfn.MAXIFS(Acuses!$D$5:$D$3004,Acuses!$A$5:$A$3004,$A86,Acuses!$B$5:$B$3004,AJ$4,Acuses!$C$5:$C$3004,AJ$5),AJ$8)&lt;Resumen!$C$4+30,"Caduca pronto","OK"))))))</f>
        <v/>
      </c>
      <c r="AK86" s="26" t="str">
        <f aca="false">IF(OR($A86="",AK$4=""),"",IF(NOT(OR(AK$6="Toda la plantilla",ISNUMBER(SEARCH(";"&amp;SUBSTITUTE($C86," ","")&amp;";",";"&amp;SUBSTITUTE(AK$7," ","")&amp;";")))),"—",IF(_xlfn.MAXIFS(Acuses!$C$5:$C$3004,Acuses!$A$5:$A$3004,$A86,Acuses!$B$5:$B$3004,AK$4)&lt;AK$5,"Pendiente",IF(AK$8=0,"OK",IF(EDATE(_xlfn.MAXIFS(Acuses!$D$5:$D$3004,Acuses!$A$5:$A$3004,$A86,Acuses!$B$5:$B$3004,AK$4,Acuses!$C$5:$C$3004,AK$5),AK$8)&lt;Resumen!$C$4,"Caducado",IF(EDATE(_xlfn.MAXIFS(Acuses!$D$5:$D$3004,Acuses!$A$5:$A$3004,$A86,Acuses!$B$5:$B$3004,AK$4,Acuses!$C$5:$C$3004,AK$5),AK$8)&lt;Resumen!$C$4+30,"Caduca pronto","OK"))))))</f>
        <v/>
      </c>
      <c r="AL86" s="26" t="str">
        <f aca="false">IF(OR($A86="",AL$4=""),"",IF(NOT(OR(AL$6="Toda la plantilla",ISNUMBER(SEARCH(";"&amp;SUBSTITUTE($C86," ","")&amp;";",";"&amp;SUBSTITUTE(AL$7," ","")&amp;";")))),"—",IF(_xlfn.MAXIFS(Acuses!$C$5:$C$3004,Acuses!$A$5:$A$3004,$A86,Acuses!$B$5:$B$3004,AL$4)&lt;AL$5,"Pendiente",IF(AL$8=0,"OK",IF(EDATE(_xlfn.MAXIFS(Acuses!$D$5:$D$3004,Acuses!$A$5:$A$3004,$A86,Acuses!$B$5:$B$3004,AL$4,Acuses!$C$5:$C$3004,AL$5),AL$8)&lt;Resumen!$C$4,"Caducado",IF(EDATE(_xlfn.MAXIFS(Acuses!$D$5:$D$3004,Acuses!$A$5:$A$3004,$A86,Acuses!$B$5:$B$3004,AL$4,Acuses!$C$5:$C$3004,AL$5),AL$8)&lt;Resumen!$C$4+30,"Caduca pronto","OK"))))))</f>
        <v/>
      </c>
      <c r="AM86" s="26" t="str">
        <f aca="false">IF(OR($A86="",AM$4=""),"",IF(NOT(OR(AM$6="Toda la plantilla",ISNUMBER(SEARCH(";"&amp;SUBSTITUTE($C86," ","")&amp;";",";"&amp;SUBSTITUTE(AM$7," ","")&amp;";")))),"—",IF(_xlfn.MAXIFS(Acuses!$C$5:$C$3004,Acuses!$A$5:$A$3004,$A86,Acuses!$B$5:$B$3004,AM$4)&lt;AM$5,"Pendiente",IF(AM$8=0,"OK",IF(EDATE(_xlfn.MAXIFS(Acuses!$D$5:$D$3004,Acuses!$A$5:$A$3004,$A86,Acuses!$B$5:$B$3004,AM$4,Acuses!$C$5:$C$3004,AM$5),AM$8)&lt;Resumen!$C$4,"Caducado",IF(EDATE(_xlfn.MAXIFS(Acuses!$D$5:$D$3004,Acuses!$A$5:$A$3004,$A86,Acuses!$B$5:$B$3004,AM$4,Acuses!$C$5:$C$3004,AM$5),AM$8)&lt;Resumen!$C$4+30,"Caduca pronto","OK"))))))</f>
        <v/>
      </c>
      <c r="AN86" s="26" t="str">
        <f aca="false">IF(OR($A86="",AN$4=""),"",IF(NOT(OR(AN$6="Toda la plantilla",ISNUMBER(SEARCH(";"&amp;SUBSTITUTE($C86," ","")&amp;";",";"&amp;SUBSTITUTE(AN$7," ","")&amp;";")))),"—",IF(_xlfn.MAXIFS(Acuses!$C$5:$C$3004,Acuses!$A$5:$A$3004,$A86,Acuses!$B$5:$B$3004,AN$4)&lt;AN$5,"Pendiente",IF(AN$8=0,"OK",IF(EDATE(_xlfn.MAXIFS(Acuses!$D$5:$D$3004,Acuses!$A$5:$A$3004,$A86,Acuses!$B$5:$B$3004,AN$4,Acuses!$C$5:$C$3004,AN$5),AN$8)&lt;Resumen!$C$4,"Caducado",IF(EDATE(_xlfn.MAXIFS(Acuses!$D$5:$D$3004,Acuses!$A$5:$A$3004,$A86,Acuses!$B$5:$B$3004,AN$4,Acuses!$C$5:$C$3004,AN$5),AN$8)&lt;Resumen!$C$4+30,"Caduca pronto","OK"))))))</f>
        <v/>
      </c>
      <c r="AO86" s="26" t="str">
        <f aca="false">IF(OR($A86="",AO$4=""),"",IF(NOT(OR(AO$6="Toda la plantilla",ISNUMBER(SEARCH(";"&amp;SUBSTITUTE($C86," ","")&amp;";",";"&amp;SUBSTITUTE(AO$7," ","")&amp;";")))),"—",IF(_xlfn.MAXIFS(Acuses!$C$5:$C$3004,Acuses!$A$5:$A$3004,$A86,Acuses!$B$5:$B$3004,AO$4)&lt;AO$5,"Pendiente",IF(AO$8=0,"OK",IF(EDATE(_xlfn.MAXIFS(Acuses!$D$5:$D$3004,Acuses!$A$5:$A$3004,$A86,Acuses!$B$5:$B$3004,AO$4,Acuses!$C$5:$C$3004,AO$5),AO$8)&lt;Resumen!$C$4,"Caducado",IF(EDATE(_xlfn.MAXIFS(Acuses!$D$5:$D$3004,Acuses!$A$5:$A$3004,$A86,Acuses!$B$5:$B$3004,AO$4,Acuses!$C$5:$C$3004,AO$5),AO$8)&lt;Resumen!$C$4+30,"Caduca pronto","OK"))))))</f>
        <v/>
      </c>
      <c r="AP86" s="26" t="str">
        <f aca="false">IF(OR($A86="",AP$4=""),"",IF(NOT(OR(AP$6="Toda la plantilla",ISNUMBER(SEARCH(";"&amp;SUBSTITUTE($C86," ","")&amp;";",";"&amp;SUBSTITUTE(AP$7," ","")&amp;";")))),"—",IF(_xlfn.MAXIFS(Acuses!$C$5:$C$3004,Acuses!$A$5:$A$3004,$A86,Acuses!$B$5:$B$3004,AP$4)&lt;AP$5,"Pendiente",IF(AP$8=0,"OK",IF(EDATE(_xlfn.MAXIFS(Acuses!$D$5:$D$3004,Acuses!$A$5:$A$3004,$A86,Acuses!$B$5:$B$3004,AP$4,Acuses!$C$5:$C$3004,AP$5),AP$8)&lt;Resumen!$C$4,"Caducado",IF(EDATE(_xlfn.MAXIFS(Acuses!$D$5:$D$3004,Acuses!$A$5:$A$3004,$A86,Acuses!$B$5:$B$3004,AP$4,Acuses!$C$5:$C$3004,AP$5),AP$8)&lt;Resumen!$C$4+30,"Caduca pronto","OK"))))))</f>
        <v/>
      </c>
      <c r="AQ86" s="26" t="str">
        <f aca="false">IF(OR($A86="",AQ$4=""),"",IF(NOT(OR(AQ$6="Toda la plantilla",ISNUMBER(SEARCH(";"&amp;SUBSTITUTE($C86," ","")&amp;";",";"&amp;SUBSTITUTE(AQ$7," ","")&amp;";")))),"—",IF(_xlfn.MAXIFS(Acuses!$C$5:$C$3004,Acuses!$A$5:$A$3004,$A86,Acuses!$B$5:$B$3004,AQ$4)&lt;AQ$5,"Pendiente",IF(AQ$8=0,"OK",IF(EDATE(_xlfn.MAXIFS(Acuses!$D$5:$D$3004,Acuses!$A$5:$A$3004,$A86,Acuses!$B$5:$B$3004,AQ$4,Acuses!$C$5:$C$3004,AQ$5),AQ$8)&lt;Resumen!$C$4,"Caducado",IF(EDATE(_xlfn.MAXIFS(Acuses!$D$5:$D$3004,Acuses!$A$5:$A$3004,$A86,Acuses!$B$5:$B$3004,AQ$4,Acuses!$C$5:$C$3004,AQ$5),AQ$8)&lt;Resumen!$C$4+30,"Caduca pronto","OK"))))))</f>
        <v/>
      </c>
    </row>
    <row r="87" customFormat="false" ht="15" hidden="false" customHeight="false" outlineLevel="0" collapsed="false">
      <c r="A87" s="25" t="str">
        <f aca="false">IF(AND(Trabajadores!$A$82&lt;&gt;"",Trabajadores!$G$82&lt;&gt;"No"),Trabajadores!$A$82,"")</f>
        <v/>
      </c>
      <c r="B87" s="25" t="str">
        <f aca="false">IF($A87="","",Trabajadores!$B$82)</f>
        <v/>
      </c>
      <c r="C87" s="25" t="str">
        <f aca="false">IF($A87="","",Trabajadores!$C$82)</f>
        <v/>
      </c>
      <c r="D87" s="26" t="str">
        <f aca="false">IF(OR($A87="",D$4=""),"",IF(NOT(OR(D$6="Toda la plantilla",ISNUMBER(SEARCH(";"&amp;SUBSTITUTE($C87," ","")&amp;";",";"&amp;SUBSTITUTE(D$7," ","")&amp;";")))),"—",IF(_xlfn.MAXIFS(Acuses!$C$5:$C$3004,Acuses!$A$5:$A$3004,$A87,Acuses!$B$5:$B$3004,D$4)&lt;D$5,"Pendiente",IF(D$8=0,"OK",IF(EDATE(_xlfn.MAXIFS(Acuses!$D$5:$D$3004,Acuses!$A$5:$A$3004,$A87,Acuses!$B$5:$B$3004,D$4,Acuses!$C$5:$C$3004,D$5),D$8)&lt;Resumen!$C$4,"Caducado",IF(EDATE(_xlfn.MAXIFS(Acuses!$D$5:$D$3004,Acuses!$A$5:$A$3004,$A87,Acuses!$B$5:$B$3004,D$4,Acuses!$C$5:$C$3004,D$5),D$8)&lt;Resumen!$C$4+30,"Caduca pronto","OK"))))))</f>
        <v/>
      </c>
      <c r="E87" s="26" t="str">
        <f aca="false">IF(OR($A87="",E$4=""),"",IF(NOT(OR(E$6="Toda la plantilla",ISNUMBER(SEARCH(";"&amp;SUBSTITUTE($C87," ","")&amp;";",";"&amp;SUBSTITUTE(E$7," ","")&amp;";")))),"—",IF(_xlfn.MAXIFS(Acuses!$C$5:$C$3004,Acuses!$A$5:$A$3004,$A87,Acuses!$B$5:$B$3004,E$4)&lt;E$5,"Pendiente",IF(E$8=0,"OK",IF(EDATE(_xlfn.MAXIFS(Acuses!$D$5:$D$3004,Acuses!$A$5:$A$3004,$A87,Acuses!$B$5:$B$3004,E$4,Acuses!$C$5:$C$3004,E$5),E$8)&lt;Resumen!$C$4,"Caducado",IF(EDATE(_xlfn.MAXIFS(Acuses!$D$5:$D$3004,Acuses!$A$5:$A$3004,$A87,Acuses!$B$5:$B$3004,E$4,Acuses!$C$5:$C$3004,E$5),E$8)&lt;Resumen!$C$4+30,"Caduca pronto","OK"))))))</f>
        <v/>
      </c>
      <c r="F87" s="26" t="str">
        <f aca="false">IF(OR($A87="",F$4=""),"",IF(NOT(OR(F$6="Toda la plantilla",ISNUMBER(SEARCH(";"&amp;SUBSTITUTE($C87," ","")&amp;";",";"&amp;SUBSTITUTE(F$7," ","")&amp;";")))),"—",IF(_xlfn.MAXIFS(Acuses!$C$5:$C$3004,Acuses!$A$5:$A$3004,$A87,Acuses!$B$5:$B$3004,F$4)&lt;F$5,"Pendiente",IF(F$8=0,"OK",IF(EDATE(_xlfn.MAXIFS(Acuses!$D$5:$D$3004,Acuses!$A$5:$A$3004,$A87,Acuses!$B$5:$B$3004,F$4,Acuses!$C$5:$C$3004,F$5),F$8)&lt;Resumen!$C$4,"Caducado",IF(EDATE(_xlfn.MAXIFS(Acuses!$D$5:$D$3004,Acuses!$A$5:$A$3004,$A87,Acuses!$B$5:$B$3004,F$4,Acuses!$C$5:$C$3004,F$5),F$8)&lt;Resumen!$C$4+30,"Caduca pronto","OK"))))))</f>
        <v/>
      </c>
      <c r="G87" s="26" t="str">
        <f aca="false">IF(OR($A87="",G$4=""),"",IF(NOT(OR(G$6="Toda la plantilla",ISNUMBER(SEARCH(";"&amp;SUBSTITUTE($C87," ","")&amp;";",";"&amp;SUBSTITUTE(G$7," ","")&amp;";")))),"—",IF(_xlfn.MAXIFS(Acuses!$C$5:$C$3004,Acuses!$A$5:$A$3004,$A87,Acuses!$B$5:$B$3004,G$4)&lt;G$5,"Pendiente",IF(G$8=0,"OK",IF(EDATE(_xlfn.MAXIFS(Acuses!$D$5:$D$3004,Acuses!$A$5:$A$3004,$A87,Acuses!$B$5:$B$3004,G$4,Acuses!$C$5:$C$3004,G$5),G$8)&lt;Resumen!$C$4,"Caducado",IF(EDATE(_xlfn.MAXIFS(Acuses!$D$5:$D$3004,Acuses!$A$5:$A$3004,$A87,Acuses!$B$5:$B$3004,G$4,Acuses!$C$5:$C$3004,G$5),G$8)&lt;Resumen!$C$4+30,"Caduca pronto","OK"))))))</f>
        <v/>
      </c>
      <c r="H87" s="26" t="str">
        <f aca="false">IF(OR($A87="",H$4=""),"",IF(NOT(OR(H$6="Toda la plantilla",ISNUMBER(SEARCH(";"&amp;SUBSTITUTE($C87," ","")&amp;";",";"&amp;SUBSTITUTE(H$7," ","")&amp;";")))),"—",IF(_xlfn.MAXIFS(Acuses!$C$5:$C$3004,Acuses!$A$5:$A$3004,$A87,Acuses!$B$5:$B$3004,H$4)&lt;H$5,"Pendiente",IF(H$8=0,"OK",IF(EDATE(_xlfn.MAXIFS(Acuses!$D$5:$D$3004,Acuses!$A$5:$A$3004,$A87,Acuses!$B$5:$B$3004,H$4,Acuses!$C$5:$C$3004,H$5),H$8)&lt;Resumen!$C$4,"Caducado",IF(EDATE(_xlfn.MAXIFS(Acuses!$D$5:$D$3004,Acuses!$A$5:$A$3004,$A87,Acuses!$B$5:$B$3004,H$4,Acuses!$C$5:$C$3004,H$5),H$8)&lt;Resumen!$C$4+30,"Caduca pronto","OK"))))))</f>
        <v/>
      </c>
      <c r="I87" s="26" t="str">
        <f aca="false">IF(OR($A87="",I$4=""),"",IF(NOT(OR(I$6="Toda la plantilla",ISNUMBER(SEARCH(";"&amp;SUBSTITUTE($C87," ","")&amp;";",";"&amp;SUBSTITUTE(I$7," ","")&amp;";")))),"—",IF(_xlfn.MAXIFS(Acuses!$C$5:$C$3004,Acuses!$A$5:$A$3004,$A87,Acuses!$B$5:$B$3004,I$4)&lt;I$5,"Pendiente",IF(I$8=0,"OK",IF(EDATE(_xlfn.MAXIFS(Acuses!$D$5:$D$3004,Acuses!$A$5:$A$3004,$A87,Acuses!$B$5:$B$3004,I$4,Acuses!$C$5:$C$3004,I$5),I$8)&lt;Resumen!$C$4,"Caducado",IF(EDATE(_xlfn.MAXIFS(Acuses!$D$5:$D$3004,Acuses!$A$5:$A$3004,$A87,Acuses!$B$5:$B$3004,I$4,Acuses!$C$5:$C$3004,I$5),I$8)&lt;Resumen!$C$4+30,"Caduca pronto","OK"))))))</f>
        <v/>
      </c>
      <c r="J87" s="26" t="str">
        <f aca="false">IF(OR($A87="",J$4=""),"",IF(NOT(OR(J$6="Toda la plantilla",ISNUMBER(SEARCH(";"&amp;SUBSTITUTE($C87," ","")&amp;";",";"&amp;SUBSTITUTE(J$7," ","")&amp;";")))),"—",IF(_xlfn.MAXIFS(Acuses!$C$5:$C$3004,Acuses!$A$5:$A$3004,$A87,Acuses!$B$5:$B$3004,J$4)&lt;J$5,"Pendiente",IF(J$8=0,"OK",IF(EDATE(_xlfn.MAXIFS(Acuses!$D$5:$D$3004,Acuses!$A$5:$A$3004,$A87,Acuses!$B$5:$B$3004,J$4,Acuses!$C$5:$C$3004,J$5),J$8)&lt;Resumen!$C$4,"Caducado",IF(EDATE(_xlfn.MAXIFS(Acuses!$D$5:$D$3004,Acuses!$A$5:$A$3004,$A87,Acuses!$B$5:$B$3004,J$4,Acuses!$C$5:$C$3004,J$5),J$8)&lt;Resumen!$C$4+30,"Caduca pronto","OK"))))))</f>
        <v/>
      </c>
      <c r="K87" s="26" t="str">
        <f aca="false">IF(OR($A87="",K$4=""),"",IF(NOT(OR(K$6="Toda la plantilla",ISNUMBER(SEARCH(";"&amp;SUBSTITUTE($C87," ","")&amp;";",";"&amp;SUBSTITUTE(K$7," ","")&amp;";")))),"—",IF(_xlfn.MAXIFS(Acuses!$C$5:$C$3004,Acuses!$A$5:$A$3004,$A87,Acuses!$B$5:$B$3004,K$4)&lt;K$5,"Pendiente",IF(K$8=0,"OK",IF(EDATE(_xlfn.MAXIFS(Acuses!$D$5:$D$3004,Acuses!$A$5:$A$3004,$A87,Acuses!$B$5:$B$3004,K$4,Acuses!$C$5:$C$3004,K$5),K$8)&lt;Resumen!$C$4,"Caducado",IF(EDATE(_xlfn.MAXIFS(Acuses!$D$5:$D$3004,Acuses!$A$5:$A$3004,$A87,Acuses!$B$5:$B$3004,K$4,Acuses!$C$5:$C$3004,K$5),K$8)&lt;Resumen!$C$4+30,"Caduca pronto","OK"))))))</f>
        <v/>
      </c>
      <c r="L87" s="26" t="str">
        <f aca="false">IF(OR($A87="",L$4=""),"",IF(NOT(OR(L$6="Toda la plantilla",ISNUMBER(SEARCH(";"&amp;SUBSTITUTE($C87," ","")&amp;";",";"&amp;SUBSTITUTE(L$7," ","")&amp;";")))),"—",IF(_xlfn.MAXIFS(Acuses!$C$5:$C$3004,Acuses!$A$5:$A$3004,$A87,Acuses!$B$5:$B$3004,L$4)&lt;L$5,"Pendiente",IF(L$8=0,"OK",IF(EDATE(_xlfn.MAXIFS(Acuses!$D$5:$D$3004,Acuses!$A$5:$A$3004,$A87,Acuses!$B$5:$B$3004,L$4,Acuses!$C$5:$C$3004,L$5),L$8)&lt;Resumen!$C$4,"Caducado",IF(EDATE(_xlfn.MAXIFS(Acuses!$D$5:$D$3004,Acuses!$A$5:$A$3004,$A87,Acuses!$B$5:$B$3004,L$4,Acuses!$C$5:$C$3004,L$5),L$8)&lt;Resumen!$C$4+30,"Caduca pronto","OK"))))))</f>
        <v/>
      </c>
      <c r="M87" s="26" t="str">
        <f aca="false">IF(OR($A87="",M$4=""),"",IF(NOT(OR(M$6="Toda la plantilla",ISNUMBER(SEARCH(";"&amp;SUBSTITUTE($C87," ","")&amp;";",";"&amp;SUBSTITUTE(M$7," ","")&amp;";")))),"—",IF(_xlfn.MAXIFS(Acuses!$C$5:$C$3004,Acuses!$A$5:$A$3004,$A87,Acuses!$B$5:$B$3004,M$4)&lt;M$5,"Pendiente",IF(M$8=0,"OK",IF(EDATE(_xlfn.MAXIFS(Acuses!$D$5:$D$3004,Acuses!$A$5:$A$3004,$A87,Acuses!$B$5:$B$3004,M$4,Acuses!$C$5:$C$3004,M$5),M$8)&lt;Resumen!$C$4,"Caducado",IF(EDATE(_xlfn.MAXIFS(Acuses!$D$5:$D$3004,Acuses!$A$5:$A$3004,$A87,Acuses!$B$5:$B$3004,M$4,Acuses!$C$5:$C$3004,M$5),M$8)&lt;Resumen!$C$4+30,"Caduca pronto","OK"))))))</f>
        <v/>
      </c>
      <c r="N87" s="26" t="str">
        <f aca="false">IF(OR($A87="",N$4=""),"",IF(NOT(OR(N$6="Toda la plantilla",ISNUMBER(SEARCH(";"&amp;SUBSTITUTE($C87," ","")&amp;";",";"&amp;SUBSTITUTE(N$7," ","")&amp;";")))),"—",IF(_xlfn.MAXIFS(Acuses!$C$5:$C$3004,Acuses!$A$5:$A$3004,$A87,Acuses!$B$5:$B$3004,N$4)&lt;N$5,"Pendiente",IF(N$8=0,"OK",IF(EDATE(_xlfn.MAXIFS(Acuses!$D$5:$D$3004,Acuses!$A$5:$A$3004,$A87,Acuses!$B$5:$B$3004,N$4,Acuses!$C$5:$C$3004,N$5),N$8)&lt;Resumen!$C$4,"Caducado",IF(EDATE(_xlfn.MAXIFS(Acuses!$D$5:$D$3004,Acuses!$A$5:$A$3004,$A87,Acuses!$B$5:$B$3004,N$4,Acuses!$C$5:$C$3004,N$5),N$8)&lt;Resumen!$C$4+30,"Caduca pronto","OK"))))))</f>
        <v/>
      </c>
      <c r="O87" s="26" t="str">
        <f aca="false">IF(OR($A87="",O$4=""),"",IF(NOT(OR(O$6="Toda la plantilla",ISNUMBER(SEARCH(";"&amp;SUBSTITUTE($C87," ","")&amp;";",";"&amp;SUBSTITUTE(O$7," ","")&amp;";")))),"—",IF(_xlfn.MAXIFS(Acuses!$C$5:$C$3004,Acuses!$A$5:$A$3004,$A87,Acuses!$B$5:$B$3004,O$4)&lt;O$5,"Pendiente",IF(O$8=0,"OK",IF(EDATE(_xlfn.MAXIFS(Acuses!$D$5:$D$3004,Acuses!$A$5:$A$3004,$A87,Acuses!$B$5:$B$3004,O$4,Acuses!$C$5:$C$3004,O$5),O$8)&lt;Resumen!$C$4,"Caducado",IF(EDATE(_xlfn.MAXIFS(Acuses!$D$5:$D$3004,Acuses!$A$5:$A$3004,$A87,Acuses!$B$5:$B$3004,O$4,Acuses!$C$5:$C$3004,O$5),O$8)&lt;Resumen!$C$4+30,"Caduca pronto","OK"))))))</f>
        <v/>
      </c>
      <c r="P87" s="26" t="str">
        <f aca="false">IF(OR($A87="",P$4=""),"",IF(NOT(OR(P$6="Toda la plantilla",ISNUMBER(SEARCH(";"&amp;SUBSTITUTE($C87," ","")&amp;";",";"&amp;SUBSTITUTE(P$7," ","")&amp;";")))),"—",IF(_xlfn.MAXIFS(Acuses!$C$5:$C$3004,Acuses!$A$5:$A$3004,$A87,Acuses!$B$5:$B$3004,P$4)&lt;P$5,"Pendiente",IF(P$8=0,"OK",IF(EDATE(_xlfn.MAXIFS(Acuses!$D$5:$D$3004,Acuses!$A$5:$A$3004,$A87,Acuses!$B$5:$B$3004,P$4,Acuses!$C$5:$C$3004,P$5),P$8)&lt;Resumen!$C$4,"Caducado",IF(EDATE(_xlfn.MAXIFS(Acuses!$D$5:$D$3004,Acuses!$A$5:$A$3004,$A87,Acuses!$B$5:$B$3004,P$4,Acuses!$C$5:$C$3004,P$5),P$8)&lt;Resumen!$C$4+30,"Caduca pronto","OK"))))))</f>
        <v/>
      </c>
      <c r="Q87" s="26" t="str">
        <f aca="false">IF(OR($A87="",Q$4=""),"",IF(NOT(OR(Q$6="Toda la plantilla",ISNUMBER(SEARCH(";"&amp;SUBSTITUTE($C87," ","")&amp;";",";"&amp;SUBSTITUTE(Q$7," ","")&amp;";")))),"—",IF(_xlfn.MAXIFS(Acuses!$C$5:$C$3004,Acuses!$A$5:$A$3004,$A87,Acuses!$B$5:$B$3004,Q$4)&lt;Q$5,"Pendiente",IF(Q$8=0,"OK",IF(EDATE(_xlfn.MAXIFS(Acuses!$D$5:$D$3004,Acuses!$A$5:$A$3004,$A87,Acuses!$B$5:$B$3004,Q$4,Acuses!$C$5:$C$3004,Q$5),Q$8)&lt;Resumen!$C$4,"Caducado",IF(EDATE(_xlfn.MAXIFS(Acuses!$D$5:$D$3004,Acuses!$A$5:$A$3004,$A87,Acuses!$B$5:$B$3004,Q$4,Acuses!$C$5:$C$3004,Q$5),Q$8)&lt;Resumen!$C$4+30,"Caduca pronto","OK"))))))</f>
        <v/>
      </c>
      <c r="R87" s="26" t="str">
        <f aca="false">IF(OR($A87="",R$4=""),"",IF(NOT(OR(R$6="Toda la plantilla",ISNUMBER(SEARCH(";"&amp;SUBSTITUTE($C87," ","")&amp;";",";"&amp;SUBSTITUTE(R$7," ","")&amp;";")))),"—",IF(_xlfn.MAXIFS(Acuses!$C$5:$C$3004,Acuses!$A$5:$A$3004,$A87,Acuses!$B$5:$B$3004,R$4)&lt;R$5,"Pendiente",IF(R$8=0,"OK",IF(EDATE(_xlfn.MAXIFS(Acuses!$D$5:$D$3004,Acuses!$A$5:$A$3004,$A87,Acuses!$B$5:$B$3004,R$4,Acuses!$C$5:$C$3004,R$5),R$8)&lt;Resumen!$C$4,"Caducado",IF(EDATE(_xlfn.MAXIFS(Acuses!$D$5:$D$3004,Acuses!$A$5:$A$3004,$A87,Acuses!$B$5:$B$3004,R$4,Acuses!$C$5:$C$3004,R$5),R$8)&lt;Resumen!$C$4+30,"Caduca pronto","OK"))))))</f>
        <v/>
      </c>
      <c r="S87" s="26" t="str">
        <f aca="false">IF(OR($A87="",S$4=""),"",IF(NOT(OR(S$6="Toda la plantilla",ISNUMBER(SEARCH(";"&amp;SUBSTITUTE($C87," ","")&amp;";",";"&amp;SUBSTITUTE(S$7," ","")&amp;";")))),"—",IF(_xlfn.MAXIFS(Acuses!$C$5:$C$3004,Acuses!$A$5:$A$3004,$A87,Acuses!$B$5:$B$3004,S$4)&lt;S$5,"Pendiente",IF(S$8=0,"OK",IF(EDATE(_xlfn.MAXIFS(Acuses!$D$5:$D$3004,Acuses!$A$5:$A$3004,$A87,Acuses!$B$5:$B$3004,S$4,Acuses!$C$5:$C$3004,S$5),S$8)&lt;Resumen!$C$4,"Caducado",IF(EDATE(_xlfn.MAXIFS(Acuses!$D$5:$D$3004,Acuses!$A$5:$A$3004,$A87,Acuses!$B$5:$B$3004,S$4,Acuses!$C$5:$C$3004,S$5),S$8)&lt;Resumen!$C$4+30,"Caduca pronto","OK"))))))</f>
        <v/>
      </c>
      <c r="T87" s="26" t="str">
        <f aca="false">IF(OR($A87="",T$4=""),"",IF(NOT(OR(T$6="Toda la plantilla",ISNUMBER(SEARCH(";"&amp;SUBSTITUTE($C87," ","")&amp;";",";"&amp;SUBSTITUTE(T$7," ","")&amp;";")))),"—",IF(_xlfn.MAXIFS(Acuses!$C$5:$C$3004,Acuses!$A$5:$A$3004,$A87,Acuses!$B$5:$B$3004,T$4)&lt;T$5,"Pendiente",IF(T$8=0,"OK",IF(EDATE(_xlfn.MAXIFS(Acuses!$D$5:$D$3004,Acuses!$A$5:$A$3004,$A87,Acuses!$B$5:$B$3004,T$4,Acuses!$C$5:$C$3004,T$5),T$8)&lt;Resumen!$C$4,"Caducado",IF(EDATE(_xlfn.MAXIFS(Acuses!$D$5:$D$3004,Acuses!$A$5:$A$3004,$A87,Acuses!$B$5:$B$3004,T$4,Acuses!$C$5:$C$3004,T$5),T$8)&lt;Resumen!$C$4+30,"Caduca pronto","OK"))))))</f>
        <v/>
      </c>
      <c r="U87" s="26" t="str">
        <f aca="false">IF(OR($A87="",U$4=""),"",IF(NOT(OR(U$6="Toda la plantilla",ISNUMBER(SEARCH(";"&amp;SUBSTITUTE($C87," ","")&amp;";",";"&amp;SUBSTITUTE(U$7," ","")&amp;";")))),"—",IF(_xlfn.MAXIFS(Acuses!$C$5:$C$3004,Acuses!$A$5:$A$3004,$A87,Acuses!$B$5:$B$3004,U$4)&lt;U$5,"Pendiente",IF(U$8=0,"OK",IF(EDATE(_xlfn.MAXIFS(Acuses!$D$5:$D$3004,Acuses!$A$5:$A$3004,$A87,Acuses!$B$5:$B$3004,U$4,Acuses!$C$5:$C$3004,U$5),U$8)&lt;Resumen!$C$4,"Caducado",IF(EDATE(_xlfn.MAXIFS(Acuses!$D$5:$D$3004,Acuses!$A$5:$A$3004,$A87,Acuses!$B$5:$B$3004,U$4,Acuses!$C$5:$C$3004,U$5),U$8)&lt;Resumen!$C$4+30,"Caduca pronto","OK"))))))</f>
        <v/>
      </c>
      <c r="V87" s="26" t="str">
        <f aca="false">IF(OR($A87="",V$4=""),"",IF(NOT(OR(V$6="Toda la plantilla",ISNUMBER(SEARCH(";"&amp;SUBSTITUTE($C87," ","")&amp;";",";"&amp;SUBSTITUTE(V$7," ","")&amp;";")))),"—",IF(_xlfn.MAXIFS(Acuses!$C$5:$C$3004,Acuses!$A$5:$A$3004,$A87,Acuses!$B$5:$B$3004,V$4)&lt;V$5,"Pendiente",IF(V$8=0,"OK",IF(EDATE(_xlfn.MAXIFS(Acuses!$D$5:$D$3004,Acuses!$A$5:$A$3004,$A87,Acuses!$B$5:$B$3004,V$4,Acuses!$C$5:$C$3004,V$5),V$8)&lt;Resumen!$C$4,"Caducado",IF(EDATE(_xlfn.MAXIFS(Acuses!$D$5:$D$3004,Acuses!$A$5:$A$3004,$A87,Acuses!$B$5:$B$3004,V$4,Acuses!$C$5:$C$3004,V$5),V$8)&lt;Resumen!$C$4+30,"Caduca pronto","OK"))))))</f>
        <v/>
      </c>
      <c r="W87" s="26" t="str">
        <f aca="false">IF(OR($A87="",W$4=""),"",IF(NOT(OR(W$6="Toda la plantilla",ISNUMBER(SEARCH(";"&amp;SUBSTITUTE($C87," ","")&amp;";",";"&amp;SUBSTITUTE(W$7," ","")&amp;";")))),"—",IF(_xlfn.MAXIFS(Acuses!$C$5:$C$3004,Acuses!$A$5:$A$3004,$A87,Acuses!$B$5:$B$3004,W$4)&lt;W$5,"Pendiente",IF(W$8=0,"OK",IF(EDATE(_xlfn.MAXIFS(Acuses!$D$5:$D$3004,Acuses!$A$5:$A$3004,$A87,Acuses!$B$5:$B$3004,W$4,Acuses!$C$5:$C$3004,W$5),W$8)&lt;Resumen!$C$4,"Caducado",IF(EDATE(_xlfn.MAXIFS(Acuses!$D$5:$D$3004,Acuses!$A$5:$A$3004,$A87,Acuses!$B$5:$B$3004,W$4,Acuses!$C$5:$C$3004,W$5),W$8)&lt;Resumen!$C$4+30,"Caduca pronto","OK"))))))</f>
        <v/>
      </c>
      <c r="X87" s="26" t="str">
        <f aca="false">IF(OR($A87="",X$4=""),"",IF(NOT(OR(X$6="Toda la plantilla",ISNUMBER(SEARCH(";"&amp;SUBSTITUTE($C87," ","")&amp;";",";"&amp;SUBSTITUTE(X$7," ","")&amp;";")))),"—",IF(_xlfn.MAXIFS(Acuses!$C$5:$C$3004,Acuses!$A$5:$A$3004,$A87,Acuses!$B$5:$B$3004,X$4)&lt;X$5,"Pendiente",IF(X$8=0,"OK",IF(EDATE(_xlfn.MAXIFS(Acuses!$D$5:$D$3004,Acuses!$A$5:$A$3004,$A87,Acuses!$B$5:$B$3004,X$4,Acuses!$C$5:$C$3004,X$5),X$8)&lt;Resumen!$C$4,"Caducado",IF(EDATE(_xlfn.MAXIFS(Acuses!$D$5:$D$3004,Acuses!$A$5:$A$3004,$A87,Acuses!$B$5:$B$3004,X$4,Acuses!$C$5:$C$3004,X$5),X$8)&lt;Resumen!$C$4+30,"Caduca pronto","OK"))))))</f>
        <v/>
      </c>
      <c r="Y87" s="26" t="str">
        <f aca="false">IF(OR($A87="",Y$4=""),"",IF(NOT(OR(Y$6="Toda la plantilla",ISNUMBER(SEARCH(";"&amp;SUBSTITUTE($C87," ","")&amp;";",";"&amp;SUBSTITUTE(Y$7," ","")&amp;";")))),"—",IF(_xlfn.MAXIFS(Acuses!$C$5:$C$3004,Acuses!$A$5:$A$3004,$A87,Acuses!$B$5:$B$3004,Y$4)&lt;Y$5,"Pendiente",IF(Y$8=0,"OK",IF(EDATE(_xlfn.MAXIFS(Acuses!$D$5:$D$3004,Acuses!$A$5:$A$3004,$A87,Acuses!$B$5:$B$3004,Y$4,Acuses!$C$5:$C$3004,Y$5),Y$8)&lt;Resumen!$C$4,"Caducado",IF(EDATE(_xlfn.MAXIFS(Acuses!$D$5:$D$3004,Acuses!$A$5:$A$3004,$A87,Acuses!$B$5:$B$3004,Y$4,Acuses!$C$5:$C$3004,Y$5),Y$8)&lt;Resumen!$C$4+30,"Caduca pronto","OK"))))))</f>
        <v/>
      </c>
      <c r="Z87" s="26" t="str">
        <f aca="false">IF(OR($A87="",Z$4=""),"",IF(NOT(OR(Z$6="Toda la plantilla",ISNUMBER(SEARCH(";"&amp;SUBSTITUTE($C87," ","")&amp;";",";"&amp;SUBSTITUTE(Z$7," ","")&amp;";")))),"—",IF(_xlfn.MAXIFS(Acuses!$C$5:$C$3004,Acuses!$A$5:$A$3004,$A87,Acuses!$B$5:$B$3004,Z$4)&lt;Z$5,"Pendiente",IF(Z$8=0,"OK",IF(EDATE(_xlfn.MAXIFS(Acuses!$D$5:$D$3004,Acuses!$A$5:$A$3004,$A87,Acuses!$B$5:$B$3004,Z$4,Acuses!$C$5:$C$3004,Z$5),Z$8)&lt;Resumen!$C$4,"Caducado",IF(EDATE(_xlfn.MAXIFS(Acuses!$D$5:$D$3004,Acuses!$A$5:$A$3004,$A87,Acuses!$B$5:$B$3004,Z$4,Acuses!$C$5:$C$3004,Z$5),Z$8)&lt;Resumen!$C$4+30,"Caduca pronto","OK"))))))</f>
        <v/>
      </c>
      <c r="AA87" s="26" t="str">
        <f aca="false">IF(OR($A87="",AA$4=""),"",IF(NOT(OR(AA$6="Toda la plantilla",ISNUMBER(SEARCH(";"&amp;SUBSTITUTE($C87," ","")&amp;";",";"&amp;SUBSTITUTE(AA$7," ","")&amp;";")))),"—",IF(_xlfn.MAXIFS(Acuses!$C$5:$C$3004,Acuses!$A$5:$A$3004,$A87,Acuses!$B$5:$B$3004,AA$4)&lt;AA$5,"Pendiente",IF(AA$8=0,"OK",IF(EDATE(_xlfn.MAXIFS(Acuses!$D$5:$D$3004,Acuses!$A$5:$A$3004,$A87,Acuses!$B$5:$B$3004,AA$4,Acuses!$C$5:$C$3004,AA$5),AA$8)&lt;Resumen!$C$4,"Caducado",IF(EDATE(_xlfn.MAXIFS(Acuses!$D$5:$D$3004,Acuses!$A$5:$A$3004,$A87,Acuses!$B$5:$B$3004,AA$4,Acuses!$C$5:$C$3004,AA$5),AA$8)&lt;Resumen!$C$4+30,"Caduca pronto","OK"))))))</f>
        <v/>
      </c>
      <c r="AB87" s="26" t="str">
        <f aca="false">IF(OR($A87="",AB$4=""),"",IF(NOT(OR(AB$6="Toda la plantilla",ISNUMBER(SEARCH(";"&amp;SUBSTITUTE($C87," ","")&amp;";",";"&amp;SUBSTITUTE(AB$7," ","")&amp;";")))),"—",IF(_xlfn.MAXIFS(Acuses!$C$5:$C$3004,Acuses!$A$5:$A$3004,$A87,Acuses!$B$5:$B$3004,AB$4)&lt;AB$5,"Pendiente",IF(AB$8=0,"OK",IF(EDATE(_xlfn.MAXIFS(Acuses!$D$5:$D$3004,Acuses!$A$5:$A$3004,$A87,Acuses!$B$5:$B$3004,AB$4,Acuses!$C$5:$C$3004,AB$5),AB$8)&lt;Resumen!$C$4,"Caducado",IF(EDATE(_xlfn.MAXIFS(Acuses!$D$5:$D$3004,Acuses!$A$5:$A$3004,$A87,Acuses!$B$5:$B$3004,AB$4,Acuses!$C$5:$C$3004,AB$5),AB$8)&lt;Resumen!$C$4+30,"Caduca pronto","OK"))))))</f>
        <v/>
      </c>
      <c r="AC87" s="26" t="str">
        <f aca="false">IF(OR($A87="",AC$4=""),"",IF(NOT(OR(AC$6="Toda la plantilla",ISNUMBER(SEARCH(";"&amp;SUBSTITUTE($C87," ","")&amp;";",";"&amp;SUBSTITUTE(AC$7," ","")&amp;";")))),"—",IF(_xlfn.MAXIFS(Acuses!$C$5:$C$3004,Acuses!$A$5:$A$3004,$A87,Acuses!$B$5:$B$3004,AC$4)&lt;AC$5,"Pendiente",IF(AC$8=0,"OK",IF(EDATE(_xlfn.MAXIFS(Acuses!$D$5:$D$3004,Acuses!$A$5:$A$3004,$A87,Acuses!$B$5:$B$3004,AC$4,Acuses!$C$5:$C$3004,AC$5),AC$8)&lt;Resumen!$C$4,"Caducado",IF(EDATE(_xlfn.MAXIFS(Acuses!$D$5:$D$3004,Acuses!$A$5:$A$3004,$A87,Acuses!$B$5:$B$3004,AC$4,Acuses!$C$5:$C$3004,AC$5),AC$8)&lt;Resumen!$C$4+30,"Caduca pronto","OK"))))))</f>
        <v/>
      </c>
      <c r="AD87" s="26" t="str">
        <f aca="false">IF(OR($A87="",AD$4=""),"",IF(NOT(OR(AD$6="Toda la plantilla",ISNUMBER(SEARCH(";"&amp;SUBSTITUTE($C87," ","")&amp;";",";"&amp;SUBSTITUTE(AD$7," ","")&amp;";")))),"—",IF(_xlfn.MAXIFS(Acuses!$C$5:$C$3004,Acuses!$A$5:$A$3004,$A87,Acuses!$B$5:$B$3004,AD$4)&lt;AD$5,"Pendiente",IF(AD$8=0,"OK",IF(EDATE(_xlfn.MAXIFS(Acuses!$D$5:$D$3004,Acuses!$A$5:$A$3004,$A87,Acuses!$B$5:$B$3004,AD$4,Acuses!$C$5:$C$3004,AD$5),AD$8)&lt;Resumen!$C$4,"Caducado",IF(EDATE(_xlfn.MAXIFS(Acuses!$D$5:$D$3004,Acuses!$A$5:$A$3004,$A87,Acuses!$B$5:$B$3004,AD$4,Acuses!$C$5:$C$3004,AD$5),AD$8)&lt;Resumen!$C$4+30,"Caduca pronto","OK"))))))</f>
        <v/>
      </c>
      <c r="AE87" s="26" t="str">
        <f aca="false">IF(OR($A87="",AE$4=""),"",IF(NOT(OR(AE$6="Toda la plantilla",ISNUMBER(SEARCH(";"&amp;SUBSTITUTE($C87," ","")&amp;";",";"&amp;SUBSTITUTE(AE$7," ","")&amp;";")))),"—",IF(_xlfn.MAXIFS(Acuses!$C$5:$C$3004,Acuses!$A$5:$A$3004,$A87,Acuses!$B$5:$B$3004,AE$4)&lt;AE$5,"Pendiente",IF(AE$8=0,"OK",IF(EDATE(_xlfn.MAXIFS(Acuses!$D$5:$D$3004,Acuses!$A$5:$A$3004,$A87,Acuses!$B$5:$B$3004,AE$4,Acuses!$C$5:$C$3004,AE$5),AE$8)&lt;Resumen!$C$4,"Caducado",IF(EDATE(_xlfn.MAXIFS(Acuses!$D$5:$D$3004,Acuses!$A$5:$A$3004,$A87,Acuses!$B$5:$B$3004,AE$4,Acuses!$C$5:$C$3004,AE$5),AE$8)&lt;Resumen!$C$4+30,"Caduca pronto","OK"))))))</f>
        <v/>
      </c>
      <c r="AF87" s="26" t="str">
        <f aca="false">IF(OR($A87="",AF$4=""),"",IF(NOT(OR(AF$6="Toda la plantilla",ISNUMBER(SEARCH(";"&amp;SUBSTITUTE($C87," ","")&amp;";",";"&amp;SUBSTITUTE(AF$7," ","")&amp;";")))),"—",IF(_xlfn.MAXIFS(Acuses!$C$5:$C$3004,Acuses!$A$5:$A$3004,$A87,Acuses!$B$5:$B$3004,AF$4)&lt;AF$5,"Pendiente",IF(AF$8=0,"OK",IF(EDATE(_xlfn.MAXIFS(Acuses!$D$5:$D$3004,Acuses!$A$5:$A$3004,$A87,Acuses!$B$5:$B$3004,AF$4,Acuses!$C$5:$C$3004,AF$5),AF$8)&lt;Resumen!$C$4,"Caducado",IF(EDATE(_xlfn.MAXIFS(Acuses!$D$5:$D$3004,Acuses!$A$5:$A$3004,$A87,Acuses!$B$5:$B$3004,AF$4,Acuses!$C$5:$C$3004,AF$5),AF$8)&lt;Resumen!$C$4+30,"Caduca pronto","OK"))))))</f>
        <v/>
      </c>
      <c r="AG87" s="26" t="str">
        <f aca="false">IF(OR($A87="",AG$4=""),"",IF(NOT(OR(AG$6="Toda la plantilla",ISNUMBER(SEARCH(";"&amp;SUBSTITUTE($C87," ","")&amp;";",";"&amp;SUBSTITUTE(AG$7," ","")&amp;";")))),"—",IF(_xlfn.MAXIFS(Acuses!$C$5:$C$3004,Acuses!$A$5:$A$3004,$A87,Acuses!$B$5:$B$3004,AG$4)&lt;AG$5,"Pendiente",IF(AG$8=0,"OK",IF(EDATE(_xlfn.MAXIFS(Acuses!$D$5:$D$3004,Acuses!$A$5:$A$3004,$A87,Acuses!$B$5:$B$3004,AG$4,Acuses!$C$5:$C$3004,AG$5),AG$8)&lt;Resumen!$C$4,"Caducado",IF(EDATE(_xlfn.MAXIFS(Acuses!$D$5:$D$3004,Acuses!$A$5:$A$3004,$A87,Acuses!$B$5:$B$3004,AG$4,Acuses!$C$5:$C$3004,AG$5),AG$8)&lt;Resumen!$C$4+30,"Caduca pronto","OK"))))))</f>
        <v/>
      </c>
      <c r="AH87" s="26" t="str">
        <f aca="false">IF(OR($A87="",AH$4=""),"",IF(NOT(OR(AH$6="Toda la plantilla",ISNUMBER(SEARCH(";"&amp;SUBSTITUTE($C87," ","")&amp;";",";"&amp;SUBSTITUTE(AH$7," ","")&amp;";")))),"—",IF(_xlfn.MAXIFS(Acuses!$C$5:$C$3004,Acuses!$A$5:$A$3004,$A87,Acuses!$B$5:$B$3004,AH$4)&lt;AH$5,"Pendiente",IF(AH$8=0,"OK",IF(EDATE(_xlfn.MAXIFS(Acuses!$D$5:$D$3004,Acuses!$A$5:$A$3004,$A87,Acuses!$B$5:$B$3004,AH$4,Acuses!$C$5:$C$3004,AH$5),AH$8)&lt;Resumen!$C$4,"Caducado",IF(EDATE(_xlfn.MAXIFS(Acuses!$D$5:$D$3004,Acuses!$A$5:$A$3004,$A87,Acuses!$B$5:$B$3004,AH$4,Acuses!$C$5:$C$3004,AH$5),AH$8)&lt;Resumen!$C$4+30,"Caduca pronto","OK"))))))</f>
        <v/>
      </c>
      <c r="AI87" s="26" t="str">
        <f aca="false">IF(OR($A87="",AI$4=""),"",IF(NOT(OR(AI$6="Toda la plantilla",ISNUMBER(SEARCH(";"&amp;SUBSTITUTE($C87," ","")&amp;";",";"&amp;SUBSTITUTE(AI$7," ","")&amp;";")))),"—",IF(_xlfn.MAXIFS(Acuses!$C$5:$C$3004,Acuses!$A$5:$A$3004,$A87,Acuses!$B$5:$B$3004,AI$4)&lt;AI$5,"Pendiente",IF(AI$8=0,"OK",IF(EDATE(_xlfn.MAXIFS(Acuses!$D$5:$D$3004,Acuses!$A$5:$A$3004,$A87,Acuses!$B$5:$B$3004,AI$4,Acuses!$C$5:$C$3004,AI$5),AI$8)&lt;Resumen!$C$4,"Caducado",IF(EDATE(_xlfn.MAXIFS(Acuses!$D$5:$D$3004,Acuses!$A$5:$A$3004,$A87,Acuses!$B$5:$B$3004,AI$4,Acuses!$C$5:$C$3004,AI$5),AI$8)&lt;Resumen!$C$4+30,"Caduca pronto","OK"))))))</f>
        <v/>
      </c>
      <c r="AJ87" s="26" t="str">
        <f aca="false">IF(OR($A87="",AJ$4=""),"",IF(NOT(OR(AJ$6="Toda la plantilla",ISNUMBER(SEARCH(";"&amp;SUBSTITUTE($C87," ","")&amp;";",";"&amp;SUBSTITUTE(AJ$7," ","")&amp;";")))),"—",IF(_xlfn.MAXIFS(Acuses!$C$5:$C$3004,Acuses!$A$5:$A$3004,$A87,Acuses!$B$5:$B$3004,AJ$4)&lt;AJ$5,"Pendiente",IF(AJ$8=0,"OK",IF(EDATE(_xlfn.MAXIFS(Acuses!$D$5:$D$3004,Acuses!$A$5:$A$3004,$A87,Acuses!$B$5:$B$3004,AJ$4,Acuses!$C$5:$C$3004,AJ$5),AJ$8)&lt;Resumen!$C$4,"Caducado",IF(EDATE(_xlfn.MAXIFS(Acuses!$D$5:$D$3004,Acuses!$A$5:$A$3004,$A87,Acuses!$B$5:$B$3004,AJ$4,Acuses!$C$5:$C$3004,AJ$5),AJ$8)&lt;Resumen!$C$4+30,"Caduca pronto","OK"))))))</f>
        <v/>
      </c>
      <c r="AK87" s="26" t="str">
        <f aca="false">IF(OR($A87="",AK$4=""),"",IF(NOT(OR(AK$6="Toda la plantilla",ISNUMBER(SEARCH(";"&amp;SUBSTITUTE($C87," ","")&amp;";",";"&amp;SUBSTITUTE(AK$7," ","")&amp;";")))),"—",IF(_xlfn.MAXIFS(Acuses!$C$5:$C$3004,Acuses!$A$5:$A$3004,$A87,Acuses!$B$5:$B$3004,AK$4)&lt;AK$5,"Pendiente",IF(AK$8=0,"OK",IF(EDATE(_xlfn.MAXIFS(Acuses!$D$5:$D$3004,Acuses!$A$5:$A$3004,$A87,Acuses!$B$5:$B$3004,AK$4,Acuses!$C$5:$C$3004,AK$5),AK$8)&lt;Resumen!$C$4,"Caducado",IF(EDATE(_xlfn.MAXIFS(Acuses!$D$5:$D$3004,Acuses!$A$5:$A$3004,$A87,Acuses!$B$5:$B$3004,AK$4,Acuses!$C$5:$C$3004,AK$5),AK$8)&lt;Resumen!$C$4+30,"Caduca pronto","OK"))))))</f>
        <v/>
      </c>
      <c r="AL87" s="26" t="str">
        <f aca="false">IF(OR($A87="",AL$4=""),"",IF(NOT(OR(AL$6="Toda la plantilla",ISNUMBER(SEARCH(";"&amp;SUBSTITUTE($C87," ","")&amp;";",";"&amp;SUBSTITUTE(AL$7," ","")&amp;";")))),"—",IF(_xlfn.MAXIFS(Acuses!$C$5:$C$3004,Acuses!$A$5:$A$3004,$A87,Acuses!$B$5:$B$3004,AL$4)&lt;AL$5,"Pendiente",IF(AL$8=0,"OK",IF(EDATE(_xlfn.MAXIFS(Acuses!$D$5:$D$3004,Acuses!$A$5:$A$3004,$A87,Acuses!$B$5:$B$3004,AL$4,Acuses!$C$5:$C$3004,AL$5),AL$8)&lt;Resumen!$C$4,"Caducado",IF(EDATE(_xlfn.MAXIFS(Acuses!$D$5:$D$3004,Acuses!$A$5:$A$3004,$A87,Acuses!$B$5:$B$3004,AL$4,Acuses!$C$5:$C$3004,AL$5),AL$8)&lt;Resumen!$C$4+30,"Caduca pronto","OK"))))))</f>
        <v/>
      </c>
      <c r="AM87" s="26" t="str">
        <f aca="false">IF(OR($A87="",AM$4=""),"",IF(NOT(OR(AM$6="Toda la plantilla",ISNUMBER(SEARCH(";"&amp;SUBSTITUTE($C87," ","")&amp;";",";"&amp;SUBSTITUTE(AM$7," ","")&amp;";")))),"—",IF(_xlfn.MAXIFS(Acuses!$C$5:$C$3004,Acuses!$A$5:$A$3004,$A87,Acuses!$B$5:$B$3004,AM$4)&lt;AM$5,"Pendiente",IF(AM$8=0,"OK",IF(EDATE(_xlfn.MAXIFS(Acuses!$D$5:$D$3004,Acuses!$A$5:$A$3004,$A87,Acuses!$B$5:$B$3004,AM$4,Acuses!$C$5:$C$3004,AM$5),AM$8)&lt;Resumen!$C$4,"Caducado",IF(EDATE(_xlfn.MAXIFS(Acuses!$D$5:$D$3004,Acuses!$A$5:$A$3004,$A87,Acuses!$B$5:$B$3004,AM$4,Acuses!$C$5:$C$3004,AM$5),AM$8)&lt;Resumen!$C$4+30,"Caduca pronto","OK"))))))</f>
        <v/>
      </c>
      <c r="AN87" s="26" t="str">
        <f aca="false">IF(OR($A87="",AN$4=""),"",IF(NOT(OR(AN$6="Toda la plantilla",ISNUMBER(SEARCH(";"&amp;SUBSTITUTE($C87," ","")&amp;";",";"&amp;SUBSTITUTE(AN$7," ","")&amp;";")))),"—",IF(_xlfn.MAXIFS(Acuses!$C$5:$C$3004,Acuses!$A$5:$A$3004,$A87,Acuses!$B$5:$B$3004,AN$4)&lt;AN$5,"Pendiente",IF(AN$8=0,"OK",IF(EDATE(_xlfn.MAXIFS(Acuses!$D$5:$D$3004,Acuses!$A$5:$A$3004,$A87,Acuses!$B$5:$B$3004,AN$4,Acuses!$C$5:$C$3004,AN$5),AN$8)&lt;Resumen!$C$4,"Caducado",IF(EDATE(_xlfn.MAXIFS(Acuses!$D$5:$D$3004,Acuses!$A$5:$A$3004,$A87,Acuses!$B$5:$B$3004,AN$4,Acuses!$C$5:$C$3004,AN$5),AN$8)&lt;Resumen!$C$4+30,"Caduca pronto","OK"))))))</f>
        <v/>
      </c>
      <c r="AO87" s="26" t="str">
        <f aca="false">IF(OR($A87="",AO$4=""),"",IF(NOT(OR(AO$6="Toda la plantilla",ISNUMBER(SEARCH(";"&amp;SUBSTITUTE($C87," ","")&amp;";",";"&amp;SUBSTITUTE(AO$7," ","")&amp;";")))),"—",IF(_xlfn.MAXIFS(Acuses!$C$5:$C$3004,Acuses!$A$5:$A$3004,$A87,Acuses!$B$5:$B$3004,AO$4)&lt;AO$5,"Pendiente",IF(AO$8=0,"OK",IF(EDATE(_xlfn.MAXIFS(Acuses!$D$5:$D$3004,Acuses!$A$5:$A$3004,$A87,Acuses!$B$5:$B$3004,AO$4,Acuses!$C$5:$C$3004,AO$5),AO$8)&lt;Resumen!$C$4,"Caducado",IF(EDATE(_xlfn.MAXIFS(Acuses!$D$5:$D$3004,Acuses!$A$5:$A$3004,$A87,Acuses!$B$5:$B$3004,AO$4,Acuses!$C$5:$C$3004,AO$5),AO$8)&lt;Resumen!$C$4+30,"Caduca pronto","OK"))))))</f>
        <v/>
      </c>
      <c r="AP87" s="26" t="str">
        <f aca="false">IF(OR($A87="",AP$4=""),"",IF(NOT(OR(AP$6="Toda la plantilla",ISNUMBER(SEARCH(";"&amp;SUBSTITUTE($C87," ","")&amp;";",";"&amp;SUBSTITUTE(AP$7," ","")&amp;";")))),"—",IF(_xlfn.MAXIFS(Acuses!$C$5:$C$3004,Acuses!$A$5:$A$3004,$A87,Acuses!$B$5:$B$3004,AP$4)&lt;AP$5,"Pendiente",IF(AP$8=0,"OK",IF(EDATE(_xlfn.MAXIFS(Acuses!$D$5:$D$3004,Acuses!$A$5:$A$3004,$A87,Acuses!$B$5:$B$3004,AP$4,Acuses!$C$5:$C$3004,AP$5),AP$8)&lt;Resumen!$C$4,"Caducado",IF(EDATE(_xlfn.MAXIFS(Acuses!$D$5:$D$3004,Acuses!$A$5:$A$3004,$A87,Acuses!$B$5:$B$3004,AP$4,Acuses!$C$5:$C$3004,AP$5),AP$8)&lt;Resumen!$C$4+30,"Caduca pronto","OK"))))))</f>
        <v/>
      </c>
      <c r="AQ87" s="26" t="str">
        <f aca="false">IF(OR($A87="",AQ$4=""),"",IF(NOT(OR(AQ$6="Toda la plantilla",ISNUMBER(SEARCH(";"&amp;SUBSTITUTE($C87," ","")&amp;";",";"&amp;SUBSTITUTE(AQ$7," ","")&amp;";")))),"—",IF(_xlfn.MAXIFS(Acuses!$C$5:$C$3004,Acuses!$A$5:$A$3004,$A87,Acuses!$B$5:$B$3004,AQ$4)&lt;AQ$5,"Pendiente",IF(AQ$8=0,"OK",IF(EDATE(_xlfn.MAXIFS(Acuses!$D$5:$D$3004,Acuses!$A$5:$A$3004,$A87,Acuses!$B$5:$B$3004,AQ$4,Acuses!$C$5:$C$3004,AQ$5),AQ$8)&lt;Resumen!$C$4,"Caducado",IF(EDATE(_xlfn.MAXIFS(Acuses!$D$5:$D$3004,Acuses!$A$5:$A$3004,$A87,Acuses!$B$5:$B$3004,AQ$4,Acuses!$C$5:$C$3004,AQ$5),AQ$8)&lt;Resumen!$C$4+30,"Caduca pronto","OK"))))))</f>
        <v/>
      </c>
    </row>
    <row r="88" customFormat="false" ht="15" hidden="false" customHeight="false" outlineLevel="0" collapsed="false">
      <c r="A88" s="25" t="str">
        <f aca="false">IF(AND(Trabajadores!$A$83&lt;&gt;"",Trabajadores!$G$83&lt;&gt;"No"),Trabajadores!$A$83,"")</f>
        <v/>
      </c>
      <c r="B88" s="25" t="str">
        <f aca="false">IF($A88="","",Trabajadores!$B$83)</f>
        <v/>
      </c>
      <c r="C88" s="25" t="str">
        <f aca="false">IF($A88="","",Trabajadores!$C$83)</f>
        <v/>
      </c>
      <c r="D88" s="26" t="str">
        <f aca="false">IF(OR($A88="",D$4=""),"",IF(NOT(OR(D$6="Toda la plantilla",ISNUMBER(SEARCH(";"&amp;SUBSTITUTE($C88," ","")&amp;";",";"&amp;SUBSTITUTE(D$7," ","")&amp;";")))),"—",IF(_xlfn.MAXIFS(Acuses!$C$5:$C$3004,Acuses!$A$5:$A$3004,$A88,Acuses!$B$5:$B$3004,D$4)&lt;D$5,"Pendiente",IF(D$8=0,"OK",IF(EDATE(_xlfn.MAXIFS(Acuses!$D$5:$D$3004,Acuses!$A$5:$A$3004,$A88,Acuses!$B$5:$B$3004,D$4,Acuses!$C$5:$C$3004,D$5),D$8)&lt;Resumen!$C$4,"Caducado",IF(EDATE(_xlfn.MAXIFS(Acuses!$D$5:$D$3004,Acuses!$A$5:$A$3004,$A88,Acuses!$B$5:$B$3004,D$4,Acuses!$C$5:$C$3004,D$5),D$8)&lt;Resumen!$C$4+30,"Caduca pronto","OK"))))))</f>
        <v/>
      </c>
      <c r="E88" s="26" t="str">
        <f aca="false">IF(OR($A88="",E$4=""),"",IF(NOT(OR(E$6="Toda la plantilla",ISNUMBER(SEARCH(";"&amp;SUBSTITUTE($C88," ","")&amp;";",";"&amp;SUBSTITUTE(E$7," ","")&amp;";")))),"—",IF(_xlfn.MAXIFS(Acuses!$C$5:$C$3004,Acuses!$A$5:$A$3004,$A88,Acuses!$B$5:$B$3004,E$4)&lt;E$5,"Pendiente",IF(E$8=0,"OK",IF(EDATE(_xlfn.MAXIFS(Acuses!$D$5:$D$3004,Acuses!$A$5:$A$3004,$A88,Acuses!$B$5:$B$3004,E$4,Acuses!$C$5:$C$3004,E$5),E$8)&lt;Resumen!$C$4,"Caducado",IF(EDATE(_xlfn.MAXIFS(Acuses!$D$5:$D$3004,Acuses!$A$5:$A$3004,$A88,Acuses!$B$5:$B$3004,E$4,Acuses!$C$5:$C$3004,E$5),E$8)&lt;Resumen!$C$4+30,"Caduca pronto","OK"))))))</f>
        <v/>
      </c>
      <c r="F88" s="26" t="str">
        <f aca="false">IF(OR($A88="",F$4=""),"",IF(NOT(OR(F$6="Toda la plantilla",ISNUMBER(SEARCH(";"&amp;SUBSTITUTE($C88," ","")&amp;";",";"&amp;SUBSTITUTE(F$7," ","")&amp;";")))),"—",IF(_xlfn.MAXIFS(Acuses!$C$5:$C$3004,Acuses!$A$5:$A$3004,$A88,Acuses!$B$5:$B$3004,F$4)&lt;F$5,"Pendiente",IF(F$8=0,"OK",IF(EDATE(_xlfn.MAXIFS(Acuses!$D$5:$D$3004,Acuses!$A$5:$A$3004,$A88,Acuses!$B$5:$B$3004,F$4,Acuses!$C$5:$C$3004,F$5),F$8)&lt;Resumen!$C$4,"Caducado",IF(EDATE(_xlfn.MAXIFS(Acuses!$D$5:$D$3004,Acuses!$A$5:$A$3004,$A88,Acuses!$B$5:$B$3004,F$4,Acuses!$C$5:$C$3004,F$5),F$8)&lt;Resumen!$C$4+30,"Caduca pronto","OK"))))))</f>
        <v/>
      </c>
      <c r="G88" s="26" t="str">
        <f aca="false">IF(OR($A88="",G$4=""),"",IF(NOT(OR(G$6="Toda la plantilla",ISNUMBER(SEARCH(";"&amp;SUBSTITUTE($C88," ","")&amp;";",";"&amp;SUBSTITUTE(G$7," ","")&amp;";")))),"—",IF(_xlfn.MAXIFS(Acuses!$C$5:$C$3004,Acuses!$A$5:$A$3004,$A88,Acuses!$B$5:$B$3004,G$4)&lt;G$5,"Pendiente",IF(G$8=0,"OK",IF(EDATE(_xlfn.MAXIFS(Acuses!$D$5:$D$3004,Acuses!$A$5:$A$3004,$A88,Acuses!$B$5:$B$3004,G$4,Acuses!$C$5:$C$3004,G$5),G$8)&lt;Resumen!$C$4,"Caducado",IF(EDATE(_xlfn.MAXIFS(Acuses!$D$5:$D$3004,Acuses!$A$5:$A$3004,$A88,Acuses!$B$5:$B$3004,G$4,Acuses!$C$5:$C$3004,G$5),G$8)&lt;Resumen!$C$4+30,"Caduca pronto","OK"))))))</f>
        <v/>
      </c>
      <c r="H88" s="26" t="str">
        <f aca="false">IF(OR($A88="",H$4=""),"",IF(NOT(OR(H$6="Toda la plantilla",ISNUMBER(SEARCH(";"&amp;SUBSTITUTE($C88," ","")&amp;";",";"&amp;SUBSTITUTE(H$7," ","")&amp;";")))),"—",IF(_xlfn.MAXIFS(Acuses!$C$5:$C$3004,Acuses!$A$5:$A$3004,$A88,Acuses!$B$5:$B$3004,H$4)&lt;H$5,"Pendiente",IF(H$8=0,"OK",IF(EDATE(_xlfn.MAXIFS(Acuses!$D$5:$D$3004,Acuses!$A$5:$A$3004,$A88,Acuses!$B$5:$B$3004,H$4,Acuses!$C$5:$C$3004,H$5),H$8)&lt;Resumen!$C$4,"Caducado",IF(EDATE(_xlfn.MAXIFS(Acuses!$D$5:$D$3004,Acuses!$A$5:$A$3004,$A88,Acuses!$B$5:$B$3004,H$4,Acuses!$C$5:$C$3004,H$5),H$8)&lt;Resumen!$C$4+30,"Caduca pronto","OK"))))))</f>
        <v/>
      </c>
      <c r="I88" s="26" t="str">
        <f aca="false">IF(OR($A88="",I$4=""),"",IF(NOT(OR(I$6="Toda la plantilla",ISNUMBER(SEARCH(";"&amp;SUBSTITUTE($C88," ","")&amp;";",";"&amp;SUBSTITUTE(I$7," ","")&amp;";")))),"—",IF(_xlfn.MAXIFS(Acuses!$C$5:$C$3004,Acuses!$A$5:$A$3004,$A88,Acuses!$B$5:$B$3004,I$4)&lt;I$5,"Pendiente",IF(I$8=0,"OK",IF(EDATE(_xlfn.MAXIFS(Acuses!$D$5:$D$3004,Acuses!$A$5:$A$3004,$A88,Acuses!$B$5:$B$3004,I$4,Acuses!$C$5:$C$3004,I$5),I$8)&lt;Resumen!$C$4,"Caducado",IF(EDATE(_xlfn.MAXIFS(Acuses!$D$5:$D$3004,Acuses!$A$5:$A$3004,$A88,Acuses!$B$5:$B$3004,I$4,Acuses!$C$5:$C$3004,I$5),I$8)&lt;Resumen!$C$4+30,"Caduca pronto","OK"))))))</f>
        <v/>
      </c>
      <c r="J88" s="26" t="str">
        <f aca="false">IF(OR($A88="",J$4=""),"",IF(NOT(OR(J$6="Toda la plantilla",ISNUMBER(SEARCH(";"&amp;SUBSTITUTE($C88," ","")&amp;";",";"&amp;SUBSTITUTE(J$7," ","")&amp;";")))),"—",IF(_xlfn.MAXIFS(Acuses!$C$5:$C$3004,Acuses!$A$5:$A$3004,$A88,Acuses!$B$5:$B$3004,J$4)&lt;J$5,"Pendiente",IF(J$8=0,"OK",IF(EDATE(_xlfn.MAXIFS(Acuses!$D$5:$D$3004,Acuses!$A$5:$A$3004,$A88,Acuses!$B$5:$B$3004,J$4,Acuses!$C$5:$C$3004,J$5),J$8)&lt;Resumen!$C$4,"Caducado",IF(EDATE(_xlfn.MAXIFS(Acuses!$D$5:$D$3004,Acuses!$A$5:$A$3004,$A88,Acuses!$B$5:$B$3004,J$4,Acuses!$C$5:$C$3004,J$5),J$8)&lt;Resumen!$C$4+30,"Caduca pronto","OK"))))))</f>
        <v/>
      </c>
      <c r="K88" s="26" t="str">
        <f aca="false">IF(OR($A88="",K$4=""),"",IF(NOT(OR(K$6="Toda la plantilla",ISNUMBER(SEARCH(";"&amp;SUBSTITUTE($C88," ","")&amp;";",";"&amp;SUBSTITUTE(K$7," ","")&amp;";")))),"—",IF(_xlfn.MAXIFS(Acuses!$C$5:$C$3004,Acuses!$A$5:$A$3004,$A88,Acuses!$B$5:$B$3004,K$4)&lt;K$5,"Pendiente",IF(K$8=0,"OK",IF(EDATE(_xlfn.MAXIFS(Acuses!$D$5:$D$3004,Acuses!$A$5:$A$3004,$A88,Acuses!$B$5:$B$3004,K$4,Acuses!$C$5:$C$3004,K$5),K$8)&lt;Resumen!$C$4,"Caducado",IF(EDATE(_xlfn.MAXIFS(Acuses!$D$5:$D$3004,Acuses!$A$5:$A$3004,$A88,Acuses!$B$5:$B$3004,K$4,Acuses!$C$5:$C$3004,K$5),K$8)&lt;Resumen!$C$4+30,"Caduca pronto","OK"))))))</f>
        <v/>
      </c>
      <c r="L88" s="26" t="str">
        <f aca="false">IF(OR($A88="",L$4=""),"",IF(NOT(OR(L$6="Toda la plantilla",ISNUMBER(SEARCH(";"&amp;SUBSTITUTE($C88," ","")&amp;";",";"&amp;SUBSTITUTE(L$7," ","")&amp;";")))),"—",IF(_xlfn.MAXIFS(Acuses!$C$5:$C$3004,Acuses!$A$5:$A$3004,$A88,Acuses!$B$5:$B$3004,L$4)&lt;L$5,"Pendiente",IF(L$8=0,"OK",IF(EDATE(_xlfn.MAXIFS(Acuses!$D$5:$D$3004,Acuses!$A$5:$A$3004,$A88,Acuses!$B$5:$B$3004,L$4,Acuses!$C$5:$C$3004,L$5),L$8)&lt;Resumen!$C$4,"Caducado",IF(EDATE(_xlfn.MAXIFS(Acuses!$D$5:$D$3004,Acuses!$A$5:$A$3004,$A88,Acuses!$B$5:$B$3004,L$4,Acuses!$C$5:$C$3004,L$5),L$8)&lt;Resumen!$C$4+30,"Caduca pronto","OK"))))))</f>
        <v/>
      </c>
      <c r="M88" s="26" t="str">
        <f aca="false">IF(OR($A88="",M$4=""),"",IF(NOT(OR(M$6="Toda la plantilla",ISNUMBER(SEARCH(";"&amp;SUBSTITUTE($C88," ","")&amp;";",";"&amp;SUBSTITUTE(M$7," ","")&amp;";")))),"—",IF(_xlfn.MAXIFS(Acuses!$C$5:$C$3004,Acuses!$A$5:$A$3004,$A88,Acuses!$B$5:$B$3004,M$4)&lt;M$5,"Pendiente",IF(M$8=0,"OK",IF(EDATE(_xlfn.MAXIFS(Acuses!$D$5:$D$3004,Acuses!$A$5:$A$3004,$A88,Acuses!$B$5:$B$3004,M$4,Acuses!$C$5:$C$3004,M$5),M$8)&lt;Resumen!$C$4,"Caducado",IF(EDATE(_xlfn.MAXIFS(Acuses!$D$5:$D$3004,Acuses!$A$5:$A$3004,$A88,Acuses!$B$5:$B$3004,M$4,Acuses!$C$5:$C$3004,M$5),M$8)&lt;Resumen!$C$4+30,"Caduca pronto","OK"))))))</f>
        <v/>
      </c>
      <c r="N88" s="26" t="str">
        <f aca="false">IF(OR($A88="",N$4=""),"",IF(NOT(OR(N$6="Toda la plantilla",ISNUMBER(SEARCH(";"&amp;SUBSTITUTE($C88," ","")&amp;";",";"&amp;SUBSTITUTE(N$7," ","")&amp;";")))),"—",IF(_xlfn.MAXIFS(Acuses!$C$5:$C$3004,Acuses!$A$5:$A$3004,$A88,Acuses!$B$5:$B$3004,N$4)&lt;N$5,"Pendiente",IF(N$8=0,"OK",IF(EDATE(_xlfn.MAXIFS(Acuses!$D$5:$D$3004,Acuses!$A$5:$A$3004,$A88,Acuses!$B$5:$B$3004,N$4,Acuses!$C$5:$C$3004,N$5),N$8)&lt;Resumen!$C$4,"Caducado",IF(EDATE(_xlfn.MAXIFS(Acuses!$D$5:$D$3004,Acuses!$A$5:$A$3004,$A88,Acuses!$B$5:$B$3004,N$4,Acuses!$C$5:$C$3004,N$5),N$8)&lt;Resumen!$C$4+30,"Caduca pronto","OK"))))))</f>
        <v/>
      </c>
      <c r="O88" s="26" t="str">
        <f aca="false">IF(OR($A88="",O$4=""),"",IF(NOT(OR(O$6="Toda la plantilla",ISNUMBER(SEARCH(";"&amp;SUBSTITUTE($C88," ","")&amp;";",";"&amp;SUBSTITUTE(O$7," ","")&amp;";")))),"—",IF(_xlfn.MAXIFS(Acuses!$C$5:$C$3004,Acuses!$A$5:$A$3004,$A88,Acuses!$B$5:$B$3004,O$4)&lt;O$5,"Pendiente",IF(O$8=0,"OK",IF(EDATE(_xlfn.MAXIFS(Acuses!$D$5:$D$3004,Acuses!$A$5:$A$3004,$A88,Acuses!$B$5:$B$3004,O$4,Acuses!$C$5:$C$3004,O$5),O$8)&lt;Resumen!$C$4,"Caducado",IF(EDATE(_xlfn.MAXIFS(Acuses!$D$5:$D$3004,Acuses!$A$5:$A$3004,$A88,Acuses!$B$5:$B$3004,O$4,Acuses!$C$5:$C$3004,O$5),O$8)&lt;Resumen!$C$4+30,"Caduca pronto","OK"))))))</f>
        <v/>
      </c>
      <c r="P88" s="26" t="str">
        <f aca="false">IF(OR($A88="",P$4=""),"",IF(NOT(OR(P$6="Toda la plantilla",ISNUMBER(SEARCH(";"&amp;SUBSTITUTE($C88," ","")&amp;";",";"&amp;SUBSTITUTE(P$7," ","")&amp;";")))),"—",IF(_xlfn.MAXIFS(Acuses!$C$5:$C$3004,Acuses!$A$5:$A$3004,$A88,Acuses!$B$5:$B$3004,P$4)&lt;P$5,"Pendiente",IF(P$8=0,"OK",IF(EDATE(_xlfn.MAXIFS(Acuses!$D$5:$D$3004,Acuses!$A$5:$A$3004,$A88,Acuses!$B$5:$B$3004,P$4,Acuses!$C$5:$C$3004,P$5),P$8)&lt;Resumen!$C$4,"Caducado",IF(EDATE(_xlfn.MAXIFS(Acuses!$D$5:$D$3004,Acuses!$A$5:$A$3004,$A88,Acuses!$B$5:$B$3004,P$4,Acuses!$C$5:$C$3004,P$5),P$8)&lt;Resumen!$C$4+30,"Caduca pronto","OK"))))))</f>
        <v/>
      </c>
      <c r="Q88" s="26" t="str">
        <f aca="false">IF(OR($A88="",Q$4=""),"",IF(NOT(OR(Q$6="Toda la plantilla",ISNUMBER(SEARCH(";"&amp;SUBSTITUTE($C88," ","")&amp;";",";"&amp;SUBSTITUTE(Q$7," ","")&amp;";")))),"—",IF(_xlfn.MAXIFS(Acuses!$C$5:$C$3004,Acuses!$A$5:$A$3004,$A88,Acuses!$B$5:$B$3004,Q$4)&lt;Q$5,"Pendiente",IF(Q$8=0,"OK",IF(EDATE(_xlfn.MAXIFS(Acuses!$D$5:$D$3004,Acuses!$A$5:$A$3004,$A88,Acuses!$B$5:$B$3004,Q$4,Acuses!$C$5:$C$3004,Q$5),Q$8)&lt;Resumen!$C$4,"Caducado",IF(EDATE(_xlfn.MAXIFS(Acuses!$D$5:$D$3004,Acuses!$A$5:$A$3004,$A88,Acuses!$B$5:$B$3004,Q$4,Acuses!$C$5:$C$3004,Q$5),Q$8)&lt;Resumen!$C$4+30,"Caduca pronto","OK"))))))</f>
        <v/>
      </c>
      <c r="R88" s="26" t="str">
        <f aca="false">IF(OR($A88="",R$4=""),"",IF(NOT(OR(R$6="Toda la plantilla",ISNUMBER(SEARCH(";"&amp;SUBSTITUTE($C88," ","")&amp;";",";"&amp;SUBSTITUTE(R$7," ","")&amp;";")))),"—",IF(_xlfn.MAXIFS(Acuses!$C$5:$C$3004,Acuses!$A$5:$A$3004,$A88,Acuses!$B$5:$B$3004,R$4)&lt;R$5,"Pendiente",IF(R$8=0,"OK",IF(EDATE(_xlfn.MAXIFS(Acuses!$D$5:$D$3004,Acuses!$A$5:$A$3004,$A88,Acuses!$B$5:$B$3004,R$4,Acuses!$C$5:$C$3004,R$5),R$8)&lt;Resumen!$C$4,"Caducado",IF(EDATE(_xlfn.MAXIFS(Acuses!$D$5:$D$3004,Acuses!$A$5:$A$3004,$A88,Acuses!$B$5:$B$3004,R$4,Acuses!$C$5:$C$3004,R$5),R$8)&lt;Resumen!$C$4+30,"Caduca pronto","OK"))))))</f>
        <v/>
      </c>
      <c r="S88" s="26" t="str">
        <f aca="false">IF(OR($A88="",S$4=""),"",IF(NOT(OR(S$6="Toda la plantilla",ISNUMBER(SEARCH(";"&amp;SUBSTITUTE($C88," ","")&amp;";",";"&amp;SUBSTITUTE(S$7," ","")&amp;";")))),"—",IF(_xlfn.MAXIFS(Acuses!$C$5:$C$3004,Acuses!$A$5:$A$3004,$A88,Acuses!$B$5:$B$3004,S$4)&lt;S$5,"Pendiente",IF(S$8=0,"OK",IF(EDATE(_xlfn.MAXIFS(Acuses!$D$5:$D$3004,Acuses!$A$5:$A$3004,$A88,Acuses!$B$5:$B$3004,S$4,Acuses!$C$5:$C$3004,S$5),S$8)&lt;Resumen!$C$4,"Caducado",IF(EDATE(_xlfn.MAXIFS(Acuses!$D$5:$D$3004,Acuses!$A$5:$A$3004,$A88,Acuses!$B$5:$B$3004,S$4,Acuses!$C$5:$C$3004,S$5),S$8)&lt;Resumen!$C$4+30,"Caduca pronto","OK"))))))</f>
        <v/>
      </c>
      <c r="T88" s="26" t="str">
        <f aca="false">IF(OR($A88="",T$4=""),"",IF(NOT(OR(T$6="Toda la plantilla",ISNUMBER(SEARCH(";"&amp;SUBSTITUTE($C88," ","")&amp;";",";"&amp;SUBSTITUTE(T$7," ","")&amp;";")))),"—",IF(_xlfn.MAXIFS(Acuses!$C$5:$C$3004,Acuses!$A$5:$A$3004,$A88,Acuses!$B$5:$B$3004,T$4)&lt;T$5,"Pendiente",IF(T$8=0,"OK",IF(EDATE(_xlfn.MAXIFS(Acuses!$D$5:$D$3004,Acuses!$A$5:$A$3004,$A88,Acuses!$B$5:$B$3004,T$4,Acuses!$C$5:$C$3004,T$5),T$8)&lt;Resumen!$C$4,"Caducado",IF(EDATE(_xlfn.MAXIFS(Acuses!$D$5:$D$3004,Acuses!$A$5:$A$3004,$A88,Acuses!$B$5:$B$3004,T$4,Acuses!$C$5:$C$3004,T$5),T$8)&lt;Resumen!$C$4+30,"Caduca pronto","OK"))))))</f>
        <v/>
      </c>
      <c r="U88" s="26" t="str">
        <f aca="false">IF(OR($A88="",U$4=""),"",IF(NOT(OR(U$6="Toda la plantilla",ISNUMBER(SEARCH(";"&amp;SUBSTITUTE($C88," ","")&amp;";",";"&amp;SUBSTITUTE(U$7," ","")&amp;";")))),"—",IF(_xlfn.MAXIFS(Acuses!$C$5:$C$3004,Acuses!$A$5:$A$3004,$A88,Acuses!$B$5:$B$3004,U$4)&lt;U$5,"Pendiente",IF(U$8=0,"OK",IF(EDATE(_xlfn.MAXIFS(Acuses!$D$5:$D$3004,Acuses!$A$5:$A$3004,$A88,Acuses!$B$5:$B$3004,U$4,Acuses!$C$5:$C$3004,U$5),U$8)&lt;Resumen!$C$4,"Caducado",IF(EDATE(_xlfn.MAXIFS(Acuses!$D$5:$D$3004,Acuses!$A$5:$A$3004,$A88,Acuses!$B$5:$B$3004,U$4,Acuses!$C$5:$C$3004,U$5),U$8)&lt;Resumen!$C$4+30,"Caduca pronto","OK"))))))</f>
        <v/>
      </c>
      <c r="V88" s="26" t="str">
        <f aca="false">IF(OR($A88="",V$4=""),"",IF(NOT(OR(V$6="Toda la plantilla",ISNUMBER(SEARCH(";"&amp;SUBSTITUTE($C88," ","")&amp;";",";"&amp;SUBSTITUTE(V$7," ","")&amp;";")))),"—",IF(_xlfn.MAXIFS(Acuses!$C$5:$C$3004,Acuses!$A$5:$A$3004,$A88,Acuses!$B$5:$B$3004,V$4)&lt;V$5,"Pendiente",IF(V$8=0,"OK",IF(EDATE(_xlfn.MAXIFS(Acuses!$D$5:$D$3004,Acuses!$A$5:$A$3004,$A88,Acuses!$B$5:$B$3004,V$4,Acuses!$C$5:$C$3004,V$5),V$8)&lt;Resumen!$C$4,"Caducado",IF(EDATE(_xlfn.MAXIFS(Acuses!$D$5:$D$3004,Acuses!$A$5:$A$3004,$A88,Acuses!$B$5:$B$3004,V$4,Acuses!$C$5:$C$3004,V$5),V$8)&lt;Resumen!$C$4+30,"Caduca pronto","OK"))))))</f>
        <v/>
      </c>
      <c r="W88" s="26" t="str">
        <f aca="false">IF(OR($A88="",W$4=""),"",IF(NOT(OR(W$6="Toda la plantilla",ISNUMBER(SEARCH(";"&amp;SUBSTITUTE($C88," ","")&amp;";",";"&amp;SUBSTITUTE(W$7," ","")&amp;";")))),"—",IF(_xlfn.MAXIFS(Acuses!$C$5:$C$3004,Acuses!$A$5:$A$3004,$A88,Acuses!$B$5:$B$3004,W$4)&lt;W$5,"Pendiente",IF(W$8=0,"OK",IF(EDATE(_xlfn.MAXIFS(Acuses!$D$5:$D$3004,Acuses!$A$5:$A$3004,$A88,Acuses!$B$5:$B$3004,W$4,Acuses!$C$5:$C$3004,W$5),W$8)&lt;Resumen!$C$4,"Caducado",IF(EDATE(_xlfn.MAXIFS(Acuses!$D$5:$D$3004,Acuses!$A$5:$A$3004,$A88,Acuses!$B$5:$B$3004,W$4,Acuses!$C$5:$C$3004,W$5),W$8)&lt;Resumen!$C$4+30,"Caduca pronto","OK"))))))</f>
        <v/>
      </c>
      <c r="X88" s="26" t="str">
        <f aca="false">IF(OR($A88="",X$4=""),"",IF(NOT(OR(X$6="Toda la plantilla",ISNUMBER(SEARCH(";"&amp;SUBSTITUTE($C88," ","")&amp;";",";"&amp;SUBSTITUTE(X$7," ","")&amp;";")))),"—",IF(_xlfn.MAXIFS(Acuses!$C$5:$C$3004,Acuses!$A$5:$A$3004,$A88,Acuses!$B$5:$B$3004,X$4)&lt;X$5,"Pendiente",IF(X$8=0,"OK",IF(EDATE(_xlfn.MAXIFS(Acuses!$D$5:$D$3004,Acuses!$A$5:$A$3004,$A88,Acuses!$B$5:$B$3004,X$4,Acuses!$C$5:$C$3004,X$5),X$8)&lt;Resumen!$C$4,"Caducado",IF(EDATE(_xlfn.MAXIFS(Acuses!$D$5:$D$3004,Acuses!$A$5:$A$3004,$A88,Acuses!$B$5:$B$3004,X$4,Acuses!$C$5:$C$3004,X$5),X$8)&lt;Resumen!$C$4+30,"Caduca pronto","OK"))))))</f>
        <v/>
      </c>
      <c r="Y88" s="26" t="str">
        <f aca="false">IF(OR($A88="",Y$4=""),"",IF(NOT(OR(Y$6="Toda la plantilla",ISNUMBER(SEARCH(";"&amp;SUBSTITUTE($C88," ","")&amp;";",";"&amp;SUBSTITUTE(Y$7," ","")&amp;";")))),"—",IF(_xlfn.MAXIFS(Acuses!$C$5:$C$3004,Acuses!$A$5:$A$3004,$A88,Acuses!$B$5:$B$3004,Y$4)&lt;Y$5,"Pendiente",IF(Y$8=0,"OK",IF(EDATE(_xlfn.MAXIFS(Acuses!$D$5:$D$3004,Acuses!$A$5:$A$3004,$A88,Acuses!$B$5:$B$3004,Y$4,Acuses!$C$5:$C$3004,Y$5),Y$8)&lt;Resumen!$C$4,"Caducado",IF(EDATE(_xlfn.MAXIFS(Acuses!$D$5:$D$3004,Acuses!$A$5:$A$3004,$A88,Acuses!$B$5:$B$3004,Y$4,Acuses!$C$5:$C$3004,Y$5),Y$8)&lt;Resumen!$C$4+30,"Caduca pronto","OK"))))))</f>
        <v/>
      </c>
      <c r="Z88" s="26" t="str">
        <f aca="false">IF(OR($A88="",Z$4=""),"",IF(NOT(OR(Z$6="Toda la plantilla",ISNUMBER(SEARCH(";"&amp;SUBSTITUTE($C88," ","")&amp;";",";"&amp;SUBSTITUTE(Z$7," ","")&amp;";")))),"—",IF(_xlfn.MAXIFS(Acuses!$C$5:$C$3004,Acuses!$A$5:$A$3004,$A88,Acuses!$B$5:$B$3004,Z$4)&lt;Z$5,"Pendiente",IF(Z$8=0,"OK",IF(EDATE(_xlfn.MAXIFS(Acuses!$D$5:$D$3004,Acuses!$A$5:$A$3004,$A88,Acuses!$B$5:$B$3004,Z$4,Acuses!$C$5:$C$3004,Z$5),Z$8)&lt;Resumen!$C$4,"Caducado",IF(EDATE(_xlfn.MAXIFS(Acuses!$D$5:$D$3004,Acuses!$A$5:$A$3004,$A88,Acuses!$B$5:$B$3004,Z$4,Acuses!$C$5:$C$3004,Z$5),Z$8)&lt;Resumen!$C$4+30,"Caduca pronto","OK"))))))</f>
        <v/>
      </c>
      <c r="AA88" s="26" t="str">
        <f aca="false">IF(OR($A88="",AA$4=""),"",IF(NOT(OR(AA$6="Toda la plantilla",ISNUMBER(SEARCH(";"&amp;SUBSTITUTE($C88," ","")&amp;";",";"&amp;SUBSTITUTE(AA$7," ","")&amp;";")))),"—",IF(_xlfn.MAXIFS(Acuses!$C$5:$C$3004,Acuses!$A$5:$A$3004,$A88,Acuses!$B$5:$B$3004,AA$4)&lt;AA$5,"Pendiente",IF(AA$8=0,"OK",IF(EDATE(_xlfn.MAXIFS(Acuses!$D$5:$D$3004,Acuses!$A$5:$A$3004,$A88,Acuses!$B$5:$B$3004,AA$4,Acuses!$C$5:$C$3004,AA$5),AA$8)&lt;Resumen!$C$4,"Caducado",IF(EDATE(_xlfn.MAXIFS(Acuses!$D$5:$D$3004,Acuses!$A$5:$A$3004,$A88,Acuses!$B$5:$B$3004,AA$4,Acuses!$C$5:$C$3004,AA$5),AA$8)&lt;Resumen!$C$4+30,"Caduca pronto","OK"))))))</f>
        <v/>
      </c>
      <c r="AB88" s="26" t="str">
        <f aca="false">IF(OR($A88="",AB$4=""),"",IF(NOT(OR(AB$6="Toda la plantilla",ISNUMBER(SEARCH(";"&amp;SUBSTITUTE($C88," ","")&amp;";",";"&amp;SUBSTITUTE(AB$7," ","")&amp;";")))),"—",IF(_xlfn.MAXIFS(Acuses!$C$5:$C$3004,Acuses!$A$5:$A$3004,$A88,Acuses!$B$5:$B$3004,AB$4)&lt;AB$5,"Pendiente",IF(AB$8=0,"OK",IF(EDATE(_xlfn.MAXIFS(Acuses!$D$5:$D$3004,Acuses!$A$5:$A$3004,$A88,Acuses!$B$5:$B$3004,AB$4,Acuses!$C$5:$C$3004,AB$5),AB$8)&lt;Resumen!$C$4,"Caducado",IF(EDATE(_xlfn.MAXIFS(Acuses!$D$5:$D$3004,Acuses!$A$5:$A$3004,$A88,Acuses!$B$5:$B$3004,AB$4,Acuses!$C$5:$C$3004,AB$5),AB$8)&lt;Resumen!$C$4+30,"Caduca pronto","OK"))))))</f>
        <v/>
      </c>
      <c r="AC88" s="26" t="str">
        <f aca="false">IF(OR($A88="",AC$4=""),"",IF(NOT(OR(AC$6="Toda la plantilla",ISNUMBER(SEARCH(";"&amp;SUBSTITUTE($C88," ","")&amp;";",";"&amp;SUBSTITUTE(AC$7," ","")&amp;";")))),"—",IF(_xlfn.MAXIFS(Acuses!$C$5:$C$3004,Acuses!$A$5:$A$3004,$A88,Acuses!$B$5:$B$3004,AC$4)&lt;AC$5,"Pendiente",IF(AC$8=0,"OK",IF(EDATE(_xlfn.MAXIFS(Acuses!$D$5:$D$3004,Acuses!$A$5:$A$3004,$A88,Acuses!$B$5:$B$3004,AC$4,Acuses!$C$5:$C$3004,AC$5),AC$8)&lt;Resumen!$C$4,"Caducado",IF(EDATE(_xlfn.MAXIFS(Acuses!$D$5:$D$3004,Acuses!$A$5:$A$3004,$A88,Acuses!$B$5:$B$3004,AC$4,Acuses!$C$5:$C$3004,AC$5),AC$8)&lt;Resumen!$C$4+30,"Caduca pronto","OK"))))))</f>
        <v/>
      </c>
      <c r="AD88" s="26" t="str">
        <f aca="false">IF(OR($A88="",AD$4=""),"",IF(NOT(OR(AD$6="Toda la plantilla",ISNUMBER(SEARCH(";"&amp;SUBSTITUTE($C88," ","")&amp;";",";"&amp;SUBSTITUTE(AD$7," ","")&amp;";")))),"—",IF(_xlfn.MAXIFS(Acuses!$C$5:$C$3004,Acuses!$A$5:$A$3004,$A88,Acuses!$B$5:$B$3004,AD$4)&lt;AD$5,"Pendiente",IF(AD$8=0,"OK",IF(EDATE(_xlfn.MAXIFS(Acuses!$D$5:$D$3004,Acuses!$A$5:$A$3004,$A88,Acuses!$B$5:$B$3004,AD$4,Acuses!$C$5:$C$3004,AD$5),AD$8)&lt;Resumen!$C$4,"Caducado",IF(EDATE(_xlfn.MAXIFS(Acuses!$D$5:$D$3004,Acuses!$A$5:$A$3004,$A88,Acuses!$B$5:$B$3004,AD$4,Acuses!$C$5:$C$3004,AD$5),AD$8)&lt;Resumen!$C$4+30,"Caduca pronto","OK"))))))</f>
        <v/>
      </c>
      <c r="AE88" s="26" t="str">
        <f aca="false">IF(OR($A88="",AE$4=""),"",IF(NOT(OR(AE$6="Toda la plantilla",ISNUMBER(SEARCH(";"&amp;SUBSTITUTE($C88," ","")&amp;";",";"&amp;SUBSTITUTE(AE$7," ","")&amp;";")))),"—",IF(_xlfn.MAXIFS(Acuses!$C$5:$C$3004,Acuses!$A$5:$A$3004,$A88,Acuses!$B$5:$B$3004,AE$4)&lt;AE$5,"Pendiente",IF(AE$8=0,"OK",IF(EDATE(_xlfn.MAXIFS(Acuses!$D$5:$D$3004,Acuses!$A$5:$A$3004,$A88,Acuses!$B$5:$B$3004,AE$4,Acuses!$C$5:$C$3004,AE$5),AE$8)&lt;Resumen!$C$4,"Caducado",IF(EDATE(_xlfn.MAXIFS(Acuses!$D$5:$D$3004,Acuses!$A$5:$A$3004,$A88,Acuses!$B$5:$B$3004,AE$4,Acuses!$C$5:$C$3004,AE$5),AE$8)&lt;Resumen!$C$4+30,"Caduca pronto","OK"))))))</f>
        <v/>
      </c>
      <c r="AF88" s="26" t="str">
        <f aca="false">IF(OR($A88="",AF$4=""),"",IF(NOT(OR(AF$6="Toda la plantilla",ISNUMBER(SEARCH(";"&amp;SUBSTITUTE($C88," ","")&amp;";",";"&amp;SUBSTITUTE(AF$7," ","")&amp;";")))),"—",IF(_xlfn.MAXIFS(Acuses!$C$5:$C$3004,Acuses!$A$5:$A$3004,$A88,Acuses!$B$5:$B$3004,AF$4)&lt;AF$5,"Pendiente",IF(AF$8=0,"OK",IF(EDATE(_xlfn.MAXIFS(Acuses!$D$5:$D$3004,Acuses!$A$5:$A$3004,$A88,Acuses!$B$5:$B$3004,AF$4,Acuses!$C$5:$C$3004,AF$5),AF$8)&lt;Resumen!$C$4,"Caducado",IF(EDATE(_xlfn.MAXIFS(Acuses!$D$5:$D$3004,Acuses!$A$5:$A$3004,$A88,Acuses!$B$5:$B$3004,AF$4,Acuses!$C$5:$C$3004,AF$5),AF$8)&lt;Resumen!$C$4+30,"Caduca pronto","OK"))))))</f>
        <v/>
      </c>
      <c r="AG88" s="26" t="str">
        <f aca="false">IF(OR($A88="",AG$4=""),"",IF(NOT(OR(AG$6="Toda la plantilla",ISNUMBER(SEARCH(";"&amp;SUBSTITUTE($C88," ","")&amp;";",";"&amp;SUBSTITUTE(AG$7," ","")&amp;";")))),"—",IF(_xlfn.MAXIFS(Acuses!$C$5:$C$3004,Acuses!$A$5:$A$3004,$A88,Acuses!$B$5:$B$3004,AG$4)&lt;AG$5,"Pendiente",IF(AG$8=0,"OK",IF(EDATE(_xlfn.MAXIFS(Acuses!$D$5:$D$3004,Acuses!$A$5:$A$3004,$A88,Acuses!$B$5:$B$3004,AG$4,Acuses!$C$5:$C$3004,AG$5),AG$8)&lt;Resumen!$C$4,"Caducado",IF(EDATE(_xlfn.MAXIFS(Acuses!$D$5:$D$3004,Acuses!$A$5:$A$3004,$A88,Acuses!$B$5:$B$3004,AG$4,Acuses!$C$5:$C$3004,AG$5),AG$8)&lt;Resumen!$C$4+30,"Caduca pronto","OK"))))))</f>
        <v/>
      </c>
      <c r="AH88" s="26" t="str">
        <f aca="false">IF(OR($A88="",AH$4=""),"",IF(NOT(OR(AH$6="Toda la plantilla",ISNUMBER(SEARCH(";"&amp;SUBSTITUTE($C88," ","")&amp;";",";"&amp;SUBSTITUTE(AH$7," ","")&amp;";")))),"—",IF(_xlfn.MAXIFS(Acuses!$C$5:$C$3004,Acuses!$A$5:$A$3004,$A88,Acuses!$B$5:$B$3004,AH$4)&lt;AH$5,"Pendiente",IF(AH$8=0,"OK",IF(EDATE(_xlfn.MAXIFS(Acuses!$D$5:$D$3004,Acuses!$A$5:$A$3004,$A88,Acuses!$B$5:$B$3004,AH$4,Acuses!$C$5:$C$3004,AH$5),AH$8)&lt;Resumen!$C$4,"Caducado",IF(EDATE(_xlfn.MAXIFS(Acuses!$D$5:$D$3004,Acuses!$A$5:$A$3004,$A88,Acuses!$B$5:$B$3004,AH$4,Acuses!$C$5:$C$3004,AH$5),AH$8)&lt;Resumen!$C$4+30,"Caduca pronto","OK"))))))</f>
        <v/>
      </c>
      <c r="AI88" s="26" t="str">
        <f aca="false">IF(OR($A88="",AI$4=""),"",IF(NOT(OR(AI$6="Toda la plantilla",ISNUMBER(SEARCH(";"&amp;SUBSTITUTE($C88," ","")&amp;";",";"&amp;SUBSTITUTE(AI$7," ","")&amp;";")))),"—",IF(_xlfn.MAXIFS(Acuses!$C$5:$C$3004,Acuses!$A$5:$A$3004,$A88,Acuses!$B$5:$B$3004,AI$4)&lt;AI$5,"Pendiente",IF(AI$8=0,"OK",IF(EDATE(_xlfn.MAXIFS(Acuses!$D$5:$D$3004,Acuses!$A$5:$A$3004,$A88,Acuses!$B$5:$B$3004,AI$4,Acuses!$C$5:$C$3004,AI$5),AI$8)&lt;Resumen!$C$4,"Caducado",IF(EDATE(_xlfn.MAXIFS(Acuses!$D$5:$D$3004,Acuses!$A$5:$A$3004,$A88,Acuses!$B$5:$B$3004,AI$4,Acuses!$C$5:$C$3004,AI$5),AI$8)&lt;Resumen!$C$4+30,"Caduca pronto","OK"))))))</f>
        <v/>
      </c>
      <c r="AJ88" s="26" t="str">
        <f aca="false">IF(OR($A88="",AJ$4=""),"",IF(NOT(OR(AJ$6="Toda la plantilla",ISNUMBER(SEARCH(";"&amp;SUBSTITUTE($C88," ","")&amp;";",";"&amp;SUBSTITUTE(AJ$7," ","")&amp;";")))),"—",IF(_xlfn.MAXIFS(Acuses!$C$5:$C$3004,Acuses!$A$5:$A$3004,$A88,Acuses!$B$5:$B$3004,AJ$4)&lt;AJ$5,"Pendiente",IF(AJ$8=0,"OK",IF(EDATE(_xlfn.MAXIFS(Acuses!$D$5:$D$3004,Acuses!$A$5:$A$3004,$A88,Acuses!$B$5:$B$3004,AJ$4,Acuses!$C$5:$C$3004,AJ$5),AJ$8)&lt;Resumen!$C$4,"Caducado",IF(EDATE(_xlfn.MAXIFS(Acuses!$D$5:$D$3004,Acuses!$A$5:$A$3004,$A88,Acuses!$B$5:$B$3004,AJ$4,Acuses!$C$5:$C$3004,AJ$5),AJ$8)&lt;Resumen!$C$4+30,"Caduca pronto","OK"))))))</f>
        <v/>
      </c>
      <c r="AK88" s="26" t="str">
        <f aca="false">IF(OR($A88="",AK$4=""),"",IF(NOT(OR(AK$6="Toda la plantilla",ISNUMBER(SEARCH(";"&amp;SUBSTITUTE($C88," ","")&amp;";",";"&amp;SUBSTITUTE(AK$7," ","")&amp;";")))),"—",IF(_xlfn.MAXIFS(Acuses!$C$5:$C$3004,Acuses!$A$5:$A$3004,$A88,Acuses!$B$5:$B$3004,AK$4)&lt;AK$5,"Pendiente",IF(AK$8=0,"OK",IF(EDATE(_xlfn.MAXIFS(Acuses!$D$5:$D$3004,Acuses!$A$5:$A$3004,$A88,Acuses!$B$5:$B$3004,AK$4,Acuses!$C$5:$C$3004,AK$5),AK$8)&lt;Resumen!$C$4,"Caducado",IF(EDATE(_xlfn.MAXIFS(Acuses!$D$5:$D$3004,Acuses!$A$5:$A$3004,$A88,Acuses!$B$5:$B$3004,AK$4,Acuses!$C$5:$C$3004,AK$5),AK$8)&lt;Resumen!$C$4+30,"Caduca pronto","OK"))))))</f>
        <v/>
      </c>
      <c r="AL88" s="26" t="str">
        <f aca="false">IF(OR($A88="",AL$4=""),"",IF(NOT(OR(AL$6="Toda la plantilla",ISNUMBER(SEARCH(";"&amp;SUBSTITUTE($C88," ","")&amp;";",";"&amp;SUBSTITUTE(AL$7," ","")&amp;";")))),"—",IF(_xlfn.MAXIFS(Acuses!$C$5:$C$3004,Acuses!$A$5:$A$3004,$A88,Acuses!$B$5:$B$3004,AL$4)&lt;AL$5,"Pendiente",IF(AL$8=0,"OK",IF(EDATE(_xlfn.MAXIFS(Acuses!$D$5:$D$3004,Acuses!$A$5:$A$3004,$A88,Acuses!$B$5:$B$3004,AL$4,Acuses!$C$5:$C$3004,AL$5),AL$8)&lt;Resumen!$C$4,"Caducado",IF(EDATE(_xlfn.MAXIFS(Acuses!$D$5:$D$3004,Acuses!$A$5:$A$3004,$A88,Acuses!$B$5:$B$3004,AL$4,Acuses!$C$5:$C$3004,AL$5),AL$8)&lt;Resumen!$C$4+30,"Caduca pronto","OK"))))))</f>
        <v/>
      </c>
      <c r="AM88" s="26" t="str">
        <f aca="false">IF(OR($A88="",AM$4=""),"",IF(NOT(OR(AM$6="Toda la plantilla",ISNUMBER(SEARCH(";"&amp;SUBSTITUTE($C88," ","")&amp;";",";"&amp;SUBSTITUTE(AM$7," ","")&amp;";")))),"—",IF(_xlfn.MAXIFS(Acuses!$C$5:$C$3004,Acuses!$A$5:$A$3004,$A88,Acuses!$B$5:$B$3004,AM$4)&lt;AM$5,"Pendiente",IF(AM$8=0,"OK",IF(EDATE(_xlfn.MAXIFS(Acuses!$D$5:$D$3004,Acuses!$A$5:$A$3004,$A88,Acuses!$B$5:$B$3004,AM$4,Acuses!$C$5:$C$3004,AM$5),AM$8)&lt;Resumen!$C$4,"Caducado",IF(EDATE(_xlfn.MAXIFS(Acuses!$D$5:$D$3004,Acuses!$A$5:$A$3004,$A88,Acuses!$B$5:$B$3004,AM$4,Acuses!$C$5:$C$3004,AM$5),AM$8)&lt;Resumen!$C$4+30,"Caduca pronto","OK"))))))</f>
        <v/>
      </c>
      <c r="AN88" s="26" t="str">
        <f aca="false">IF(OR($A88="",AN$4=""),"",IF(NOT(OR(AN$6="Toda la plantilla",ISNUMBER(SEARCH(";"&amp;SUBSTITUTE($C88," ","")&amp;";",";"&amp;SUBSTITUTE(AN$7," ","")&amp;";")))),"—",IF(_xlfn.MAXIFS(Acuses!$C$5:$C$3004,Acuses!$A$5:$A$3004,$A88,Acuses!$B$5:$B$3004,AN$4)&lt;AN$5,"Pendiente",IF(AN$8=0,"OK",IF(EDATE(_xlfn.MAXIFS(Acuses!$D$5:$D$3004,Acuses!$A$5:$A$3004,$A88,Acuses!$B$5:$B$3004,AN$4,Acuses!$C$5:$C$3004,AN$5),AN$8)&lt;Resumen!$C$4,"Caducado",IF(EDATE(_xlfn.MAXIFS(Acuses!$D$5:$D$3004,Acuses!$A$5:$A$3004,$A88,Acuses!$B$5:$B$3004,AN$4,Acuses!$C$5:$C$3004,AN$5),AN$8)&lt;Resumen!$C$4+30,"Caduca pronto","OK"))))))</f>
        <v/>
      </c>
      <c r="AO88" s="26" t="str">
        <f aca="false">IF(OR($A88="",AO$4=""),"",IF(NOT(OR(AO$6="Toda la plantilla",ISNUMBER(SEARCH(";"&amp;SUBSTITUTE($C88," ","")&amp;";",";"&amp;SUBSTITUTE(AO$7," ","")&amp;";")))),"—",IF(_xlfn.MAXIFS(Acuses!$C$5:$C$3004,Acuses!$A$5:$A$3004,$A88,Acuses!$B$5:$B$3004,AO$4)&lt;AO$5,"Pendiente",IF(AO$8=0,"OK",IF(EDATE(_xlfn.MAXIFS(Acuses!$D$5:$D$3004,Acuses!$A$5:$A$3004,$A88,Acuses!$B$5:$B$3004,AO$4,Acuses!$C$5:$C$3004,AO$5),AO$8)&lt;Resumen!$C$4,"Caducado",IF(EDATE(_xlfn.MAXIFS(Acuses!$D$5:$D$3004,Acuses!$A$5:$A$3004,$A88,Acuses!$B$5:$B$3004,AO$4,Acuses!$C$5:$C$3004,AO$5),AO$8)&lt;Resumen!$C$4+30,"Caduca pronto","OK"))))))</f>
        <v/>
      </c>
      <c r="AP88" s="26" t="str">
        <f aca="false">IF(OR($A88="",AP$4=""),"",IF(NOT(OR(AP$6="Toda la plantilla",ISNUMBER(SEARCH(";"&amp;SUBSTITUTE($C88," ","")&amp;";",";"&amp;SUBSTITUTE(AP$7," ","")&amp;";")))),"—",IF(_xlfn.MAXIFS(Acuses!$C$5:$C$3004,Acuses!$A$5:$A$3004,$A88,Acuses!$B$5:$B$3004,AP$4)&lt;AP$5,"Pendiente",IF(AP$8=0,"OK",IF(EDATE(_xlfn.MAXIFS(Acuses!$D$5:$D$3004,Acuses!$A$5:$A$3004,$A88,Acuses!$B$5:$B$3004,AP$4,Acuses!$C$5:$C$3004,AP$5),AP$8)&lt;Resumen!$C$4,"Caducado",IF(EDATE(_xlfn.MAXIFS(Acuses!$D$5:$D$3004,Acuses!$A$5:$A$3004,$A88,Acuses!$B$5:$B$3004,AP$4,Acuses!$C$5:$C$3004,AP$5),AP$8)&lt;Resumen!$C$4+30,"Caduca pronto","OK"))))))</f>
        <v/>
      </c>
      <c r="AQ88" s="26" t="str">
        <f aca="false">IF(OR($A88="",AQ$4=""),"",IF(NOT(OR(AQ$6="Toda la plantilla",ISNUMBER(SEARCH(";"&amp;SUBSTITUTE($C88," ","")&amp;";",";"&amp;SUBSTITUTE(AQ$7," ","")&amp;";")))),"—",IF(_xlfn.MAXIFS(Acuses!$C$5:$C$3004,Acuses!$A$5:$A$3004,$A88,Acuses!$B$5:$B$3004,AQ$4)&lt;AQ$5,"Pendiente",IF(AQ$8=0,"OK",IF(EDATE(_xlfn.MAXIFS(Acuses!$D$5:$D$3004,Acuses!$A$5:$A$3004,$A88,Acuses!$B$5:$B$3004,AQ$4,Acuses!$C$5:$C$3004,AQ$5),AQ$8)&lt;Resumen!$C$4,"Caducado",IF(EDATE(_xlfn.MAXIFS(Acuses!$D$5:$D$3004,Acuses!$A$5:$A$3004,$A88,Acuses!$B$5:$B$3004,AQ$4,Acuses!$C$5:$C$3004,AQ$5),AQ$8)&lt;Resumen!$C$4+30,"Caduca pronto","OK"))))))</f>
        <v/>
      </c>
    </row>
    <row r="89" customFormat="false" ht="15" hidden="false" customHeight="false" outlineLevel="0" collapsed="false">
      <c r="A89" s="25" t="str">
        <f aca="false">IF(AND(Trabajadores!$A$84&lt;&gt;"",Trabajadores!$G$84&lt;&gt;"No"),Trabajadores!$A$84,"")</f>
        <v/>
      </c>
      <c r="B89" s="25" t="str">
        <f aca="false">IF($A89="","",Trabajadores!$B$84)</f>
        <v/>
      </c>
      <c r="C89" s="25" t="str">
        <f aca="false">IF($A89="","",Trabajadores!$C$84)</f>
        <v/>
      </c>
      <c r="D89" s="26" t="str">
        <f aca="false">IF(OR($A89="",D$4=""),"",IF(NOT(OR(D$6="Toda la plantilla",ISNUMBER(SEARCH(";"&amp;SUBSTITUTE($C89," ","")&amp;";",";"&amp;SUBSTITUTE(D$7," ","")&amp;";")))),"—",IF(_xlfn.MAXIFS(Acuses!$C$5:$C$3004,Acuses!$A$5:$A$3004,$A89,Acuses!$B$5:$B$3004,D$4)&lt;D$5,"Pendiente",IF(D$8=0,"OK",IF(EDATE(_xlfn.MAXIFS(Acuses!$D$5:$D$3004,Acuses!$A$5:$A$3004,$A89,Acuses!$B$5:$B$3004,D$4,Acuses!$C$5:$C$3004,D$5),D$8)&lt;Resumen!$C$4,"Caducado",IF(EDATE(_xlfn.MAXIFS(Acuses!$D$5:$D$3004,Acuses!$A$5:$A$3004,$A89,Acuses!$B$5:$B$3004,D$4,Acuses!$C$5:$C$3004,D$5),D$8)&lt;Resumen!$C$4+30,"Caduca pronto","OK"))))))</f>
        <v/>
      </c>
      <c r="E89" s="26" t="str">
        <f aca="false">IF(OR($A89="",E$4=""),"",IF(NOT(OR(E$6="Toda la plantilla",ISNUMBER(SEARCH(";"&amp;SUBSTITUTE($C89," ","")&amp;";",";"&amp;SUBSTITUTE(E$7," ","")&amp;";")))),"—",IF(_xlfn.MAXIFS(Acuses!$C$5:$C$3004,Acuses!$A$5:$A$3004,$A89,Acuses!$B$5:$B$3004,E$4)&lt;E$5,"Pendiente",IF(E$8=0,"OK",IF(EDATE(_xlfn.MAXIFS(Acuses!$D$5:$D$3004,Acuses!$A$5:$A$3004,$A89,Acuses!$B$5:$B$3004,E$4,Acuses!$C$5:$C$3004,E$5),E$8)&lt;Resumen!$C$4,"Caducado",IF(EDATE(_xlfn.MAXIFS(Acuses!$D$5:$D$3004,Acuses!$A$5:$A$3004,$A89,Acuses!$B$5:$B$3004,E$4,Acuses!$C$5:$C$3004,E$5),E$8)&lt;Resumen!$C$4+30,"Caduca pronto","OK"))))))</f>
        <v/>
      </c>
      <c r="F89" s="26" t="str">
        <f aca="false">IF(OR($A89="",F$4=""),"",IF(NOT(OR(F$6="Toda la plantilla",ISNUMBER(SEARCH(";"&amp;SUBSTITUTE($C89," ","")&amp;";",";"&amp;SUBSTITUTE(F$7," ","")&amp;";")))),"—",IF(_xlfn.MAXIFS(Acuses!$C$5:$C$3004,Acuses!$A$5:$A$3004,$A89,Acuses!$B$5:$B$3004,F$4)&lt;F$5,"Pendiente",IF(F$8=0,"OK",IF(EDATE(_xlfn.MAXIFS(Acuses!$D$5:$D$3004,Acuses!$A$5:$A$3004,$A89,Acuses!$B$5:$B$3004,F$4,Acuses!$C$5:$C$3004,F$5),F$8)&lt;Resumen!$C$4,"Caducado",IF(EDATE(_xlfn.MAXIFS(Acuses!$D$5:$D$3004,Acuses!$A$5:$A$3004,$A89,Acuses!$B$5:$B$3004,F$4,Acuses!$C$5:$C$3004,F$5),F$8)&lt;Resumen!$C$4+30,"Caduca pronto","OK"))))))</f>
        <v/>
      </c>
      <c r="G89" s="26" t="str">
        <f aca="false">IF(OR($A89="",G$4=""),"",IF(NOT(OR(G$6="Toda la plantilla",ISNUMBER(SEARCH(";"&amp;SUBSTITUTE($C89," ","")&amp;";",";"&amp;SUBSTITUTE(G$7," ","")&amp;";")))),"—",IF(_xlfn.MAXIFS(Acuses!$C$5:$C$3004,Acuses!$A$5:$A$3004,$A89,Acuses!$B$5:$B$3004,G$4)&lt;G$5,"Pendiente",IF(G$8=0,"OK",IF(EDATE(_xlfn.MAXIFS(Acuses!$D$5:$D$3004,Acuses!$A$5:$A$3004,$A89,Acuses!$B$5:$B$3004,G$4,Acuses!$C$5:$C$3004,G$5),G$8)&lt;Resumen!$C$4,"Caducado",IF(EDATE(_xlfn.MAXIFS(Acuses!$D$5:$D$3004,Acuses!$A$5:$A$3004,$A89,Acuses!$B$5:$B$3004,G$4,Acuses!$C$5:$C$3004,G$5),G$8)&lt;Resumen!$C$4+30,"Caduca pronto","OK"))))))</f>
        <v/>
      </c>
      <c r="H89" s="26" t="str">
        <f aca="false">IF(OR($A89="",H$4=""),"",IF(NOT(OR(H$6="Toda la plantilla",ISNUMBER(SEARCH(";"&amp;SUBSTITUTE($C89," ","")&amp;";",";"&amp;SUBSTITUTE(H$7," ","")&amp;";")))),"—",IF(_xlfn.MAXIFS(Acuses!$C$5:$C$3004,Acuses!$A$5:$A$3004,$A89,Acuses!$B$5:$B$3004,H$4)&lt;H$5,"Pendiente",IF(H$8=0,"OK",IF(EDATE(_xlfn.MAXIFS(Acuses!$D$5:$D$3004,Acuses!$A$5:$A$3004,$A89,Acuses!$B$5:$B$3004,H$4,Acuses!$C$5:$C$3004,H$5),H$8)&lt;Resumen!$C$4,"Caducado",IF(EDATE(_xlfn.MAXIFS(Acuses!$D$5:$D$3004,Acuses!$A$5:$A$3004,$A89,Acuses!$B$5:$B$3004,H$4,Acuses!$C$5:$C$3004,H$5),H$8)&lt;Resumen!$C$4+30,"Caduca pronto","OK"))))))</f>
        <v/>
      </c>
      <c r="I89" s="26" t="str">
        <f aca="false">IF(OR($A89="",I$4=""),"",IF(NOT(OR(I$6="Toda la plantilla",ISNUMBER(SEARCH(";"&amp;SUBSTITUTE($C89," ","")&amp;";",";"&amp;SUBSTITUTE(I$7," ","")&amp;";")))),"—",IF(_xlfn.MAXIFS(Acuses!$C$5:$C$3004,Acuses!$A$5:$A$3004,$A89,Acuses!$B$5:$B$3004,I$4)&lt;I$5,"Pendiente",IF(I$8=0,"OK",IF(EDATE(_xlfn.MAXIFS(Acuses!$D$5:$D$3004,Acuses!$A$5:$A$3004,$A89,Acuses!$B$5:$B$3004,I$4,Acuses!$C$5:$C$3004,I$5),I$8)&lt;Resumen!$C$4,"Caducado",IF(EDATE(_xlfn.MAXIFS(Acuses!$D$5:$D$3004,Acuses!$A$5:$A$3004,$A89,Acuses!$B$5:$B$3004,I$4,Acuses!$C$5:$C$3004,I$5),I$8)&lt;Resumen!$C$4+30,"Caduca pronto","OK"))))))</f>
        <v/>
      </c>
      <c r="J89" s="26" t="str">
        <f aca="false">IF(OR($A89="",J$4=""),"",IF(NOT(OR(J$6="Toda la plantilla",ISNUMBER(SEARCH(";"&amp;SUBSTITUTE($C89," ","")&amp;";",";"&amp;SUBSTITUTE(J$7," ","")&amp;";")))),"—",IF(_xlfn.MAXIFS(Acuses!$C$5:$C$3004,Acuses!$A$5:$A$3004,$A89,Acuses!$B$5:$B$3004,J$4)&lt;J$5,"Pendiente",IF(J$8=0,"OK",IF(EDATE(_xlfn.MAXIFS(Acuses!$D$5:$D$3004,Acuses!$A$5:$A$3004,$A89,Acuses!$B$5:$B$3004,J$4,Acuses!$C$5:$C$3004,J$5),J$8)&lt;Resumen!$C$4,"Caducado",IF(EDATE(_xlfn.MAXIFS(Acuses!$D$5:$D$3004,Acuses!$A$5:$A$3004,$A89,Acuses!$B$5:$B$3004,J$4,Acuses!$C$5:$C$3004,J$5),J$8)&lt;Resumen!$C$4+30,"Caduca pronto","OK"))))))</f>
        <v/>
      </c>
      <c r="K89" s="26" t="str">
        <f aca="false">IF(OR($A89="",K$4=""),"",IF(NOT(OR(K$6="Toda la plantilla",ISNUMBER(SEARCH(";"&amp;SUBSTITUTE($C89," ","")&amp;";",";"&amp;SUBSTITUTE(K$7," ","")&amp;";")))),"—",IF(_xlfn.MAXIFS(Acuses!$C$5:$C$3004,Acuses!$A$5:$A$3004,$A89,Acuses!$B$5:$B$3004,K$4)&lt;K$5,"Pendiente",IF(K$8=0,"OK",IF(EDATE(_xlfn.MAXIFS(Acuses!$D$5:$D$3004,Acuses!$A$5:$A$3004,$A89,Acuses!$B$5:$B$3004,K$4,Acuses!$C$5:$C$3004,K$5),K$8)&lt;Resumen!$C$4,"Caducado",IF(EDATE(_xlfn.MAXIFS(Acuses!$D$5:$D$3004,Acuses!$A$5:$A$3004,$A89,Acuses!$B$5:$B$3004,K$4,Acuses!$C$5:$C$3004,K$5),K$8)&lt;Resumen!$C$4+30,"Caduca pronto","OK"))))))</f>
        <v/>
      </c>
      <c r="L89" s="26" t="str">
        <f aca="false">IF(OR($A89="",L$4=""),"",IF(NOT(OR(L$6="Toda la plantilla",ISNUMBER(SEARCH(";"&amp;SUBSTITUTE($C89," ","")&amp;";",";"&amp;SUBSTITUTE(L$7," ","")&amp;";")))),"—",IF(_xlfn.MAXIFS(Acuses!$C$5:$C$3004,Acuses!$A$5:$A$3004,$A89,Acuses!$B$5:$B$3004,L$4)&lt;L$5,"Pendiente",IF(L$8=0,"OK",IF(EDATE(_xlfn.MAXIFS(Acuses!$D$5:$D$3004,Acuses!$A$5:$A$3004,$A89,Acuses!$B$5:$B$3004,L$4,Acuses!$C$5:$C$3004,L$5),L$8)&lt;Resumen!$C$4,"Caducado",IF(EDATE(_xlfn.MAXIFS(Acuses!$D$5:$D$3004,Acuses!$A$5:$A$3004,$A89,Acuses!$B$5:$B$3004,L$4,Acuses!$C$5:$C$3004,L$5),L$8)&lt;Resumen!$C$4+30,"Caduca pronto","OK"))))))</f>
        <v/>
      </c>
      <c r="M89" s="26" t="str">
        <f aca="false">IF(OR($A89="",M$4=""),"",IF(NOT(OR(M$6="Toda la plantilla",ISNUMBER(SEARCH(";"&amp;SUBSTITUTE($C89," ","")&amp;";",";"&amp;SUBSTITUTE(M$7," ","")&amp;";")))),"—",IF(_xlfn.MAXIFS(Acuses!$C$5:$C$3004,Acuses!$A$5:$A$3004,$A89,Acuses!$B$5:$B$3004,M$4)&lt;M$5,"Pendiente",IF(M$8=0,"OK",IF(EDATE(_xlfn.MAXIFS(Acuses!$D$5:$D$3004,Acuses!$A$5:$A$3004,$A89,Acuses!$B$5:$B$3004,M$4,Acuses!$C$5:$C$3004,M$5),M$8)&lt;Resumen!$C$4,"Caducado",IF(EDATE(_xlfn.MAXIFS(Acuses!$D$5:$D$3004,Acuses!$A$5:$A$3004,$A89,Acuses!$B$5:$B$3004,M$4,Acuses!$C$5:$C$3004,M$5),M$8)&lt;Resumen!$C$4+30,"Caduca pronto","OK"))))))</f>
        <v/>
      </c>
      <c r="N89" s="26" t="str">
        <f aca="false">IF(OR($A89="",N$4=""),"",IF(NOT(OR(N$6="Toda la plantilla",ISNUMBER(SEARCH(";"&amp;SUBSTITUTE($C89," ","")&amp;";",";"&amp;SUBSTITUTE(N$7," ","")&amp;";")))),"—",IF(_xlfn.MAXIFS(Acuses!$C$5:$C$3004,Acuses!$A$5:$A$3004,$A89,Acuses!$B$5:$B$3004,N$4)&lt;N$5,"Pendiente",IF(N$8=0,"OK",IF(EDATE(_xlfn.MAXIFS(Acuses!$D$5:$D$3004,Acuses!$A$5:$A$3004,$A89,Acuses!$B$5:$B$3004,N$4,Acuses!$C$5:$C$3004,N$5),N$8)&lt;Resumen!$C$4,"Caducado",IF(EDATE(_xlfn.MAXIFS(Acuses!$D$5:$D$3004,Acuses!$A$5:$A$3004,$A89,Acuses!$B$5:$B$3004,N$4,Acuses!$C$5:$C$3004,N$5),N$8)&lt;Resumen!$C$4+30,"Caduca pronto","OK"))))))</f>
        <v/>
      </c>
      <c r="O89" s="26" t="str">
        <f aca="false">IF(OR($A89="",O$4=""),"",IF(NOT(OR(O$6="Toda la plantilla",ISNUMBER(SEARCH(";"&amp;SUBSTITUTE($C89," ","")&amp;";",";"&amp;SUBSTITUTE(O$7," ","")&amp;";")))),"—",IF(_xlfn.MAXIFS(Acuses!$C$5:$C$3004,Acuses!$A$5:$A$3004,$A89,Acuses!$B$5:$B$3004,O$4)&lt;O$5,"Pendiente",IF(O$8=0,"OK",IF(EDATE(_xlfn.MAXIFS(Acuses!$D$5:$D$3004,Acuses!$A$5:$A$3004,$A89,Acuses!$B$5:$B$3004,O$4,Acuses!$C$5:$C$3004,O$5),O$8)&lt;Resumen!$C$4,"Caducado",IF(EDATE(_xlfn.MAXIFS(Acuses!$D$5:$D$3004,Acuses!$A$5:$A$3004,$A89,Acuses!$B$5:$B$3004,O$4,Acuses!$C$5:$C$3004,O$5),O$8)&lt;Resumen!$C$4+30,"Caduca pronto","OK"))))))</f>
        <v/>
      </c>
      <c r="P89" s="26" t="str">
        <f aca="false">IF(OR($A89="",P$4=""),"",IF(NOT(OR(P$6="Toda la plantilla",ISNUMBER(SEARCH(";"&amp;SUBSTITUTE($C89," ","")&amp;";",";"&amp;SUBSTITUTE(P$7," ","")&amp;";")))),"—",IF(_xlfn.MAXIFS(Acuses!$C$5:$C$3004,Acuses!$A$5:$A$3004,$A89,Acuses!$B$5:$B$3004,P$4)&lt;P$5,"Pendiente",IF(P$8=0,"OK",IF(EDATE(_xlfn.MAXIFS(Acuses!$D$5:$D$3004,Acuses!$A$5:$A$3004,$A89,Acuses!$B$5:$B$3004,P$4,Acuses!$C$5:$C$3004,P$5),P$8)&lt;Resumen!$C$4,"Caducado",IF(EDATE(_xlfn.MAXIFS(Acuses!$D$5:$D$3004,Acuses!$A$5:$A$3004,$A89,Acuses!$B$5:$B$3004,P$4,Acuses!$C$5:$C$3004,P$5),P$8)&lt;Resumen!$C$4+30,"Caduca pronto","OK"))))))</f>
        <v/>
      </c>
      <c r="Q89" s="26" t="str">
        <f aca="false">IF(OR($A89="",Q$4=""),"",IF(NOT(OR(Q$6="Toda la plantilla",ISNUMBER(SEARCH(";"&amp;SUBSTITUTE($C89," ","")&amp;";",";"&amp;SUBSTITUTE(Q$7," ","")&amp;";")))),"—",IF(_xlfn.MAXIFS(Acuses!$C$5:$C$3004,Acuses!$A$5:$A$3004,$A89,Acuses!$B$5:$B$3004,Q$4)&lt;Q$5,"Pendiente",IF(Q$8=0,"OK",IF(EDATE(_xlfn.MAXIFS(Acuses!$D$5:$D$3004,Acuses!$A$5:$A$3004,$A89,Acuses!$B$5:$B$3004,Q$4,Acuses!$C$5:$C$3004,Q$5),Q$8)&lt;Resumen!$C$4,"Caducado",IF(EDATE(_xlfn.MAXIFS(Acuses!$D$5:$D$3004,Acuses!$A$5:$A$3004,$A89,Acuses!$B$5:$B$3004,Q$4,Acuses!$C$5:$C$3004,Q$5),Q$8)&lt;Resumen!$C$4+30,"Caduca pronto","OK"))))))</f>
        <v/>
      </c>
      <c r="R89" s="26" t="str">
        <f aca="false">IF(OR($A89="",R$4=""),"",IF(NOT(OR(R$6="Toda la plantilla",ISNUMBER(SEARCH(";"&amp;SUBSTITUTE($C89," ","")&amp;";",";"&amp;SUBSTITUTE(R$7," ","")&amp;";")))),"—",IF(_xlfn.MAXIFS(Acuses!$C$5:$C$3004,Acuses!$A$5:$A$3004,$A89,Acuses!$B$5:$B$3004,R$4)&lt;R$5,"Pendiente",IF(R$8=0,"OK",IF(EDATE(_xlfn.MAXIFS(Acuses!$D$5:$D$3004,Acuses!$A$5:$A$3004,$A89,Acuses!$B$5:$B$3004,R$4,Acuses!$C$5:$C$3004,R$5),R$8)&lt;Resumen!$C$4,"Caducado",IF(EDATE(_xlfn.MAXIFS(Acuses!$D$5:$D$3004,Acuses!$A$5:$A$3004,$A89,Acuses!$B$5:$B$3004,R$4,Acuses!$C$5:$C$3004,R$5),R$8)&lt;Resumen!$C$4+30,"Caduca pronto","OK"))))))</f>
        <v/>
      </c>
      <c r="S89" s="26" t="str">
        <f aca="false">IF(OR($A89="",S$4=""),"",IF(NOT(OR(S$6="Toda la plantilla",ISNUMBER(SEARCH(";"&amp;SUBSTITUTE($C89," ","")&amp;";",";"&amp;SUBSTITUTE(S$7," ","")&amp;";")))),"—",IF(_xlfn.MAXIFS(Acuses!$C$5:$C$3004,Acuses!$A$5:$A$3004,$A89,Acuses!$B$5:$B$3004,S$4)&lt;S$5,"Pendiente",IF(S$8=0,"OK",IF(EDATE(_xlfn.MAXIFS(Acuses!$D$5:$D$3004,Acuses!$A$5:$A$3004,$A89,Acuses!$B$5:$B$3004,S$4,Acuses!$C$5:$C$3004,S$5),S$8)&lt;Resumen!$C$4,"Caducado",IF(EDATE(_xlfn.MAXIFS(Acuses!$D$5:$D$3004,Acuses!$A$5:$A$3004,$A89,Acuses!$B$5:$B$3004,S$4,Acuses!$C$5:$C$3004,S$5),S$8)&lt;Resumen!$C$4+30,"Caduca pronto","OK"))))))</f>
        <v/>
      </c>
      <c r="T89" s="26" t="str">
        <f aca="false">IF(OR($A89="",T$4=""),"",IF(NOT(OR(T$6="Toda la plantilla",ISNUMBER(SEARCH(";"&amp;SUBSTITUTE($C89," ","")&amp;";",";"&amp;SUBSTITUTE(T$7," ","")&amp;";")))),"—",IF(_xlfn.MAXIFS(Acuses!$C$5:$C$3004,Acuses!$A$5:$A$3004,$A89,Acuses!$B$5:$B$3004,T$4)&lt;T$5,"Pendiente",IF(T$8=0,"OK",IF(EDATE(_xlfn.MAXIFS(Acuses!$D$5:$D$3004,Acuses!$A$5:$A$3004,$A89,Acuses!$B$5:$B$3004,T$4,Acuses!$C$5:$C$3004,T$5),T$8)&lt;Resumen!$C$4,"Caducado",IF(EDATE(_xlfn.MAXIFS(Acuses!$D$5:$D$3004,Acuses!$A$5:$A$3004,$A89,Acuses!$B$5:$B$3004,T$4,Acuses!$C$5:$C$3004,T$5),T$8)&lt;Resumen!$C$4+30,"Caduca pronto","OK"))))))</f>
        <v/>
      </c>
      <c r="U89" s="26" t="str">
        <f aca="false">IF(OR($A89="",U$4=""),"",IF(NOT(OR(U$6="Toda la plantilla",ISNUMBER(SEARCH(";"&amp;SUBSTITUTE($C89," ","")&amp;";",";"&amp;SUBSTITUTE(U$7," ","")&amp;";")))),"—",IF(_xlfn.MAXIFS(Acuses!$C$5:$C$3004,Acuses!$A$5:$A$3004,$A89,Acuses!$B$5:$B$3004,U$4)&lt;U$5,"Pendiente",IF(U$8=0,"OK",IF(EDATE(_xlfn.MAXIFS(Acuses!$D$5:$D$3004,Acuses!$A$5:$A$3004,$A89,Acuses!$B$5:$B$3004,U$4,Acuses!$C$5:$C$3004,U$5),U$8)&lt;Resumen!$C$4,"Caducado",IF(EDATE(_xlfn.MAXIFS(Acuses!$D$5:$D$3004,Acuses!$A$5:$A$3004,$A89,Acuses!$B$5:$B$3004,U$4,Acuses!$C$5:$C$3004,U$5),U$8)&lt;Resumen!$C$4+30,"Caduca pronto","OK"))))))</f>
        <v/>
      </c>
      <c r="V89" s="26" t="str">
        <f aca="false">IF(OR($A89="",V$4=""),"",IF(NOT(OR(V$6="Toda la plantilla",ISNUMBER(SEARCH(";"&amp;SUBSTITUTE($C89," ","")&amp;";",";"&amp;SUBSTITUTE(V$7," ","")&amp;";")))),"—",IF(_xlfn.MAXIFS(Acuses!$C$5:$C$3004,Acuses!$A$5:$A$3004,$A89,Acuses!$B$5:$B$3004,V$4)&lt;V$5,"Pendiente",IF(V$8=0,"OK",IF(EDATE(_xlfn.MAXIFS(Acuses!$D$5:$D$3004,Acuses!$A$5:$A$3004,$A89,Acuses!$B$5:$B$3004,V$4,Acuses!$C$5:$C$3004,V$5),V$8)&lt;Resumen!$C$4,"Caducado",IF(EDATE(_xlfn.MAXIFS(Acuses!$D$5:$D$3004,Acuses!$A$5:$A$3004,$A89,Acuses!$B$5:$B$3004,V$4,Acuses!$C$5:$C$3004,V$5),V$8)&lt;Resumen!$C$4+30,"Caduca pronto","OK"))))))</f>
        <v/>
      </c>
      <c r="W89" s="26" t="str">
        <f aca="false">IF(OR($A89="",W$4=""),"",IF(NOT(OR(W$6="Toda la plantilla",ISNUMBER(SEARCH(";"&amp;SUBSTITUTE($C89," ","")&amp;";",";"&amp;SUBSTITUTE(W$7," ","")&amp;";")))),"—",IF(_xlfn.MAXIFS(Acuses!$C$5:$C$3004,Acuses!$A$5:$A$3004,$A89,Acuses!$B$5:$B$3004,W$4)&lt;W$5,"Pendiente",IF(W$8=0,"OK",IF(EDATE(_xlfn.MAXIFS(Acuses!$D$5:$D$3004,Acuses!$A$5:$A$3004,$A89,Acuses!$B$5:$B$3004,W$4,Acuses!$C$5:$C$3004,W$5),W$8)&lt;Resumen!$C$4,"Caducado",IF(EDATE(_xlfn.MAXIFS(Acuses!$D$5:$D$3004,Acuses!$A$5:$A$3004,$A89,Acuses!$B$5:$B$3004,W$4,Acuses!$C$5:$C$3004,W$5),W$8)&lt;Resumen!$C$4+30,"Caduca pronto","OK"))))))</f>
        <v/>
      </c>
      <c r="X89" s="26" t="str">
        <f aca="false">IF(OR($A89="",X$4=""),"",IF(NOT(OR(X$6="Toda la plantilla",ISNUMBER(SEARCH(";"&amp;SUBSTITUTE($C89," ","")&amp;";",";"&amp;SUBSTITUTE(X$7," ","")&amp;";")))),"—",IF(_xlfn.MAXIFS(Acuses!$C$5:$C$3004,Acuses!$A$5:$A$3004,$A89,Acuses!$B$5:$B$3004,X$4)&lt;X$5,"Pendiente",IF(X$8=0,"OK",IF(EDATE(_xlfn.MAXIFS(Acuses!$D$5:$D$3004,Acuses!$A$5:$A$3004,$A89,Acuses!$B$5:$B$3004,X$4,Acuses!$C$5:$C$3004,X$5),X$8)&lt;Resumen!$C$4,"Caducado",IF(EDATE(_xlfn.MAXIFS(Acuses!$D$5:$D$3004,Acuses!$A$5:$A$3004,$A89,Acuses!$B$5:$B$3004,X$4,Acuses!$C$5:$C$3004,X$5),X$8)&lt;Resumen!$C$4+30,"Caduca pronto","OK"))))))</f>
        <v/>
      </c>
      <c r="Y89" s="26" t="str">
        <f aca="false">IF(OR($A89="",Y$4=""),"",IF(NOT(OR(Y$6="Toda la plantilla",ISNUMBER(SEARCH(";"&amp;SUBSTITUTE($C89," ","")&amp;";",";"&amp;SUBSTITUTE(Y$7," ","")&amp;";")))),"—",IF(_xlfn.MAXIFS(Acuses!$C$5:$C$3004,Acuses!$A$5:$A$3004,$A89,Acuses!$B$5:$B$3004,Y$4)&lt;Y$5,"Pendiente",IF(Y$8=0,"OK",IF(EDATE(_xlfn.MAXIFS(Acuses!$D$5:$D$3004,Acuses!$A$5:$A$3004,$A89,Acuses!$B$5:$B$3004,Y$4,Acuses!$C$5:$C$3004,Y$5),Y$8)&lt;Resumen!$C$4,"Caducado",IF(EDATE(_xlfn.MAXIFS(Acuses!$D$5:$D$3004,Acuses!$A$5:$A$3004,$A89,Acuses!$B$5:$B$3004,Y$4,Acuses!$C$5:$C$3004,Y$5),Y$8)&lt;Resumen!$C$4+30,"Caduca pronto","OK"))))))</f>
        <v/>
      </c>
      <c r="Z89" s="26" t="str">
        <f aca="false">IF(OR($A89="",Z$4=""),"",IF(NOT(OR(Z$6="Toda la plantilla",ISNUMBER(SEARCH(";"&amp;SUBSTITUTE($C89," ","")&amp;";",";"&amp;SUBSTITUTE(Z$7," ","")&amp;";")))),"—",IF(_xlfn.MAXIFS(Acuses!$C$5:$C$3004,Acuses!$A$5:$A$3004,$A89,Acuses!$B$5:$B$3004,Z$4)&lt;Z$5,"Pendiente",IF(Z$8=0,"OK",IF(EDATE(_xlfn.MAXIFS(Acuses!$D$5:$D$3004,Acuses!$A$5:$A$3004,$A89,Acuses!$B$5:$B$3004,Z$4,Acuses!$C$5:$C$3004,Z$5),Z$8)&lt;Resumen!$C$4,"Caducado",IF(EDATE(_xlfn.MAXIFS(Acuses!$D$5:$D$3004,Acuses!$A$5:$A$3004,$A89,Acuses!$B$5:$B$3004,Z$4,Acuses!$C$5:$C$3004,Z$5),Z$8)&lt;Resumen!$C$4+30,"Caduca pronto","OK"))))))</f>
        <v/>
      </c>
      <c r="AA89" s="26" t="str">
        <f aca="false">IF(OR($A89="",AA$4=""),"",IF(NOT(OR(AA$6="Toda la plantilla",ISNUMBER(SEARCH(";"&amp;SUBSTITUTE($C89," ","")&amp;";",";"&amp;SUBSTITUTE(AA$7," ","")&amp;";")))),"—",IF(_xlfn.MAXIFS(Acuses!$C$5:$C$3004,Acuses!$A$5:$A$3004,$A89,Acuses!$B$5:$B$3004,AA$4)&lt;AA$5,"Pendiente",IF(AA$8=0,"OK",IF(EDATE(_xlfn.MAXIFS(Acuses!$D$5:$D$3004,Acuses!$A$5:$A$3004,$A89,Acuses!$B$5:$B$3004,AA$4,Acuses!$C$5:$C$3004,AA$5),AA$8)&lt;Resumen!$C$4,"Caducado",IF(EDATE(_xlfn.MAXIFS(Acuses!$D$5:$D$3004,Acuses!$A$5:$A$3004,$A89,Acuses!$B$5:$B$3004,AA$4,Acuses!$C$5:$C$3004,AA$5),AA$8)&lt;Resumen!$C$4+30,"Caduca pronto","OK"))))))</f>
        <v/>
      </c>
      <c r="AB89" s="26" t="str">
        <f aca="false">IF(OR($A89="",AB$4=""),"",IF(NOT(OR(AB$6="Toda la plantilla",ISNUMBER(SEARCH(";"&amp;SUBSTITUTE($C89," ","")&amp;";",";"&amp;SUBSTITUTE(AB$7," ","")&amp;";")))),"—",IF(_xlfn.MAXIFS(Acuses!$C$5:$C$3004,Acuses!$A$5:$A$3004,$A89,Acuses!$B$5:$B$3004,AB$4)&lt;AB$5,"Pendiente",IF(AB$8=0,"OK",IF(EDATE(_xlfn.MAXIFS(Acuses!$D$5:$D$3004,Acuses!$A$5:$A$3004,$A89,Acuses!$B$5:$B$3004,AB$4,Acuses!$C$5:$C$3004,AB$5),AB$8)&lt;Resumen!$C$4,"Caducado",IF(EDATE(_xlfn.MAXIFS(Acuses!$D$5:$D$3004,Acuses!$A$5:$A$3004,$A89,Acuses!$B$5:$B$3004,AB$4,Acuses!$C$5:$C$3004,AB$5),AB$8)&lt;Resumen!$C$4+30,"Caduca pronto","OK"))))))</f>
        <v/>
      </c>
      <c r="AC89" s="26" t="str">
        <f aca="false">IF(OR($A89="",AC$4=""),"",IF(NOT(OR(AC$6="Toda la plantilla",ISNUMBER(SEARCH(";"&amp;SUBSTITUTE($C89," ","")&amp;";",";"&amp;SUBSTITUTE(AC$7," ","")&amp;";")))),"—",IF(_xlfn.MAXIFS(Acuses!$C$5:$C$3004,Acuses!$A$5:$A$3004,$A89,Acuses!$B$5:$B$3004,AC$4)&lt;AC$5,"Pendiente",IF(AC$8=0,"OK",IF(EDATE(_xlfn.MAXIFS(Acuses!$D$5:$D$3004,Acuses!$A$5:$A$3004,$A89,Acuses!$B$5:$B$3004,AC$4,Acuses!$C$5:$C$3004,AC$5),AC$8)&lt;Resumen!$C$4,"Caducado",IF(EDATE(_xlfn.MAXIFS(Acuses!$D$5:$D$3004,Acuses!$A$5:$A$3004,$A89,Acuses!$B$5:$B$3004,AC$4,Acuses!$C$5:$C$3004,AC$5),AC$8)&lt;Resumen!$C$4+30,"Caduca pronto","OK"))))))</f>
        <v/>
      </c>
      <c r="AD89" s="26" t="str">
        <f aca="false">IF(OR($A89="",AD$4=""),"",IF(NOT(OR(AD$6="Toda la plantilla",ISNUMBER(SEARCH(";"&amp;SUBSTITUTE($C89," ","")&amp;";",";"&amp;SUBSTITUTE(AD$7," ","")&amp;";")))),"—",IF(_xlfn.MAXIFS(Acuses!$C$5:$C$3004,Acuses!$A$5:$A$3004,$A89,Acuses!$B$5:$B$3004,AD$4)&lt;AD$5,"Pendiente",IF(AD$8=0,"OK",IF(EDATE(_xlfn.MAXIFS(Acuses!$D$5:$D$3004,Acuses!$A$5:$A$3004,$A89,Acuses!$B$5:$B$3004,AD$4,Acuses!$C$5:$C$3004,AD$5),AD$8)&lt;Resumen!$C$4,"Caducado",IF(EDATE(_xlfn.MAXIFS(Acuses!$D$5:$D$3004,Acuses!$A$5:$A$3004,$A89,Acuses!$B$5:$B$3004,AD$4,Acuses!$C$5:$C$3004,AD$5),AD$8)&lt;Resumen!$C$4+30,"Caduca pronto","OK"))))))</f>
        <v/>
      </c>
      <c r="AE89" s="26" t="str">
        <f aca="false">IF(OR($A89="",AE$4=""),"",IF(NOT(OR(AE$6="Toda la plantilla",ISNUMBER(SEARCH(";"&amp;SUBSTITUTE($C89," ","")&amp;";",";"&amp;SUBSTITUTE(AE$7," ","")&amp;";")))),"—",IF(_xlfn.MAXIFS(Acuses!$C$5:$C$3004,Acuses!$A$5:$A$3004,$A89,Acuses!$B$5:$B$3004,AE$4)&lt;AE$5,"Pendiente",IF(AE$8=0,"OK",IF(EDATE(_xlfn.MAXIFS(Acuses!$D$5:$D$3004,Acuses!$A$5:$A$3004,$A89,Acuses!$B$5:$B$3004,AE$4,Acuses!$C$5:$C$3004,AE$5),AE$8)&lt;Resumen!$C$4,"Caducado",IF(EDATE(_xlfn.MAXIFS(Acuses!$D$5:$D$3004,Acuses!$A$5:$A$3004,$A89,Acuses!$B$5:$B$3004,AE$4,Acuses!$C$5:$C$3004,AE$5),AE$8)&lt;Resumen!$C$4+30,"Caduca pronto","OK"))))))</f>
        <v/>
      </c>
      <c r="AF89" s="26" t="str">
        <f aca="false">IF(OR($A89="",AF$4=""),"",IF(NOT(OR(AF$6="Toda la plantilla",ISNUMBER(SEARCH(";"&amp;SUBSTITUTE($C89," ","")&amp;";",";"&amp;SUBSTITUTE(AF$7," ","")&amp;";")))),"—",IF(_xlfn.MAXIFS(Acuses!$C$5:$C$3004,Acuses!$A$5:$A$3004,$A89,Acuses!$B$5:$B$3004,AF$4)&lt;AF$5,"Pendiente",IF(AF$8=0,"OK",IF(EDATE(_xlfn.MAXIFS(Acuses!$D$5:$D$3004,Acuses!$A$5:$A$3004,$A89,Acuses!$B$5:$B$3004,AF$4,Acuses!$C$5:$C$3004,AF$5),AF$8)&lt;Resumen!$C$4,"Caducado",IF(EDATE(_xlfn.MAXIFS(Acuses!$D$5:$D$3004,Acuses!$A$5:$A$3004,$A89,Acuses!$B$5:$B$3004,AF$4,Acuses!$C$5:$C$3004,AF$5),AF$8)&lt;Resumen!$C$4+30,"Caduca pronto","OK"))))))</f>
        <v/>
      </c>
      <c r="AG89" s="26" t="str">
        <f aca="false">IF(OR($A89="",AG$4=""),"",IF(NOT(OR(AG$6="Toda la plantilla",ISNUMBER(SEARCH(";"&amp;SUBSTITUTE($C89," ","")&amp;";",";"&amp;SUBSTITUTE(AG$7," ","")&amp;";")))),"—",IF(_xlfn.MAXIFS(Acuses!$C$5:$C$3004,Acuses!$A$5:$A$3004,$A89,Acuses!$B$5:$B$3004,AG$4)&lt;AG$5,"Pendiente",IF(AG$8=0,"OK",IF(EDATE(_xlfn.MAXIFS(Acuses!$D$5:$D$3004,Acuses!$A$5:$A$3004,$A89,Acuses!$B$5:$B$3004,AG$4,Acuses!$C$5:$C$3004,AG$5),AG$8)&lt;Resumen!$C$4,"Caducado",IF(EDATE(_xlfn.MAXIFS(Acuses!$D$5:$D$3004,Acuses!$A$5:$A$3004,$A89,Acuses!$B$5:$B$3004,AG$4,Acuses!$C$5:$C$3004,AG$5),AG$8)&lt;Resumen!$C$4+30,"Caduca pronto","OK"))))))</f>
        <v/>
      </c>
      <c r="AH89" s="26" t="str">
        <f aca="false">IF(OR($A89="",AH$4=""),"",IF(NOT(OR(AH$6="Toda la plantilla",ISNUMBER(SEARCH(";"&amp;SUBSTITUTE($C89," ","")&amp;";",";"&amp;SUBSTITUTE(AH$7," ","")&amp;";")))),"—",IF(_xlfn.MAXIFS(Acuses!$C$5:$C$3004,Acuses!$A$5:$A$3004,$A89,Acuses!$B$5:$B$3004,AH$4)&lt;AH$5,"Pendiente",IF(AH$8=0,"OK",IF(EDATE(_xlfn.MAXIFS(Acuses!$D$5:$D$3004,Acuses!$A$5:$A$3004,$A89,Acuses!$B$5:$B$3004,AH$4,Acuses!$C$5:$C$3004,AH$5),AH$8)&lt;Resumen!$C$4,"Caducado",IF(EDATE(_xlfn.MAXIFS(Acuses!$D$5:$D$3004,Acuses!$A$5:$A$3004,$A89,Acuses!$B$5:$B$3004,AH$4,Acuses!$C$5:$C$3004,AH$5),AH$8)&lt;Resumen!$C$4+30,"Caduca pronto","OK"))))))</f>
        <v/>
      </c>
      <c r="AI89" s="26" t="str">
        <f aca="false">IF(OR($A89="",AI$4=""),"",IF(NOT(OR(AI$6="Toda la plantilla",ISNUMBER(SEARCH(";"&amp;SUBSTITUTE($C89," ","")&amp;";",";"&amp;SUBSTITUTE(AI$7," ","")&amp;";")))),"—",IF(_xlfn.MAXIFS(Acuses!$C$5:$C$3004,Acuses!$A$5:$A$3004,$A89,Acuses!$B$5:$B$3004,AI$4)&lt;AI$5,"Pendiente",IF(AI$8=0,"OK",IF(EDATE(_xlfn.MAXIFS(Acuses!$D$5:$D$3004,Acuses!$A$5:$A$3004,$A89,Acuses!$B$5:$B$3004,AI$4,Acuses!$C$5:$C$3004,AI$5),AI$8)&lt;Resumen!$C$4,"Caducado",IF(EDATE(_xlfn.MAXIFS(Acuses!$D$5:$D$3004,Acuses!$A$5:$A$3004,$A89,Acuses!$B$5:$B$3004,AI$4,Acuses!$C$5:$C$3004,AI$5),AI$8)&lt;Resumen!$C$4+30,"Caduca pronto","OK"))))))</f>
        <v/>
      </c>
      <c r="AJ89" s="26" t="str">
        <f aca="false">IF(OR($A89="",AJ$4=""),"",IF(NOT(OR(AJ$6="Toda la plantilla",ISNUMBER(SEARCH(";"&amp;SUBSTITUTE($C89," ","")&amp;";",";"&amp;SUBSTITUTE(AJ$7," ","")&amp;";")))),"—",IF(_xlfn.MAXIFS(Acuses!$C$5:$C$3004,Acuses!$A$5:$A$3004,$A89,Acuses!$B$5:$B$3004,AJ$4)&lt;AJ$5,"Pendiente",IF(AJ$8=0,"OK",IF(EDATE(_xlfn.MAXIFS(Acuses!$D$5:$D$3004,Acuses!$A$5:$A$3004,$A89,Acuses!$B$5:$B$3004,AJ$4,Acuses!$C$5:$C$3004,AJ$5),AJ$8)&lt;Resumen!$C$4,"Caducado",IF(EDATE(_xlfn.MAXIFS(Acuses!$D$5:$D$3004,Acuses!$A$5:$A$3004,$A89,Acuses!$B$5:$B$3004,AJ$4,Acuses!$C$5:$C$3004,AJ$5),AJ$8)&lt;Resumen!$C$4+30,"Caduca pronto","OK"))))))</f>
        <v/>
      </c>
      <c r="AK89" s="26" t="str">
        <f aca="false">IF(OR($A89="",AK$4=""),"",IF(NOT(OR(AK$6="Toda la plantilla",ISNUMBER(SEARCH(";"&amp;SUBSTITUTE($C89," ","")&amp;";",";"&amp;SUBSTITUTE(AK$7," ","")&amp;";")))),"—",IF(_xlfn.MAXIFS(Acuses!$C$5:$C$3004,Acuses!$A$5:$A$3004,$A89,Acuses!$B$5:$B$3004,AK$4)&lt;AK$5,"Pendiente",IF(AK$8=0,"OK",IF(EDATE(_xlfn.MAXIFS(Acuses!$D$5:$D$3004,Acuses!$A$5:$A$3004,$A89,Acuses!$B$5:$B$3004,AK$4,Acuses!$C$5:$C$3004,AK$5),AK$8)&lt;Resumen!$C$4,"Caducado",IF(EDATE(_xlfn.MAXIFS(Acuses!$D$5:$D$3004,Acuses!$A$5:$A$3004,$A89,Acuses!$B$5:$B$3004,AK$4,Acuses!$C$5:$C$3004,AK$5),AK$8)&lt;Resumen!$C$4+30,"Caduca pronto","OK"))))))</f>
        <v/>
      </c>
      <c r="AL89" s="26" t="str">
        <f aca="false">IF(OR($A89="",AL$4=""),"",IF(NOT(OR(AL$6="Toda la plantilla",ISNUMBER(SEARCH(";"&amp;SUBSTITUTE($C89," ","")&amp;";",";"&amp;SUBSTITUTE(AL$7," ","")&amp;";")))),"—",IF(_xlfn.MAXIFS(Acuses!$C$5:$C$3004,Acuses!$A$5:$A$3004,$A89,Acuses!$B$5:$B$3004,AL$4)&lt;AL$5,"Pendiente",IF(AL$8=0,"OK",IF(EDATE(_xlfn.MAXIFS(Acuses!$D$5:$D$3004,Acuses!$A$5:$A$3004,$A89,Acuses!$B$5:$B$3004,AL$4,Acuses!$C$5:$C$3004,AL$5),AL$8)&lt;Resumen!$C$4,"Caducado",IF(EDATE(_xlfn.MAXIFS(Acuses!$D$5:$D$3004,Acuses!$A$5:$A$3004,$A89,Acuses!$B$5:$B$3004,AL$4,Acuses!$C$5:$C$3004,AL$5),AL$8)&lt;Resumen!$C$4+30,"Caduca pronto","OK"))))))</f>
        <v/>
      </c>
      <c r="AM89" s="26" t="str">
        <f aca="false">IF(OR($A89="",AM$4=""),"",IF(NOT(OR(AM$6="Toda la plantilla",ISNUMBER(SEARCH(";"&amp;SUBSTITUTE($C89," ","")&amp;";",";"&amp;SUBSTITUTE(AM$7," ","")&amp;";")))),"—",IF(_xlfn.MAXIFS(Acuses!$C$5:$C$3004,Acuses!$A$5:$A$3004,$A89,Acuses!$B$5:$B$3004,AM$4)&lt;AM$5,"Pendiente",IF(AM$8=0,"OK",IF(EDATE(_xlfn.MAXIFS(Acuses!$D$5:$D$3004,Acuses!$A$5:$A$3004,$A89,Acuses!$B$5:$B$3004,AM$4,Acuses!$C$5:$C$3004,AM$5),AM$8)&lt;Resumen!$C$4,"Caducado",IF(EDATE(_xlfn.MAXIFS(Acuses!$D$5:$D$3004,Acuses!$A$5:$A$3004,$A89,Acuses!$B$5:$B$3004,AM$4,Acuses!$C$5:$C$3004,AM$5),AM$8)&lt;Resumen!$C$4+30,"Caduca pronto","OK"))))))</f>
        <v/>
      </c>
      <c r="AN89" s="26" t="str">
        <f aca="false">IF(OR($A89="",AN$4=""),"",IF(NOT(OR(AN$6="Toda la plantilla",ISNUMBER(SEARCH(";"&amp;SUBSTITUTE($C89," ","")&amp;";",";"&amp;SUBSTITUTE(AN$7," ","")&amp;";")))),"—",IF(_xlfn.MAXIFS(Acuses!$C$5:$C$3004,Acuses!$A$5:$A$3004,$A89,Acuses!$B$5:$B$3004,AN$4)&lt;AN$5,"Pendiente",IF(AN$8=0,"OK",IF(EDATE(_xlfn.MAXIFS(Acuses!$D$5:$D$3004,Acuses!$A$5:$A$3004,$A89,Acuses!$B$5:$B$3004,AN$4,Acuses!$C$5:$C$3004,AN$5),AN$8)&lt;Resumen!$C$4,"Caducado",IF(EDATE(_xlfn.MAXIFS(Acuses!$D$5:$D$3004,Acuses!$A$5:$A$3004,$A89,Acuses!$B$5:$B$3004,AN$4,Acuses!$C$5:$C$3004,AN$5),AN$8)&lt;Resumen!$C$4+30,"Caduca pronto","OK"))))))</f>
        <v/>
      </c>
      <c r="AO89" s="26" t="str">
        <f aca="false">IF(OR($A89="",AO$4=""),"",IF(NOT(OR(AO$6="Toda la plantilla",ISNUMBER(SEARCH(";"&amp;SUBSTITUTE($C89," ","")&amp;";",";"&amp;SUBSTITUTE(AO$7," ","")&amp;";")))),"—",IF(_xlfn.MAXIFS(Acuses!$C$5:$C$3004,Acuses!$A$5:$A$3004,$A89,Acuses!$B$5:$B$3004,AO$4)&lt;AO$5,"Pendiente",IF(AO$8=0,"OK",IF(EDATE(_xlfn.MAXIFS(Acuses!$D$5:$D$3004,Acuses!$A$5:$A$3004,$A89,Acuses!$B$5:$B$3004,AO$4,Acuses!$C$5:$C$3004,AO$5),AO$8)&lt;Resumen!$C$4,"Caducado",IF(EDATE(_xlfn.MAXIFS(Acuses!$D$5:$D$3004,Acuses!$A$5:$A$3004,$A89,Acuses!$B$5:$B$3004,AO$4,Acuses!$C$5:$C$3004,AO$5),AO$8)&lt;Resumen!$C$4+30,"Caduca pronto","OK"))))))</f>
        <v/>
      </c>
      <c r="AP89" s="26" t="str">
        <f aca="false">IF(OR($A89="",AP$4=""),"",IF(NOT(OR(AP$6="Toda la plantilla",ISNUMBER(SEARCH(";"&amp;SUBSTITUTE($C89," ","")&amp;";",";"&amp;SUBSTITUTE(AP$7," ","")&amp;";")))),"—",IF(_xlfn.MAXIFS(Acuses!$C$5:$C$3004,Acuses!$A$5:$A$3004,$A89,Acuses!$B$5:$B$3004,AP$4)&lt;AP$5,"Pendiente",IF(AP$8=0,"OK",IF(EDATE(_xlfn.MAXIFS(Acuses!$D$5:$D$3004,Acuses!$A$5:$A$3004,$A89,Acuses!$B$5:$B$3004,AP$4,Acuses!$C$5:$C$3004,AP$5),AP$8)&lt;Resumen!$C$4,"Caducado",IF(EDATE(_xlfn.MAXIFS(Acuses!$D$5:$D$3004,Acuses!$A$5:$A$3004,$A89,Acuses!$B$5:$B$3004,AP$4,Acuses!$C$5:$C$3004,AP$5),AP$8)&lt;Resumen!$C$4+30,"Caduca pronto","OK"))))))</f>
        <v/>
      </c>
      <c r="AQ89" s="26" t="str">
        <f aca="false">IF(OR($A89="",AQ$4=""),"",IF(NOT(OR(AQ$6="Toda la plantilla",ISNUMBER(SEARCH(";"&amp;SUBSTITUTE($C89," ","")&amp;";",";"&amp;SUBSTITUTE(AQ$7," ","")&amp;";")))),"—",IF(_xlfn.MAXIFS(Acuses!$C$5:$C$3004,Acuses!$A$5:$A$3004,$A89,Acuses!$B$5:$B$3004,AQ$4)&lt;AQ$5,"Pendiente",IF(AQ$8=0,"OK",IF(EDATE(_xlfn.MAXIFS(Acuses!$D$5:$D$3004,Acuses!$A$5:$A$3004,$A89,Acuses!$B$5:$B$3004,AQ$4,Acuses!$C$5:$C$3004,AQ$5),AQ$8)&lt;Resumen!$C$4,"Caducado",IF(EDATE(_xlfn.MAXIFS(Acuses!$D$5:$D$3004,Acuses!$A$5:$A$3004,$A89,Acuses!$B$5:$B$3004,AQ$4,Acuses!$C$5:$C$3004,AQ$5),AQ$8)&lt;Resumen!$C$4+30,"Caduca pronto","OK"))))))</f>
        <v/>
      </c>
    </row>
    <row r="90" customFormat="false" ht="15" hidden="false" customHeight="false" outlineLevel="0" collapsed="false">
      <c r="A90" s="25" t="str">
        <f aca="false">IF(AND(Trabajadores!$A$85&lt;&gt;"",Trabajadores!$G$85&lt;&gt;"No"),Trabajadores!$A$85,"")</f>
        <v/>
      </c>
      <c r="B90" s="25" t="str">
        <f aca="false">IF($A90="","",Trabajadores!$B$85)</f>
        <v/>
      </c>
      <c r="C90" s="25" t="str">
        <f aca="false">IF($A90="","",Trabajadores!$C$85)</f>
        <v/>
      </c>
      <c r="D90" s="26" t="str">
        <f aca="false">IF(OR($A90="",D$4=""),"",IF(NOT(OR(D$6="Toda la plantilla",ISNUMBER(SEARCH(";"&amp;SUBSTITUTE($C90," ","")&amp;";",";"&amp;SUBSTITUTE(D$7," ","")&amp;";")))),"—",IF(_xlfn.MAXIFS(Acuses!$C$5:$C$3004,Acuses!$A$5:$A$3004,$A90,Acuses!$B$5:$B$3004,D$4)&lt;D$5,"Pendiente",IF(D$8=0,"OK",IF(EDATE(_xlfn.MAXIFS(Acuses!$D$5:$D$3004,Acuses!$A$5:$A$3004,$A90,Acuses!$B$5:$B$3004,D$4,Acuses!$C$5:$C$3004,D$5),D$8)&lt;Resumen!$C$4,"Caducado",IF(EDATE(_xlfn.MAXIFS(Acuses!$D$5:$D$3004,Acuses!$A$5:$A$3004,$A90,Acuses!$B$5:$B$3004,D$4,Acuses!$C$5:$C$3004,D$5),D$8)&lt;Resumen!$C$4+30,"Caduca pronto","OK"))))))</f>
        <v/>
      </c>
      <c r="E90" s="26" t="str">
        <f aca="false">IF(OR($A90="",E$4=""),"",IF(NOT(OR(E$6="Toda la plantilla",ISNUMBER(SEARCH(";"&amp;SUBSTITUTE($C90," ","")&amp;";",";"&amp;SUBSTITUTE(E$7," ","")&amp;";")))),"—",IF(_xlfn.MAXIFS(Acuses!$C$5:$C$3004,Acuses!$A$5:$A$3004,$A90,Acuses!$B$5:$B$3004,E$4)&lt;E$5,"Pendiente",IF(E$8=0,"OK",IF(EDATE(_xlfn.MAXIFS(Acuses!$D$5:$D$3004,Acuses!$A$5:$A$3004,$A90,Acuses!$B$5:$B$3004,E$4,Acuses!$C$5:$C$3004,E$5),E$8)&lt;Resumen!$C$4,"Caducado",IF(EDATE(_xlfn.MAXIFS(Acuses!$D$5:$D$3004,Acuses!$A$5:$A$3004,$A90,Acuses!$B$5:$B$3004,E$4,Acuses!$C$5:$C$3004,E$5),E$8)&lt;Resumen!$C$4+30,"Caduca pronto","OK"))))))</f>
        <v/>
      </c>
      <c r="F90" s="26" t="str">
        <f aca="false">IF(OR($A90="",F$4=""),"",IF(NOT(OR(F$6="Toda la plantilla",ISNUMBER(SEARCH(";"&amp;SUBSTITUTE($C90," ","")&amp;";",";"&amp;SUBSTITUTE(F$7," ","")&amp;";")))),"—",IF(_xlfn.MAXIFS(Acuses!$C$5:$C$3004,Acuses!$A$5:$A$3004,$A90,Acuses!$B$5:$B$3004,F$4)&lt;F$5,"Pendiente",IF(F$8=0,"OK",IF(EDATE(_xlfn.MAXIFS(Acuses!$D$5:$D$3004,Acuses!$A$5:$A$3004,$A90,Acuses!$B$5:$B$3004,F$4,Acuses!$C$5:$C$3004,F$5),F$8)&lt;Resumen!$C$4,"Caducado",IF(EDATE(_xlfn.MAXIFS(Acuses!$D$5:$D$3004,Acuses!$A$5:$A$3004,$A90,Acuses!$B$5:$B$3004,F$4,Acuses!$C$5:$C$3004,F$5),F$8)&lt;Resumen!$C$4+30,"Caduca pronto","OK"))))))</f>
        <v/>
      </c>
      <c r="G90" s="26" t="str">
        <f aca="false">IF(OR($A90="",G$4=""),"",IF(NOT(OR(G$6="Toda la plantilla",ISNUMBER(SEARCH(";"&amp;SUBSTITUTE($C90," ","")&amp;";",";"&amp;SUBSTITUTE(G$7," ","")&amp;";")))),"—",IF(_xlfn.MAXIFS(Acuses!$C$5:$C$3004,Acuses!$A$5:$A$3004,$A90,Acuses!$B$5:$B$3004,G$4)&lt;G$5,"Pendiente",IF(G$8=0,"OK",IF(EDATE(_xlfn.MAXIFS(Acuses!$D$5:$D$3004,Acuses!$A$5:$A$3004,$A90,Acuses!$B$5:$B$3004,G$4,Acuses!$C$5:$C$3004,G$5),G$8)&lt;Resumen!$C$4,"Caducado",IF(EDATE(_xlfn.MAXIFS(Acuses!$D$5:$D$3004,Acuses!$A$5:$A$3004,$A90,Acuses!$B$5:$B$3004,G$4,Acuses!$C$5:$C$3004,G$5),G$8)&lt;Resumen!$C$4+30,"Caduca pronto","OK"))))))</f>
        <v/>
      </c>
      <c r="H90" s="26" t="str">
        <f aca="false">IF(OR($A90="",H$4=""),"",IF(NOT(OR(H$6="Toda la plantilla",ISNUMBER(SEARCH(";"&amp;SUBSTITUTE($C90," ","")&amp;";",";"&amp;SUBSTITUTE(H$7," ","")&amp;";")))),"—",IF(_xlfn.MAXIFS(Acuses!$C$5:$C$3004,Acuses!$A$5:$A$3004,$A90,Acuses!$B$5:$B$3004,H$4)&lt;H$5,"Pendiente",IF(H$8=0,"OK",IF(EDATE(_xlfn.MAXIFS(Acuses!$D$5:$D$3004,Acuses!$A$5:$A$3004,$A90,Acuses!$B$5:$B$3004,H$4,Acuses!$C$5:$C$3004,H$5),H$8)&lt;Resumen!$C$4,"Caducado",IF(EDATE(_xlfn.MAXIFS(Acuses!$D$5:$D$3004,Acuses!$A$5:$A$3004,$A90,Acuses!$B$5:$B$3004,H$4,Acuses!$C$5:$C$3004,H$5),H$8)&lt;Resumen!$C$4+30,"Caduca pronto","OK"))))))</f>
        <v/>
      </c>
      <c r="I90" s="26" t="str">
        <f aca="false">IF(OR($A90="",I$4=""),"",IF(NOT(OR(I$6="Toda la plantilla",ISNUMBER(SEARCH(";"&amp;SUBSTITUTE($C90," ","")&amp;";",";"&amp;SUBSTITUTE(I$7," ","")&amp;";")))),"—",IF(_xlfn.MAXIFS(Acuses!$C$5:$C$3004,Acuses!$A$5:$A$3004,$A90,Acuses!$B$5:$B$3004,I$4)&lt;I$5,"Pendiente",IF(I$8=0,"OK",IF(EDATE(_xlfn.MAXIFS(Acuses!$D$5:$D$3004,Acuses!$A$5:$A$3004,$A90,Acuses!$B$5:$B$3004,I$4,Acuses!$C$5:$C$3004,I$5),I$8)&lt;Resumen!$C$4,"Caducado",IF(EDATE(_xlfn.MAXIFS(Acuses!$D$5:$D$3004,Acuses!$A$5:$A$3004,$A90,Acuses!$B$5:$B$3004,I$4,Acuses!$C$5:$C$3004,I$5),I$8)&lt;Resumen!$C$4+30,"Caduca pronto","OK"))))))</f>
        <v/>
      </c>
      <c r="J90" s="26" t="str">
        <f aca="false">IF(OR($A90="",J$4=""),"",IF(NOT(OR(J$6="Toda la plantilla",ISNUMBER(SEARCH(";"&amp;SUBSTITUTE($C90," ","")&amp;";",";"&amp;SUBSTITUTE(J$7," ","")&amp;";")))),"—",IF(_xlfn.MAXIFS(Acuses!$C$5:$C$3004,Acuses!$A$5:$A$3004,$A90,Acuses!$B$5:$B$3004,J$4)&lt;J$5,"Pendiente",IF(J$8=0,"OK",IF(EDATE(_xlfn.MAXIFS(Acuses!$D$5:$D$3004,Acuses!$A$5:$A$3004,$A90,Acuses!$B$5:$B$3004,J$4,Acuses!$C$5:$C$3004,J$5),J$8)&lt;Resumen!$C$4,"Caducado",IF(EDATE(_xlfn.MAXIFS(Acuses!$D$5:$D$3004,Acuses!$A$5:$A$3004,$A90,Acuses!$B$5:$B$3004,J$4,Acuses!$C$5:$C$3004,J$5),J$8)&lt;Resumen!$C$4+30,"Caduca pronto","OK"))))))</f>
        <v/>
      </c>
      <c r="K90" s="26" t="str">
        <f aca="false">IF(OR($A90="",K$4=""),"",IF(NOT(OR(K$6="Toda la plantilla",ISNUMBER(SEARCH(";"&amp;SUBSTITUTE($C90," ","")&amp;";",";"&amp;SUBSTITUTE(K$7," ","")&amp;";")))),"—",IF(_xlfn.MAXIFS(Acuses!$C$5:$C$3004,Acuses!$A$5:$A$3004,$A90,Acuses!$B$5:$B$3004,K$4)&lt;K$5,"Pendiente",IF(K$8=0,"OK",IF(EDATE(_xlfn.MAXIFS(Acuses!$D$5:$D$3004,Acuses!$A$5:$A$3004,$A90,Acuses!$B$5:$B$3004,K$4,Acuses!$C$5:$C$3004,K$5),K$8)&lt;Resumen!$C$4,"Caducado",IF(EDATE(_xlfn.MAXIFS(Acuses!$D$5:$D$3004,Acuses!$A$5:$A$3004,$A90,Acuses!$B$5:$B$3004,K$4,Acuses!$C$5:$C$3004,K$5),K$8)&lt;Resumen!$C$4+30,"Caduca pronto","OK"))))))</f>
        <v/>
      </c>
      <c r="L90" s="26" t="str">
        <f aca="false">IF(OR($A90="",L$4=""),"",IF(NOT(OR(L$6="Toda la plantilla",ISNUMBER(SEARCH(";"&amp;SUBSTITUTE($C90," ","")&amp;";",";"&amp;SUBSTITUTE(L$7," ","")&amp;";")))),"—",IF(_xlfn.MAXIFS(Acuses!$C$5:$C$3004,Acuses!$A$5:$A$3004,$A90,Acuses!$B$5:$B$3004,L$4)&lt;L$5,"Pendiente",IF(L$8=0,"OK",IF(EDATE(_xlfn.MAXIFS(Acuses!$D$5:$D$3004,Acuses!$A$5:$A$3004,$A90,Acuses!$B$5:$B$3004,L$4,Acuses!$C$5:$C$3004,L$5),L$8)&lt;Resumen!$C$4,"Caducado",IF(EDATE(_xlfn.MAXIFS(Acuses!$D$5:$D$3004,Acuses!$A$5:$A$3004,$A90,Acuses!$B$5:$B$3004,L$4,Acuses!$C$5:$C$3004,L$5),L$8)&lt;Resumen!$C$4+30,"Caduca pronto","OK"))))))</f>
        <v/>
      </c>
      <c r="M90" s="26" t="str">
        <f aca="false">IF(OR($A90="",M$4=""),"",IF(NOT(OR(M$6="Toda la plantilla",ISNUMBER(SEARCH(";"&amp;SUBSTITUTE($C90," ","")&amp;";",";"&amp;SUBSTITUTE(M$7," ","")&amp;";")))),"—",IF(_xlfn.MAXIFS(Acuses!$C$5:$C$3004,Acuses!$A$5:$A$3004,$A90,Acuses!$B$5:$B$3004,M$4)&lt;M$5,"Pendiente",IF(M$8=0,"OK",IF(EDATE(_xlfn.MAXIFS(Acuses!$D$5:$D$3004,Acuses!$A$5:$A$3004,$A90,Acuses!$B$5:$B$3004,M$4,Acuses!$C$5:$C$3004,M$5),M$8)&lt;Resumen!$C$4,"Caducado",IF(EDATE(_xlfn.MAXIFS(Acuses!$D$5:$D$3004,Acuses!$A$5:$A$3004,$A90,Acuses!$B$5:$B$3004,M$4,Acuses!$C$5:$C$3004,M$5),M$8)&lt;Resumen!$C$4+30,"Caduca pronto","OK"))))))</f>
        <v/>
      </c>
      <c r="N90" s="26" t="str">
        <f aca="false">IF(OR($A90="",N$4=""),"",IF(NOT(OR(N$6="Toda la plantilla",ISNUMBER(SEARCH(";"&amp;SUBSTITUTE($C90," ","")&amp;";",";"&amp;SUBSTITUTE(N$7," ","")&amp;";")))),"—",IF(_xlfn.MAXIFS(Acuses!$C$5:$C$3004,Acuses!$A$5:$A$3004,$A90,Acuses!$B$5:$B$3004,N$4)&lt;N$5,"Pendiente",IF(N$8=0,"OK",IF(EDATE(_xlfn.MAXIFS(Acuses!$D$5:$D$3004,Acuses!$A$5:$A$3004,$A90,Acuses!$B$5:$B$3004,N$4,Acuses!$C$5:$C$3004,N$5),N$8)&lt;Resumen!$C$4,"Caducado",IF(EDATE(_xlfn.MAXIFS(Acuses!$D$5:$D$3004,Acuses!$A$5:$A$3004,$A90,Acuses!$B$5:$B$3004,N$4,Acuses!$C$5:$C$3004,N$5),N$8)&lt;Resumen!$C$4+30,"Caduca pronto","OK"))))))</f>
        <v/>
      </c>
      <c r="O90" s="26" t="str">
        <f aca="false">IF(OR($A90="",O$4=""),"",IF(NOT(OR(O$6="Toda la plantilla",ISNUMBER(SEARCH(";"&amp;SUBSTITUTE($C90," ","")&amp;";",";"&amp;SUBSTITUTE(O$7," ","")&amp;";")))),"—",IF(_xlfn.MAXIFS(Acuses!$C$5:$C$3004,Acuses!$A$5:$A$3004,$A90,Acuses!$B$5:$B$3004,O$4)&lt;O$5,"Pendiente",IF(O$8=0,"OK",IF(EDATE(_xlfn.MAXIFS(Acuses!$D$5:$D$3004,Acuses!$A$5:$A$3004,$A90,Acuses!$B$5:$B$3004,O$4,Acuses!$C$5:$C$3004,O$5),O$8)&lt;Resumen!$C$4,"Caducado",IF(EDATE(_xlfn.MAXIFS(Acuses!$D$5:$D$3004,Acuses!$A$5:$A$3004,$A90,Acuses!$B$5:$B$3004,O$4,Acuses!$C$5:$C$3004,O$5),O$8)&lt;Resumen!$C$4+30,"Caduca pronto","OK"))))))</f>
        <v/>
      </c>
      <c r="P90" s="26" t="str">
        <f aca="false">IF(OR($A90="",P$4=""),"",IF(NOT(OR(P$6="Toda la plantilla",ISNUMBER(SEARCH(";"&amp;SUBSTITUTE($C90," ","")&amp;";",";"&amp;SUBSTITUTE(P$7," ","")&amp;";")))),"—",IF(_xlfn.MAXIFS(Acuses!$C$5:$C$3004,Acuses!$A$5:$A$3004,$A90,Acuses!$B$5:$B$3004,P$4)&lt;P$5,"Pendiente",IF(P$8=0,"OK",IF(EDATE(_xlfn.MAXIFS(Acuses!$D$5:$D$3004,Acuses!$A$5:$A$3004,$A90,Acuses!$B$5:$B$3004,P$4,Acuses!$C$5:$C$3004,P$5),P$8)&lt;Resumen!$C$4,"Caducado",IF(EDATE(_xlfn.MAXIFS(Acuses!$D$5:$D$3004,Acuses!$A$5:$A$3004,$A90,Acuses!$B$5:$B$3004,P$4,Acuses!$C$5:$C$3004,P$5),P$8)&lt;Resumen!$C$4+30,"Caduca pronto","OK"))))))</f>
        <v/>
      </c>
      <c r="Q90" s="26" t="str">
        <f aca="false">IF(OR($A90="",Q$4=""),"",IF(NOT(OR(Q$6="Toda la plantilla",ISNUMBER(SEARCH(";"&amp;SUBSTITUTE($C90," ","")&amp;";",";"&amp;SUBSTITUTE(Q$7," ","")&amp;";")))),"—",IF(_xlfn.MAXIFS(Acuses!$C$5:$C$3004,Acuses!$A$5:$A$3004,$A90,Acuses!$B$5:$B$3004,Q$4)&lt;Q$5,"Pendiente",IF(Q$8=0,"OK",IF(EDATE(_xlfn.MAXIFS(Acuses!$D$5:$D$3004,Acuses!$A$5:$A$3004,$A90,Acuses!$B$5:$B$3004,Q$4,Acuses!$C$5:$C$3004,Q$5),Q$8)&lt;Resumen!$C$4,"Caducado",IF(EDATE(_xlfn.MAXIFS(Acuses!$D$5:$D$3004,Acuses!$A$5:$A$3004,$A90,Acuses!$B$5:$B$3004,Q$4,Acuses!$C$5:$C$3004,Q$5),Q$8)&lt;Resumen!$C$4+30,"Caduca pronto","OK"))))))</f>
        <v/>
      </c>
      <c r="R90" s="26" t="str">
        <f aca="false">IF(OR($A90="",R$4=""),"",IF(NOT(OR(R$6="Toda la plantilla",ISNUMBER(SEARCH(";"&amp;SUBSTITUTE($C90," ","")&amp;";",";"&amp;SUBSTITUTE(R$7," ","")&amp;";")))),"—",IF(_xlfn.MAXIFS(Acuses!$C$5:$C$3004,Acuses!$A$5:$A$3004,$A90,Acuses!$B$5:$B$3004,R$4)&lt;R$5,"Pendiente",IF(R$8=0,"OK",IF(EDATE(_xlfn.MAXIFS(Acuses!$D$5:$D$3004,Acuses!$A$5:$A$3004,$A90,Acuses!$B$5:$B$3004,R$4,Acuses!$C$5:$C$3004,R$5),R$8)&lt;Resumen!$C$4,"Caducado",IF(EDATE(_xlfn.MAXIFS(Acuses!$D$5:$D$3004,Acuses!$A$5:$A$3004,$A90,Acuses!$B$5:$B$3004,R$4,Acuses!$C$5:$C$3004,R$5),R$8)&lt;Resumen!$C$4+30,"Caduca pronto","OK"))))))</f>
        <v/>
      </c>
      <c r="S90" s="26" t="str">
        <f aca="false">IF(OR($A90="",S$4=""),"",IF(NOT(OR(S$6="Toda la plantilla",ISNUMBER(SEARCH(";"&amp;SUBSTITUTE($C90," ","")&amp;";",";"&amp;SUBSTITUTE(S$7," ","")&amp;";")))),"—",IF(_xlfn.MAXIFS(Acuses!$C$5:$C$3004,Acuses!$A$5:$A$3004,$A90,Acuses!$B$5:$B$3004,S$4)&lt;S$5,"Pendiente",IF(S$8=0,"OK",IF(EDATE(_xlfn.MAXIFS(Acuses!$D$5:$D$3004,Acuses!$A$5:$A$3004,$A90,Acuses!$B$5:$B$3004,S$4,Acuses!$C$5:$C$3004,S$5),S$8)&lt;Resumen!$C$4,"Caducado",IF(EDATE(_xlfn.MAXIFS(Acuses!$D$5:$D$3004,Acuses!$A$5:$A$3004,$A90,Acuses!$B$5:$B$3004,S$4,Acuses!$C$5:$C$3004,S$5),S$8)&lt;Resumen!$C$4+30,"Caduca pronto","OK"))))))</f>
        <v/>
      </c>
      <c r="T90" s="26" t="str">
        <f aca="false">IF(OR($A90="",T$4=""),"",IF(NOT(OR(T$6="Toda la plantilla",ISNUMBER(SEARCH(";"&amp;SUBSTITUTE($C90," ","")&amp;";",";"&amp;SUBSTITUTE(T$7," ","")&amp;";")))),"—",IF(_xlfn.MAXIFS(Acuses!$C$5:$C$3004,Acuses!$A$5:$A$3004,$A90,Acuses!$B$5:$B$3004,T$4)&lt;T$5,"Pendiente",IF(T$8=0,"OK",IF(EDATE(_xlfn.MAXIFS(Acuses!$D$5:$D$3004,Acuses!$A$5:$A$3004,$A90,Acuses!$B$5:$B$3004,T$4,Acuses!$C$5:$C$3004,T$5),T$8)&lt;Resumen!$C$4,"Caducado",IF(EDATE(_xlfn.MAXIFS(Acuses!$D$5:$D$3004,Acuses!$A$5:$A$3004,$A90,Acuses!$B$5:$B$3004,T$4,Acuses!$C$5:$C$3004,T$5),T$8)&lt;Resumen!$C$4+30,"Caduca pronto","OK"))))))</f>
        <v/>
      </c>
      <c r="U90" s="26" t="str">
        <f aca="false">IF(OR($A90="",U$4=""),"",IF(NOT(OR(U$6="Toda la plantilla",ISNUMBER(SEARCH(";"&amp;SUBSTITUTE($C90," ","")&amp;";",";"&amp;SUBSTITUTE(U$7," ","")&amp;";")))),"—",IF(_xlfn.MAXIFS(Acuses!$C$5:$C$3004,Acuses!$A$5:$A$3004,$A90,Acuses!$B$5:$B$3004,U$4)&lt;U$5,"Pendiente",IF(U$8=0,"OK",IF(EDATE(_xlfn.MAXIFS(Acuses!$D$5:$D$3004,Acuses!$A$5:$A$3004,$A90,Acuses!$B$5:$B$3004,U$4,Acuses!$C$5:$C$3004,U$5),U$8)&lt;Resumen!$C$4,"Caducado",IF(EDATE(_xlfn.MAXIFS(Acuses!$D$5:$D$3004,Acuses!$A$5:$A$3004,$A90,Acuses!$B$5:$B$3004,U$4,Acuses!$C$5:$C$3004,U$5),U$8)&lt;Resumen!$C$4+30,"Caduca pronto","OK"))))))</f>
        <v/>
      </c>
      <c r="V90" s="26" t="str">
        <f aca="false">IF(OR($A90="",V$4=""),"",IF(NOT(OR(V$6="Toda la plantilla",ISNUMBER(SEARCH(";"&amp;SUBSTITUTE($C90," ","")&amp;";",";"&amp;SUBSTITUTE(V$7," ","")&amp;";")))),"—",IF(_xlfn.MAXIFS(Acuses!$C$5:$C$3004,Acuses!$A$5:$A$3004,$A90,Acuses!$B$5:$B$3004,V$4)&lt;V$5,"Pendiente",IF(V$8=0,"OK",IF(EDATE(_xlfn.MAXIFS(Acuses!$D$5:$D$3004,Acuses!$A$5:$A$3004,$A90,Acuses!$B$5:$B$3004,V$4,Acuses!$C$5:$C$3004,V$5),V$8)&lt;Resumen!$C$4,"Caducado",IF(EDATE(_xlfn.MAXIFS(Acuses!$D$5:$D$3004,Acuses!$A$5:$A$3004,$A90,Acuses!$B$5:$B$3004,V$4,Acuses!$C$5:$C$3004,V$5),V$8)&lt;Resumen!$C$4+30,"Caduca pronto","OK"))))))</f>
        <v/>
      </c>
      <c r="W90" s="26" t="str">
        <f aca="false">IF(OR($A90="",W$4=""),"",IF(NOT(OR(W$6="Toda la plantilla",ISNUMBER(SEARCH(";"&amp;SUBSTITUTE($C90," ","")&amp;";",";"&amp;SUBSTITUTE(W$7," ","")&amp;";")))),"—",IF(_xlfn.MAXIFS(Acuses!$C$5:$C$3004,Acuses!$A$5:$A$3004,$A90,Acuses!$B$5:$B$3004,W$4)&lt;W$5,"Pendiente",IF(W$8=0,"OK",IF(EDATE(_xlfn.MAXIFS(Acuses!$D$5:$D$3004,Acuses!$A$5:$A$3004,$A90,Acuses!$B$5:$B$3004,W$4,Acuses!$C$5:$C$3004,W$5),W$8)&lt;Resumen!$C$4,"Caducado",IF(EDATE(_xlfn.MAXIFS(Acuses!$D$5:$D$3004,Acuses!$A$5:$A$3004,$A90,Acuses!$B$5:$B$3004,W$4,Acuses!$C$5:$C$3004,W$5),W$8)&lt;Resumen!$C$4+30,"Caduca pronto","OK"))))))</f>
        <v/>
      </c>
      <c r="X90" s="26" t="str">
        <f aca="false">IF(OR($A90="",X$4=""),"",IF(NOT(OR(X$6="Toda la plantilla",ISNUMBER(SEARCH(";"&amp;SUBSTITUTE($C90," ","")&amp;";",";"&amp;SUBSTITUTE(X$7," ","")&amp;";")))),"—",IF(_xlfn.MAXIFS(Acuses!$C$5:$C$3004,Acuses!$A$5:$A$3004,$A90,Acuses!$B$5:$B$3004,X$4)&lt;X$5,"Pendiente",IF(X$8=0,"OK",IF(EDATE(_xlfn.MAXIFS(Acuses!$D$5:$D$3004,Acuses!$A$5:$A$3004,$A90,Acuses!$B$5:$B$3004,X$4,Acuses!$C$5:$C$3004,X$5),X$8)&lt;Resumen!$C$4,"Caducado",IF(EDATE(_xlfn.MAXIFS(Acuses!$D$5:$D$3004,Acuses!$A$5:$A$3004,$A90,Acuses!$B$5:$B$3004,X$4,Acuses!$C$5:$C$3004,X$5),X$8)&lt;Resumen!$C$4+30,"Caduca pronto","OK"))))))</f>
        <v/>
      </c>
      <c r="Y90" s="26" t="str">
        <f aca="false">IF(OR($A90="",Y$4=""),"",IF(NOT(OR(Y$6="Toda la plantilla",ISNUMBER(SEARCH(";"&amp;SUBSTITUTE($C90," ","")&amp;";",";"&amp;SUBSTITUTE(Y$7," ","")&amp;";")))),"—",IF(_xlfn.MAXIFS(Acuses!$C$5:$C$3004,Acuses!$A$5:$A$3004,$A90,Acuses!$B$5:$B$3004,Y$4)&lt;Y$5,"Pendiente",IF(Y$8=0,"OK",IF(EDATE(_xlfn.MAXIFS(Acuses!$D$5:$D$3004,Acuses!$A$5:$A$3004,$A90,Acuses!$B$5:$B$3004,Y$4,Acuses!$C$5:$C$3004,Y$5),Y$8)&lt;Resumen!$C$4,"Caducado",IF(EDATE(_xlfn.MAXIFS(Acuses!$D$5:$D$3004,Acuses!$A$5:$A$3004,$A90,Acuses!$B$5:$B$3004,Y$4,Acuses!$C$5:$C$3004,Y$5),Y$8)&lt;Resumen!$C$4+30,"Caduca pronto","OK"))))))</f>
        <v/>
      </c>
      <c r="Z90" s="26" t="str">
        <f aca="false">IF(OR($A90="",Z$4=""),"",IF(NOT(OR(Z$6="Toda la plantilla",ISNUMBER(SEARCH(";"&amp;SUBSTITUTE($C90," ","")&amp;";",";"&amp;SUBSTITUTE(Z$7," ","")&amp;";")))),"—",IF(_xlfn.MAXIFS(Acuses!$C$5:$C$3004,Acuses!$A$5:$A$3004,$A90,Acuses!$B$5:$B$3004,Z$4)&lt;Z$5,"Pendiente",IF(Z$8=0,"OK",IF(EDATE(_xlfn.MAXIFS(Acuses!$D$5:$D$3004,Acuses!$A$5:$A$3004,$A90,Acuses!$B$5:$B$3004,Z$4,Acuses!$C$5:$C$3004,Z$5),Z$8)&lt;Resumen!$C$4,"Caducado",IF(EDATE(_xlfn.MAXIFS(Acuses!$D$5:$D$3004,Acuses!$A$5:$A$3004,$A90,Acuses!$B$5:$B$3004,Z$4,Acuses!$C$5:$C$3004,Z$5),Z$8)&lt;Resumen!$C$4+30,"Caduca pronto","OK"))))))</f>
        <v/>
      </c>
      <c r="AA90" s="26" t="str">
        <f aca="false">IF(OR($A90="",AA$4=""),"",IF(NOT(OR(AA$6="Toda la plantilla",ISNUMBER(SEARCH(";"&amp;SUBSTITUTE($C90," ","")&amp;";",";"&amp;SUBSTITUTE(AA$7," ","")&amp;";")))),"—",IF(_xlfn.MAXIFS(Acuses!$C$5:$C$3004,Acuses!$A$5:$A$3004,$A90,Acuses!$B$5:$B$3004,AA$4)&lt;AA$5,"Pendiente",IF(AA$8=0,"OK",IF(EDATE(_xlfn.MAXIFS(Acuses!$D$5:$D$3004,Acuses!$A$5:$A$3004,$A90,Acuses!$B$5:$B$3004,AA$4,Acuses!$C$5:$C$3004,AA$5),AA$8)&lt;Resumen!$C$4,"Caducado",IF(EDATE(_xlfn.MAXIFS(Acuses!$D$5:$D$3004,Acuses!$A$5:$A$3004,$A90,Acuses!$B$5:$B$3004,AA$4,Acuses!$C$5:$C$3004,AA$5),AA$8)&lt;Resumen!$C$4+30,"Caduca pronto","OK"))))))</f>
        <v/>
      </c>
      <c r="AB90" s="26" t="str">
        <f aca="false">IF(OR($A90="",AB$4=""),"",IF(NOT(OR(AB$6="Toda la plantilla",ISNUMBER(SEARCH(";"&amp;SUBSTITUTE($C90," ","")&amp;";",";"&amp;SUBSTITUTE(AB$7," ","")&amp;";")))),"—",IF(_xlfn.MAXIFS(Acuses!$C$5:$C$3004,Acuses!$A$5:$A$3004,$A90,Acuses!$B$5:$B$3004,AB$4)&lt;AB$5,"Pendiente",IF(AB$8=0,"OK",IF(EDATE(_xlfn.MAXIFS(Acuses!$D$5:$D$3004,Acuses!$A$5:$A$3004,$A90,Acuses!$B$5:$B$3004,AB$4,Acuses!$C$5:$C$3004,AB$5),AB$8)&lt;Resumen!$C$4,"Caducado",IF(EDATE(_xlfn.MAXIFS(Acuses!$D$5:$D$3004,Acuses!$A$5:$A$3004,$A90,Acuses!$B$5:$B$3004,AB$4,Acuses!$C$5:$C$3004,AB$5),AB$8)&lt;Resumen!$C$4+30,"Caduca pronto","OK"))))))</f>
        <v/>
      </c>
      <c r="AC90" s="26" t="str">
        <f aca="false">IF(OR($A90="",AC$4=""),"",IF(NOT(OR(AC$6="Toda la plantilla",ISNUMBER(SEARCH(";"&amp;SUBSTITUTE($C90," ","")&amp;";",";"&amp;SUBSTITUTE(AC$7," ","")&amp;";")))),"—",IF(_xlfn.MAXIFS(Acuses!$C$5:$C$3004,Acuses!$A$5:$A$3004,$A90,Acuses!$B$5:$B$3004,AC$4)&lt;AC$5,"Pendiente",IF(AC$8=0,"OK",IF(EDATE(_xlfn.MAXIFS(Acuses!$D$5:$D$3004,Acuses!$A$5:$A$3004,$A90,Acuses!$B$5:$B$3004,AC$4,Acuses!$C$5:$C$3004,AC$5),AC$8)&lt;Resumen!$C$4,"Caducado",IF(EDATE(_xlfn.MAXIFS(Acuses!$D$5:$D$3004,Acuses!$A$5:$A$3004,$A90,Acuses!$B$5:$B$3004,AC$4,Acuses!$C$5:$C$3004,AC$5),AC$8)&lt;Resumen!$C$4+30,"Caduca pronto","OK"))))))</f>
        <v/>
      </c>
      <c r="AD90" s="26" t="str">
        <f aca="false">IF(OR($A90="",AD$4=""),"",IF(NOT(OR(AD$6="Toda la plantilla",ISNUMBER(SEARCH(";"&amp;SUBSTITUTE($C90," ","")&amp;";",";"&amp;SUBSTITUTE(AD$7," ","")&amp;";")))),"—",IF(_xlfn.MAXIFS(Acuses!$C$5:$C$3004,Acuses!$A$5:$A$3004,$A90,Acuses!$B$5:$B$3004,AD$4)&lt;AD$5,"Pendiente",IF(AD$8=0,"OK",IF(EDATE(_xlfn.MAXIFS(Acuses!$D$5:$D$3004,Acuses!$A$5:$A$3004,$A90,Acuses!$B$5:$B$3004,AD$4,Acuses!$C$5:$C$3004,AD$5),AD$8)&lt;Resumen!$C$4,"Caducado",IF(EDATE(_xlfn.MAXIFS(Acuses!$D$5:$D$3004,Acuses!$A$5:$A$3004,$A90,Acuses!$B$5:$B$3004,AD$4,Acuses!$C$5:$C$3004,AD$5),AD$8)&lt;Resumen!$C$4+30,"Caduca pronto","OK"))))))</f>
        <v/>
      </c>
      <c r="AE90" s="26" t="str">
        <f aca="false">IF(OR($A90="",AE$4=""),"",IF(NOT(OR(AE$6="Toda la plantilla",ISNUMBER(SEARCH(";"&amp;SUBSTITUTE($C90," ","")&amp;";",";"&amp;SUBSTITUTE(AE$7," ","")&amp;";")))),"—",IF(_xlfn.MAXIFS(Acuses!$C$5:$C$3004,Acuses!$A$5:$A$3004,$A90,Acuses!$B$5:$B$3004,AE$4)&lt;AE$5,"Pendiente",IF(AE$8=0,"OK",IF(EDATE(_xlfn.MAXIFS(Acuses!$D$5:$D$3004,Acuses!$A$5:$A$3004,$A90,Acuses!$B$5:$B$3004,AE$4,Acuses!$C$5:$C$3004,AE$5),AE$8)&lt;Resumen!$C$4,"Caducado",IF(EDATE(_xlfn.MAXIFS(Acuses!$D$5:$D$3004,Acuses!$A$5:$A$3004,$A90,Acuses!$B$5:$B$3004,AE$4,Acuses!$C$5:$C$3004,AE$5),AE$8)&lt;Resumen!$C$4+30,"Caduca pronto","OK"))))))</f>
        <v/>
      </c>
      <c r="AF90" s="26" t="str">
        <f aca="false">IF(OR($A90="",AF$4=""),"",IF(NOT(OR(AF$6="Toda la plantilla",ISNUMBER(SEARCH(";"&amp;SUBSTITUTE($C90," ","")&amp;";",";"&amp;SUBSTITUTE(AF$7," ","")&amp;";")))),"—",IF(_xlfn.MAXIFS(Acuses!$C$5:$C$3004,Acuses!$A$5:$A$3004,$A90,Acuses!$B$5:$B$3004,AF$4)&lt;AF$5,"Pendiente",IF(AF$8=0,"OK",IF(EDATE(_xlfn.MAXIFS(Acuses!$D$5:$D$3004,Acuses!$A$5:$A$3004,$A90,Acuses!$B$5:$B$3004,AF$4,Acuses!$C$5:$C$3004,AF$5),AF$8)&lt;Resumen!$C$4,"Caducado",IF(EDATE(_xlfn.MAXIFS(Acuses!$D$5:$D$3004,Acuses!$A$5:$A$3004,$A90,Acuses!$B$5:$B$3004,AF$4,Acuses!$C$5:$C$3004,AF$5),AF$8)&lt;Resumen!$C$4+30,"Caduca pronto","OK"))))))</f>
        <v/>
      </c>
      <c r="AG90" s="26" t="str">
        <f aca="false">IF(OR($A90="",AG$4=""),"",IF(NOT(OR(AG$6="Toda la plantilla",ISNUMBER(SEARCH(";"&amp;SUBSTITUTE($C90," ","")&amp;";",";"&amp;SUBSTITUTE(AG$7," ","")&amp;";")))),"—",IF(_xlfn.MAXIFS(Acuses!$C$5:$C$3004,Acuses!$A$5:$A$3004,$A90,Acuses!$B$5:$B$3004,AG$4)&lt;AG$5,"Pendiente",IF(AG$8=0,"OK",IF(EDATE(_xlfn.MAXIFS(Acuses!$D$5:$D$3004,Acuses!$A$5:$A$3004,$A90,Acuses!$B$5:$B$3004,AG$4,Acuses!$C$5:$C$3004,AG$5),AG$8)&lt;Resumen!$C$4,"Caducado",IF(EDATE(_xlfn.MAXIFS(Acuses!$D$5:$D$3004,Acuses!$A$5:$A$3004,$A90,Acuses!$B$5:$B$3004,AG$4,Acuses!$C$5:$C$3004,AG$5),AG$8)&lt;Resumen!$C$4+30,"Caduca pronto","OK"))))))</f>
        <v/>
      </c>
      <c r="AH90" s="26" t="str">
        <f aca="false">IF(OR($A90="",AH$4=""),"",IF(NOT(OR(AH$6="Toda la plantilla",ISNUMBER(SEARCH(";"&amp;SUBSTITUTE($C90," ","")&amp;";",";"&amp;SUBSTITUTE(AH$7," ","")&amp;";")))),"—",IF(_xlfn.MAXIFS(Acuses!$C$5:$C$3004,Acuses!$A$5:$A$3004,$A90,Acuses!$B$5:$B$3004,AH$4)&lt;AH$5,"Pendiente",IF(AH$8=0,"OK",IF(EDATE(_xlfn.MAXIFS(Acuses!$D$5:$D$3004,Acuses!$A$5:$A$3004,$A90,Acuses!$B$5:$B$3004,AH$4,Acuses!$C$5:$C$3004,AH$5),AH$8)&lt;Resumen!$C$4,"Caducado",IF(EDATE(_xlfn.MAXIFS(Acuses!$D$5:$D$3004,Acuses!$A$5:$A$3004,$A90,Acuses!$B$5:$B$3004,AH$4,Acuses!$C$5:$C$3004,AH$5),AH$8)&lt;Resumen!$C$4+30,"Caduca pronto","OK"))))))</f>
        <v/>
      </c>
      <c r="AI90" s="26" t="str">
        <f aca="false">IF(OR($A90="",AI$4=""),"",IF(NOT(OR(AI$6="Toda la plantilla",ISNUMBER(SEARCH(";"&amp;SUBSTITUTE($C90," ","")&amp;";",";"&amp;SUBSTITUTE(AI$7," ","")&amp;";")))),"—",IF(_xlfn.MAXIFS(Acuses!$C$5:$C$3004,Acuses!$A$5:$A$3004,$A90,Acuses!$B$5:$B$3004,AI$4)&lt;AI$5,"Pendiente",IF(AI$8=0,"OK",IF(EDATE(_xlfn.MAXIFS(Acuses!$D$5:$D$3004,Acuses!$A$5:$A$3004,$A90,Acuses!$B$5:$B$3004,AI$4,Acuses!$C$5:$C$3004,AI$5),AI$8)&lt;Resumen!$C$4,"Caducado",IF(EDATE(_xlfn.MAXIFS(Acuses!$D$5:$D$3004,Acuses!$A$5:$A$3004,$A90,Acuses!$B$5:$B$3004,AI$4,Acuses!$C$5:$C$3004,AI$5),AI$8)&lt;Resumen!$C$4+30,"Caduca pronto","OK"))))))</f>
        <v/>
      </c>
      <c r="AJ90" s="26" t="str">
        <f aca="false">IF(OR($A90="",AJ$4=""),"",IF(NOT(OR(AJ$6="Toda la plantilla",ISNUMBER(SEARCH(";"&amp;SUBSTITUTE($C90," ","")&amp;";",";"&amp;SUBSTITUTE(AJ$7," ","")&amp;";")))),"—",IF(_xlfn.MAXIFS(Acuses!$C$5:$C$3004,Acuses!$A$5:$A$3004,$A90,Acuses!$B$5:$B$3004,AJ$4)&lt;AJ$5,"Pendiente",IF(AJ$8=0,"OK",IF(EDATE(_xlfn.MAXIFS(Acuses!$D$5:$D$3004,Acuses!$A$5:$A$3004,$A90,Acuses!$B$5:$B$3004,AJ$4,Acuses!$C$5:$C$3004,AJ$5),AJ$8)&lt;Resumen!$C$4,"Caducado",IF(EDATE(_xlfn.MAXIFS(Acuses!$D$5:$D$3004,Acuses!$A$5:$A$3004,$A90,Acuses!$B$5:$B$3004,AJ$4,Acuses!$C$5:$C$3004,AJ$5),AJ$8)&lt;Resumen!$C$4+30,"Caduca pronto","OK"))))))</f>
        <v/>
      </c>
      <c r="AK90" s="26" t="str">
        <f aca="false">IF(OR($A90="",AK$4=""),"",IF(NOT(OR(AK$6="Toda la plantilla",ISNUMBER(SEARCH(";"&amp;SUBSTITUTE($C90," ","")&amp;";",";"&amp;SUBSTITUTE(AK$7," ","")&amp;";")))),"—",IF(_xlfn.MAXIFS(Acuses!$C$5:$C$3004,Acuses!$A$5:$A$3004,$A90,Acuses!$B$5:$B$3004,AK$4)&lt;AK$5,"Pendiente",IF(AK$8=0,"OK",IF(EDATE(_xlfn.MAXIFS(Acuses!$D$5:$D$3004,Acuses!$A$5:$A$3004,$A90,Acuses!$B$5:$B$3004,AK$4,Acuses!$C$5:$C$3004,AK$5),AK$8)&lt;Resumen!$C$4,"Caducado",IF(EDATE(_xlfn.MAXIFS(Acuses!$D$5:$D$3004,Acuses!$A$5:$A$3004,$A90,Acuses!$B$5:$B$3004,AK$4,Acuses!$C$5:$C$3004,AK$5),AK$8)&lt;Resumen!$C$4+30,"Caduca pronto","OK"))))))</f>
        <v/>
      </c>
      <c r="AL90" s="26" t="str">
        <f aca="false">IF(OR($A90="",AL$4=""),"",IF(NOT(OR(AL$6="Toda la plantilla",ISNUMBER(SEARCH(";"&amp;SUBSTITUTE($C90," ","")&amp;";",";"&amp;SUBSTITUTE(AL$7," ","")&amp;";")))),"—",IF(_xlfn.MAXIFS(Acuses!$C$5:$C$3004,Acuses!$A$5:$A$3004,$A90,Acuses!$B$5:$B$3004,AL$4)&lt;AL$5,"Pendiente",IF(AL$8=0,"OK",IF(EDATE(_xlfn.MAXIFS(Acuses!$D$5:$D$3004,Acuses!$A$5:$A$3004,$A90,Acuses!$B$5:$B$3004,AL$4,Acuses!$C$5:$C$3004,AL$5),AL$8)&lt;Resumen!$C$4,"Caducado",IF(EDATE(_xlfn.MAXIFS(Acuses!$D$5:$D$3004,Acuses!$A$5:$A$3004,$A90,Acuses!$B$5:$B$3004,AL$4,Acuses!$C$5:$C$3004,AL$5),AL$8)&lt;Resumen!$C$4+30,"Caduca pronto","OK"))))))</f>
        <v/>
      </c>
      <c r="AM90" s="26" t="str">
        <f aca="false">IF(OR($A90="",AM$4=""),"",IF(NOT(OR(AM$6="Toda la plantilla",ISNUMBER(SEARCH(";"&amp;SUBSTITUTE($C90," ","")&amp;";",";"&amp;SUBSTITUTE(AM$7," ","")&amp;";")))),"—",IF(_xlfn.MAXIFS(Acuses!$C$5:$C$3004,Acuses!$A$5:$A$3004,$A90,Acuses!$B$5:$B$3004,AM$4)&lt;AM$5,"Pendiente",IF(AM$8=0,"OK",IF(EDATE(_xlfn.MAXIFS(Acuses!$D$5:$D$3004,Acuses!$A$5:$A$3004,$A90,Acuses!$B$5:$B$3004,AM$4,Acuses!$C$5:$C$3004,AM$5),AM$8)&lt;Resumen!$C$4,"Caducado",IF(EDATE(_xlfn.MAXIFS(Acuses!$D$5:$D$3004,Acuses!$A$5:$A$3004,$A90,Acuses!$B$5:$B$3004,AM$4,Acuses!$C$5:$C$3004,AM$5),AM$8)&lt;Resumen!$C$4+30,"Caduca pronto","OK"))))))</f>
        <v/>
      </c>
      <c r="AN90" s="26" t="str">
        <f aca="false">IF(OR($A90="",AN$4=""),"",IF(NOT(OR(AN$6="Toda la plantilla",ISNUMBER(SEARCH(";"&amp;SUBSTITUTE($C90," ","")&amp;";",";"&amp;SUBSTITUTE(AN$7," ","")&amp;";")))),"—",IF(_xlfn.MAXIFS(Acuses!$C$5:$C$3004,Acuses!$A$5:$A$3004,$A90,Acuses!$B$5:$B$3004,AN$4)&lt;AN$5,"Pendiente",IF(AN$8=0,"OK",IF(EDATE(_xlfn.MAXIFS(Acuses!$D$5:$D$3004,Acuses!$A$5:$A$3004,$A90,Acuses!$B$5:$B$3004,AN$4,Acuses!$C$5:$C$3004,AN$5),AN$8)&lt;Resumen!$C$4,"Caducado",IF(EDATE(_xlfn.MAXIFS(Acuses!$D$5:$D$3004,Acuses!$A$5:$A$3004,$A90,Acuses!$B$5:$B$3004,AN$4,Acuses!$C$5:$C$3004,AN$5),AN$8)&lt;Resumen!$C$4+30,"Caduca pronto","OK"))))))</f>
        <v/>
      </c>
      <c r="AO90" s="26" t="str">
        <f aca="false">IF(OR($A90="",AO$4=""),"",IF(NOT(OR(AO$6="Toda la plantilla",ISNUMBER(SEARCH(";"&amp;SUBSTITUTE($C90," ","")&amp;";",";"&amp;SUBSTITUTE(AO$7," ","")&amp;";")))),"—",IF(_xlfn.MAXIFS(Acuses!$C$5:$C$3004,Acuses!$A$5:$A$3004,$A90,Acuses!$B$5:$B$3004,AO$4)&lt;AO$5,"Pendiente",IF(AO$8=0,"OK",IF(EDATE(_xlfn.MAXIFS(Acuses!$D$5:$D$3004,Acuses!$A$5:$A$3004,$A90,Acuses!$B$5:$B$3004,AO$4,Acuses!$C$5:$C$3004,AO$5),AO$8)&lt;Resumen!$C$4,"Caducado",IF(EDATE(_xlfn.MAXIFS(Acuses!$D$5:$D$3004,Acuses!$A$5:$A$3004,$A90,Acuses!$B$5:$B$3004,AO$4,Acuses!$C$5:$C$3004,AO$5),AO$8)&lt;Resumen!$C$4+30,"Caduca pronto","OK"))))))</f>
        <v/>
      </c>
      <c r="AP90" s="26" t="str">
        <f aca="false">IF(OR($A90="",AP$4=""),"",IF(NOT(OR(AP$6="Toda la plantilla",ISNUMBER(SEARCH(";"&amp;SUBSTITUTE($C90," ","")&amp;";",";"&amp;SUBSTITUTE(AP$7," ","")&amp;";")))),"—",IF(_xlfn.MAXIFS(Acuses!$C$5:$C$3004,Acuses!$A$5:$A$3004,$A90,Acuses!$B$5:$B$3004,AP$4)&lt;AP$5,"Pendiente",IF(AP$8=0,"OK",IF(EDATE(_xlfn.MAXIFS(Acuses!$D$5:$D$3004,Acuses!$A$5:$A$3004,$A90,Acuses!$B$5:$B$3004,AP$4,Acuses!$C$5:$C$3004,AP$5),AP$8)&lt;Resumen!$C$4,"Caducado",IF(EDATE(_xlfn.MAXIFS(Acuses!$D$5:$D$3004,Acuses!$A$5:$A$3004,$A90,Acuses!$B$5:$B$3004,AP$4,Acuses!$C$5:$C$3004,AP$5),AP$8)&lt;Resumen!$C$4+30,"Caduca pronto","OK"))))))</f>
        <v/>
      </c>
      <c r="AQ90" s="26" t="str">
        <f aca="false">IF(OR($A90="",AQ$4=""),"",IF(NOT(OR(AQ$6="Toda la plantilla",ISNUMBER(SEARCH(";"&amp;SUBSTITUTE($C90," ","")&amp;";",";"&amp;SUBSTITUTE(AQ$7," ","")&amp;";")))),"—",IF(_xlfn.MAXIFS(Acuses!$C$5:$C$3004,Acuses!$A$5:$A$3004,$A90,Acuses!$B$5:$B$3004,AQ$4)&lt;AQ$5,"Pendiente",IF(AQ$8=0,"OK",IF(EDATE(_xlfn.MAXIFS(Acuses!$D$5:$D$3004,Acuses!$A$5:$A$3004,$A90,Acuses!$B$5:$B$3004,AQ$4,Acuses!$C$5:$C$3004,AQ$5),AQ$8)&lt;Resumen!$C$4,"Caducado",IF(EDATE(_xlfn.MAXIFS(Acuses!$D$5:$D$3004,Acuses!$A$5:$A$3004,$A90,Acuses!$B$5:$B$3004,AQ$4,Acuses!$C$5:$C$3004,AQ$5),AQ$8)&lt;Resumen!$C$4+30,"Caduca pronto","OK"))))))</f>
        <v/>
      </c>
    </row>
    <row r="91" customFormat="false" ht="15" hidden="false" customHeight="false" outlineLevel="0" collapsed="false">
      <c r="A91" s="25" t="str">
        <f aca="false">IF(AND(Trabajadores!$A$86&lt;&gt;"",Trabajadores!$G$86&lt;&gt;"No"),Trabajadores!$A$86,"")</f>
        <v/>
      </c>
      <c r="B91" s="25" t="str">
        <f aca="false">IF($A91="","",Trabajadores!$B$86)</f>
        <v/>
      </c>
      <c r="C91" s="25" t="str">
        <f aca="false">IF($A91="","",Trabajadores!$C$86)</f>
        <v/>
      </c>
      <c r="D91" s="26" t="str">
        <f aca="false">IF(OR($A91="",D$4=""),"",IF(NOT(OR(D$6="Toda la plantilla",ISNUMBER(SEARCH(";"&amp;SUBSTITUTE($C91," ","")&amp;";",";"&amp;SUBSTITUTE(D$7," ","")&amp;";")))),"—",IF(_xlfn.MAXIFS(Acuses!$C$5:$C$3004,Acuses!$A$5:$A$3004,$A91,Acuses!$B$5:$B$3004,D$4)&lt;D$5,"Pendiente",IF(D$8=0,"OK",IF(EDATE(_xlfn.MAXIFS(Acuses!$D$5:$D$3004,Acuses!$A$5:$A$3004,$A91,Acuses!$B$5:$B$3004,D$4,Acuses!$C$5:$C$3004,D$5),D$8)&lt;Resumen!$C$4,"Caducado",IF(EDATE(_xlfn.MAXIFS(Acuses!$D$5:$D$3004,Acuses!$A$5:$A$3004,$A91,Acuses!$B$5:$B$3004,D$4,Acuses!$C$5:$C$3004,D$5),D$8)&lt;Resumen!$C$4+30,"Caduca pronto","OK"))))))</f>
        <v/>
      </c>
      <c r="E91" s="26" t="str">
        <f aca="false">IF(OR($A91="",E$4=""),"",IF(NOT(OR(E$6="Toda la plantilla",ISNUMBER(SEARCH(";"&amp;SUBSTITUTE($C91," ","")&amp;";",";"&amp;SUBSTITUTE(E$7," ","")&amp;";")))),"—",IF(_xlfn.MAXIFS(Acuses!$C$5:$C$3004,Acuses!$A$5:$A$3004,$A91,Acuses!$B$5:$B$3004,E$4)&lt;E$5,"Pendiente",IF(E$8=0,"OK",IF(EDATE(_xlfn.MAXIFS(Acuses!$D$5:$D$3004,Acuses!$A$5:$A$3004,$A91,Acuses!$B$5:$B$3004,E$4,Acuses!$C$5:$C$3004,E$5),E$8)&lt;Resumen!$C$4,"Caducado",IF(EDATE(_xlfn.MAXIFS(Acuses!$D$5:$D$3004,Acuses!$A$5:$A$3004,$A91,Acuses!$B$5:$B$3004,E$4,Acuses!$C$5:$C$3004,E$5),E$8)&lt;Resumen!$C$4+30,"Caduca pronto","OK"))))))</f>
        <v/>
      </c>
      <c r="F91" s="26" t="str">
        <f aca="false">IF(OR($A91="",F$4=""),"",IF(NOT(OR(F$6="Toda la plantilla",ISNUMBER(SEARCH(";"&amp;SUBSTITUTE($C91," ","")&amp;";",";"&amp;SUBSTITUTE(F$7," ","")&amp;";")))),"—",IF(_xlfn.MAXIFS(Acuses!$C$5:$C$3004,Acuses!$A$5:$A$3004,$A91,Acuses!$B$5:$B$3004,F$4)&lt;F$5,"Pendiente",IF(F$8=0,"OK",IF(EDATE(_xlfn.MAXIFS(Acuses!$D$5:$D$3004,Acuses!$A$5:$A$3004,$A91,Acuses!$B$5:$B$3004,F$4,Acuses!$C$5:$C$3004,F$5),F$8)&lt;Resumen!$C$4,"Caducado",IF(EDATE(_xlfn.MAXIFS(Acuses!$D$5:$D$3004,Acuses!$A$5:$A$3004,$A91,Acuses!$B$5:$B$3004,F$4,Acuses!$C$5:$C$3004,F$5),F$8)&lt;Resumen!$C$4+30,"Caduca pronto","OK"))))))</f>
        <v/>
      </c>
      <c r="G91" s="26" t="str">
        <f aca="false">IF(OR($A91="",G$4=""),"",IF(NOT(OR(G$6="Toda la plantilla",ISNUMBER(SEARCH(";"&amp;SUBSTITUTE($C91," ","")&amp;";",";"&amp;SUBSTITUTE(G$7," ","")&amp;";")))),"—",IF(_xlfn.MAXIFS(Acuses!$C$5:$C$3004,Acuses!$A$5:$A$3004,$A91,Acuses!$B$5:$B$3004,G$4)&lt;G$5,"Pendiente",IF(G$8=0,"OK",IF(EDATE(_xlfn.MAXIFS(Acuses!$D$5:$D$3004,Acuses!$A$5:$A$3004,$A91,Acuses!$B$5:$B$3004,G$4,Acuses!$C$5:$C$3004,G$5),G$8)&lt;Resumen!$C$4,"Caducado",IF(EDATE(_xlfn.MAXIFS(Acuses!$D$5:$D$3004,Acuses!$A$5:$A$3004,$A91,Acuses!$B$5:$B$3004,G$4,Acuses!$C$5:$C$3004,G$5),G$8)&lt;Resumen!$C$4+30,"Caduca pronto","OK"))))))</f>
        <v/>
      </c>
      <c r="H91" s="26" t="str">
        <f aca="false">IF(OR($A91="",H$4=""),"",IF(NOT(OR(H$6="Toda la plantilla",ISNUMBER(SEARCH(";"&amp;SUBSTITUTE($C91," ","")&amp;";",";"&amp;SUBSTITUTE(H$7," ","")&amp;";")))),"—",IF(_xlfn.MAXIFS(Acuses!$C$5:$C$3004,Acuses!$A$5:$A$3004,$A91,Acuses!$B$5:$B$3004,H$4)&lt;H$5,"Pendiente",IF(H$8=0,"OK",IF(EDATE(_xlfn.MAXIFS(Acuses!$D$5:$D$3004,Acuses!$A$5:$A$3004,$A91,Acuses!$B$5:$B$3004,H$4,Acuses!$C$5:$C$3004,H$5),H$8)&lt;Resumen!$C$4,"Caducado",IF(EDATE(_xlfn.MAXIFS(Acuses!$D$5:$D$3004,Acuses!$A$5:$A$3004,$A91,Acuses!$B$5:$B$3004,H$4,Acuses!$C$5:$C$3004,H$5),H$8)&lt;Resumen!$C$4+30,"Caduca pronto","OK"))))))</f>
        <v/>
      </c>
      <c r="I91" s="26" t="str">
        <f aca="false">IF(OR($A91="",I$4=""),"",IF(NOT(OR(I$6="Toda la plantilla",ISNUMBER(SEARCH(";"&amp;SUBSTITUTE($C91," ","")&amp;";",";"&amp;SUBSTITUTE(I$7," ","")&amp;";")))),"—",IF(_xlfn.MAXIFS(Acuses!$C$5:$C$3004,Acuses!$A$5:$A$3004,$A91,Acuses!$B$5:$B$3004,I$4)&lt;I$5,"Pendiente",IF(I$8=0,"OK",IF(EDATE(_xlfn.MAXIFS(Acuses!$D$5:$D$3004,Acuses!$A$5:$A$3004,$A91,Acuses!$B$5:$B$3004,I$4,Acuses!$C$5:$C$3004,I$5),I$8)&lt;Resumen!$C$4,"Caducado",IF(EDATE(_xlfn.MAXIFS(Acuses!$D$5:$D$3004,Acuses!$A$5:$A$3004,$A91,Acuses!$B$5:$B$3004,I$4,Acuses!$C$5:$C$3004,I$5),I$8)&lt;Resumen!$C$4+30,"Caduca pronto","OK"))))))</f>
        <v/>
      </c>
      <c r="J91" s="26" t="str">
        <f aca="false">IF(OR($A91="",J$4=""),"",IF(NOT(OR(J$6="Toda la plantilla",ISNUMBER(SEARCH(";"&amp;SUBSTITUTE($C91," ","")&amp;";",";"&amp;SUBSTITUTE(J$7," ","")&amp;";")))),"—",IF(_xlfn.MAXIFS(Acuses!$C$5:$C$3004,Acuses!$A$5:$A$3004,$A91,Acuses!$B$5:$B$3004,J$4)&lt;J$5,"Pendiente",IF(J$8=0,"OK",IF(EDATE(_xlfn.MAXIFS(Acuses!$D$5:$D$3004,Acuses!$A$5:$A$3004,$A91,Acuses!$B$5:$B$3004,J$4,Acuses!$C$5:$C$3004,J$5),J$8)&lt;Resumen!$C$4,"Caducado",IF(EDATE(_xlfn.MAXIFS(Acuses!$D$5:$D$3004,Acuses!$A$5:$A$3004,$A91,Acuses!$B$5:$B$3004,J$4,Acuses!$C$5:$C$3004,J$5),J$8)&lt;Resumen!$C$4+30,"Caduca pronto","OK"))))))</f>
        <v/>
      </c>
      <c r="K91" s="26" t="str">
        <f aca="false">IF(OR($A91="",K$4=""),"",IF(NOT(OR(K$6="Toda la plantilla",ISNUMBER(SEARCH(";"&amp;SUBSTITUTE($C91," ","")&amp;";",";"&amp;SUBSTITUTE(K$7," ","")&amp;";")))),"—",IF(_xlfn.MAXIFS(Acuses!$C$5:$C$3004,Acuses!$A$5:$A$3004,$A91,Acuses!$B$5:$B$3004,K$4)&lt;K$5,"Pendiente",IF(K$8=0,"OK",IF(EDATE(_xlfn.MAXIFS(Acuses!$D$5:$D$3004,Acuses!$A$5:$A$3004,$A91,Acuses!$B$5:$B$3004,K$4,Acuses!$C$5:$C$3004,K$5),K$8)&lt;Resumen!$C$4,"Caducado",IF(EDATE(_xlfn.MAXIFS(Acuses!$D$5:$D$3004,Acuses!$A$5:$A$3004,$A91,Acuses!$B$5:$B$3004,K$4,Acuses!$C$5:$C$3004,K$5),K$8)&lt;Resumen!$C$4+30,"Caduca pronto","OK"))))))</f>
        <v/>
      </c>
      <c r="L91" s="26" t="str">
        <f aca="false">IF(OR($A91="",L$4=""),"",IF(NOT(OR(L$6="Toda la plantilla",ISNUMBER(SEARCH(";"&amp;SUBSTITUTE($C91," ","")&amp;";",";"&amp;SUBSTITUTE(L$7," ","")&amp;";")))),"—",IF(_xlfn.MAXIFS(Acuses!$C$5:$C$3004,Acuses!$A$5:$A$3004,$A91,Acuses!$B$5:$B$3004,L$4)&lt;L$5,"Pendiente",IF(L$8=0,"OK",IF(EDATE(_xlfn.MAXIFS(Acuses!$D$5:$D$3004,Acuses!$A$5:$A$3004,$A91,Acuses!$B$5:$B$3004,L$4,Acuses!$C$5:$C$3004,L$5),L$8)&lt;Resumen!$C$4,"Caducado",IF(EDATE(_xlfn.MAXIFS(Acuses!$D$5:$D$3004,Acuses!$A$5:$A$3004,$A91,Acuses!$B$5:$B$3004,L$4,Acuses!$C$5:$C$3004,L$5),L$8)&lt;Resumen!$C$4+30,"Caduca pronto","OK"))))))</f>
        <v/>
      </c>
      <c r="M91" s="26" t="str">
        <f aca="false">IF(OR($A91="",M$4=""),"",IF(NOT(OR(M$6="Toda la plantilla",ISNUMBER(SEARCH(";"&amp;SUBSTITUTE($C91," ","")&amp;";",";"&amp;SUBSTITUTE(M$7," ","")&amp;";")))),"—",IF(_xlfn.MAXIFS(Acuses!$C$5:$C$3004,Acuses!$A$5:$A$3004,$A91,Acuses!$B$5:$B$3004,M$4)&lt;M$5,"Pendiente",IF(M$8=0,"OK",IF(EDATE(_xlfn.MAXIFS(Acuses!$D$5:$D$3004,Acuses!$A$5:$A$3004,$A91,Acuses!$B$5:$B$3004,M$4,Acuses!$C$5:$C$3004,M$5),M$8)&lt;Resumen!$C$4,"Caducado",IF(EDATE(_xlfn.MAXIFS(Acuses!$D$5:$D$3004,Acuses!$A$5:$A$3004,$A91,Acuses!$B$5:$B$3004,M$4,Acuses!$C$5:$C$3004,M$5),M$8)&lt;Resumen!$C$4+30,"Caduca pronto","OK"))))))</f>
        <v/>
      </c>
      <c r="N91" s="26" t="str">
        <f aca="false">IF(OR($A91="",N$4=""),"",IF(NOT(OR(N$6="Toda la plantilla",ISNUMBER(SEARCH(";"&amp;SUBSTITUTE($C91," ","")&amp;";",";"&amp;SUBSTITUTE(N$7," ","")&amp;";")))),"—",IF(_xlfn.MAXIFS(Acuses!$C$5:$C$3004,Acuses!$A$5:$A$3004,$A91,Acuses!$B$5:$B$3004,N$4)&lt;N$5,"Pendiente",IF(N$8=0,"OK",IF(EDATE(_xlfn.MAXIFS(Acuses!$D$5:$D$3004,Acuses!$A$5:$A$3004,$A91,Acuses!$B$5:$B$3004,N$4,Acuses!$C$5:$C$3004,N$5),N$8)&lt;Resumen!$C$4,"Caducado",IF(EDATE(_xlfn.MAXIFS(Acuses!$D$5:$D$3004,Acuses!$A$5:$A$3004,$A91,Acuses!$B$5:$B$3004,N$4,Acuses!$C$5:$C$3004,N$5),N$8)&lt;Resumen!$C$4+30,"Caduca pronto","OK"))))))</f>
        <v/>
      </c>
      <c r="O91" s="26" t="str">
        <f aca="false">IF(OR($A91="",O$4=""),"",IF(NOT(OR(O$6="Toda la plantilla",ISNUMBER(SEARCH(";"&amp;SUBSTITUTE($C91," ","")&amp;";",";"&amp;SUBSTITUTE(O$7," ","")&amp;";")))),"—",IF(_xlfn.MAXIFS(Acuses!$C$5:$C$3004,Acuses!$A$5:$A$3004,$A91,Acuses!$B$5:$B$3004,O$4)&lt;O$5,"Pendiente",IF(O$8=0,"OK",IF(EDATE(_xlfn.MAXIFS(Acuses!$D$5:$D$3004,Acuses!$A$5:$A$3004,$A91,Acuses!$B$5:$B$3004,O$4,Acuses!$C$5:$C$3004,O$5),O$8)&lt;Resumen!$C$4,"Caducado",IF(EDATE(_xlfn.MAXIFS(Acuses!$D$5:$D$3004,Acuses!$A$5:$A$3004,$A91,Acuses!$B$5:$B$3004,O$4,Acuses!$C$5:$C$3004,O$5),O$8)&lt;Resumen!$C$4+30,"Caduca pronto","OK"))))))</f>
        <v/>
      </c>
      <c r="P91" s="26" t="str">
        <f aca="false">IF(OR($A91="",P$4=""),"",IF(NOT(OR(P$6="Toda la plantilla",ISNUMBER(SEARCH(";"&amp;SUBSTITUTE($C91," ","")&amp;";",";"&amp;SUBSTITUTE(P$7," ","")&amp;";")))),"—",IF(_xlfn.MAXIFS(Acuses!$C$5:$C$3004,Acuses!$A$5:$A$3004,$A91,Acuses!$B$5:$B$3004,P$4)&lt;P$5,"Pendiente",IF(P$8=0,"OK",IF(EDATE(_xlfn.MAXIFS(Acuses!$D$5:$D$3004,Acuses!$A$5:$A$3004,$A91,Acuses!$B$5:$B$3004,P$4,Acuses!$C$5:$C$3004,P$5),P$8)&lt;Resumen!$C$4,"Caducado",IF(EDATE(_xlfn.MAXIFS(Acuses!$D$5:$D$3004,Acuses!$A$5:$A$3004,$A91,Acuses!$B$5:$B$3004,P$4,Acuses!$C$5:$C$3004,P$5),P$8)&lt;Resumen!$C$4+30,"Caduca pronto","OK"))))))</f>
        <v/>
      </c>
      <c r="Q91" s="26" t="str">
        <f aca="false">IF(OR($A91="",Q$4=""),"",IF(NOT(OR(Q$6="Toda la plantilla",ISNUMBER(SEARCH(";"&amp;SUBSTITUTE($C91," ","")&amp;";",";"&amp;SUBSTITUTE(Q$7," ","")&amp;";")))),"—",IF(_xlfn.MAXIFS(Acuses!$C$5:$C$3004,Acuses!$A$5:$A$3004,$A91,Acuses!$B$5:$B$3004,Q$4)&lt;Q$5,"Pendiente",IF(Q$8=0,"OK",IF(EDATE(_xlfn.MAXIFS(Acuses!$D$5:$D$3004,Acuses!$A$5:$A$3004,$A91,Acuses!$B$5:$B$3004,Q$4,Acuses!$C$5:$C$3004,Q$5),Q$8)&lt;Resumen!$C$4,"Caducado",IF(EDATE(_xlfn.MAXIFS(Acuses!$D$5:$D$3004,Acuses!$A$5:$A$3004,$A91,Acuses!$B$5:$B$3004,Q$4,Acuses!$C$5:$C$3004,Q$5),Q$8)&lt;Resumen!$C$4+30,"Caduca pronto","OK"))))))</f>
        <v/>
      </c>
      <c r="R91" s="26" t="str">
        <f aca="false">IF(OR($A91="",R$4=""),"",IF(NOT(OR(R$6="Toda la plantilla",ISNUMBER(SEARCH(";"&amp;SUBSTITUTE($C91," ","")&amp;";",";"&amp;SUBSTITUTE(R$7," ","")&amp;";")))),"—",IF(_xlfn.MAXIFS(Acuses!$C$5:$C$3004,Acuses!$A$5:$A$3004,$A91,Acuses!$B$5:$B$3004,R$4)&lt;R$5,"Pendiente",IF(R$8=0,"OK",IF(EDATE(_xlfn.MAXIFS(Acuses!$D$5:$D$3004,Acuses!$A$5:$A$3004,$A91,Acuses!$B$5:$B$3004,R$4,Acuses!$C$5:$C$3004,R$5),R$8)&lt;Resumen!$C$4,"Caducado",IF(EDATE(_xlfn.MAXIFS(Acuses!$D$5:$D$3004,Acuses!$A$5:$A$3004,$A91,Acuses!$B$5:$B$3004,R$4,Acuses!$C$5:$C$3004,R$5),R$8)&lt;Resumen!$C$4+30,"Caduca pronto","OK"))))))</f>
        <v/>
      </c>
      <c r="S91" s="26" t="str">
        <f aca="false">IF(OR($A91="",S$4=""),"",IF(NOT(OR(S$6="Toda la plantilla",ISNUMBER(SEARCH(";"&amp;SUBSTITUTE($C91," ","")&amp;";",";"&amp;SUBSTITUTE(S$7," ","")&amp;";")))),"—",IF(_xlfn.MAXIFS(Acuses!$C$5:$C$3004,Acuses!$A$5:$A$3004,$A91,Acuses!$B$5:$B$3004,S$4)&lt;S$5,"Pendiente",IF(S$8=0,"OK",IF(EDATE(_xlfn.MAXIFS(Acuses!$D$5:$D$3004,Acuses!$A$5:$A$3004,$A91,Acuses!$B$5:$B$3004,S$4,Acuses!$C$5:$C$3004,S$5),S$8)&lt;Resumen!$C$4,"Caducado",IF(EDATE(_xlfn.MAXIFS(Acuses!$D$5:$D$3004,Acuses!$A$5:$A$3004,$A91,Acuses!$B$5:$B$3004,S$4,Acuses!$C$5:$C$3004,S$5),S$8)&lt;Resumen!$C$4+30,"Caduca pronto","OK"))))))</f>
        <v/>
      </c>
      <c r="T91" s="26" t="str">
        <f aca="false">IF(OR($A91="",T$4=""),"",IF(NOT(OR(T$6="Toda la plantilla",ISNUMBER(SEARCH(";"&amp;SUBSTITUTE($C91," ","")&amp;";",";"&amp;SUBSTITUTE(T$7," ","")&amp;";")))),"—",IF(_xlfn.MAXIFS(Acuses!$C$5:$C$3004,Acuses!$A$5:$A$3004,$A91,Acuses!$B$5:$B$3004,T$4)&lt;T$5,"Pendiente",IF(T$8=0,"OK",IF(EDATE(_xlfn.MAXIFS(Acuses!$D$5:$D$3004,Acuses!$A$5:$A$3004,$A91,Acuses!$B$5:$B$3004,T$4,Acuses!$C$5:$C$3004,T$5),T$8)&lt;Resumen!$C$4,"Caducado",IF(EDATE(_xlfn.MAXIFS(Acuses!$D$5:$D$3004,Acuses!$A$5:$A$3004,$A91,Acuses!$B$5:$B$3004,T$4,Acuses!$C$5:$C$3004,T$5),T$8)&lt;Resumen!$C$4+30,"Caduca pronto","OK"))))))</f>
        <v/>
      </c>
      <c r="U91" s="26" t="str">
        <f aca="false">IF(OR($A91="",U$4=""),"",IF(NOT(OR(U$6="Toda la plantilla",ISNUMBER(SEARCH(";"&amp;SUBSTITUTE($C91," ","")&amp;";",";"&amp;SUBSTITUTE(U$7," ","")&amp;";")))),"—",IF(_xlfn.MAXIFS(Acuses!$C$5:$C$3004,Acuses!$A$5:$A$3004,$A91,Acuses!$B$5:$B$3004,U$4)&lt;U$5,"Pendiente",IF(U$8=0,"OK",IF(EDATE(_xlfn.MAXIFS(Acuses!$D$5:$D$3004,Acuses!$A$5:$A$3004,$A91,Acuses!$B$5:$B$3004,U$4,Acuses!$C$5:$C$3004,U$5),U$8)&lt;Resumen!$C$4,"Caducado",IF(EDATE(_xlfn.MAXIFS(Acuses!$D$5:$D$3004,Acuses!$A$5:$A$3004,$A91,Acuses!$B$5:$B$3004,U$4,Acuses!$C$5:$C$3004,U$5),U$8)&lt;Resumen!$C$4+30,"Caduca pronto","OK"))))))</f>
        <v/>
      </c>
      <c r="V91" s="26" t="str">
        <f aca="false">IF(OR($A91="",V$4=""),"",IF(NOT(OR(V$6="Toda la plantilla",ISNUMBER(SEARCH(";"&amp;SUBSTITUTE($C91," ","")&amp;";",";"&amp;SUBSTITUTE(V$7," ","")&amp;";")))),"—",IF(_xlfn.MAXIFS(Acuses!$C$5:$C$3004,Acuses!$A$5:$A$3004,$A91,Acuses!$B$5:$B$3004,V$4)&lt;V$5,"Pendiente",IF(V$8=0,"OK",IF(EDATE(_xlfn.MAXIFS(Acuses!$D$5:$D$3004,Acuses!$A$5:$A$3004,$A91,Acuses!$B$5:$B$3004,V$4,Acuses!$C$5:$C$3004,V$5),V$8)&lt;Resumen!$C$4,"Caducado",IF(EDATE(_xlfn.MAXIFS(Acuses!$D$5:$D$3004,Acuses!$A$5:$A$3004,$A91,Acuses!$B$5:$B$3004,V$4,Acuses!$C$5:$C$3004,V$5),V$8)&lt;Resumen!$C$4+30,"Caduca pronto","OK"))))))</f>
        <v/>
      </c>
      <c r="W91" s="26" t="str">
        <f aca="false">IF(OR($A91="",W$4=""),"",IF(NOT(OR(W$6="Toda la plantilla",ISNUMBER(SEARCH(";"&amp;SUBSTITUTE($C91," ","")&amp;";",";"&amp;SUBSTITUTE(W$7," ","")&amp;";")))),"—",IF(_xlfn.MAXIFS(Acuses!$C$5:$C$3004,Acuses!$A$5:$A$3004,$A91,Acuses!$B$5:$B$3004,W$4)&lt;W$5,"Pendiente",IF(W$8=0,"OK",IF(EDATE(_xlfn.MAXIFS(Acuses!$D$5:$D$3004,Acuses!$A$5:$A$3004,$A91,Acuses!$B$5:$B$3004,W$4,Acuses!$C$5:$C$3004,W$5),W$8)&lt;Resumen!$C$4,"Caducado",IF(EDATE(_xlfn.MAXIFS(Acuses!$D$5:$D$3004,Acuses!$A$5:$A$3004,$A91,Acuses!$B$5:$B$3004,W$4,Acuses!$C$5:$C$3004,W$5),W$8)&lt;Resumen!$C$4+30,"Caduca pronto","OK"))))))</f>
        <v/>
      </c>
      <c r="X91" s="26" t="str">
        <f aca="false">IF(OR($A91="",X$4=""),"",IF(NOT(OR(X$6="Toda la plantilla",ISNUMBER(SEARCH(";"&amp;SUBSTITUTE($C91," ","")&amp;";",";"&amp;SUBSTITUTE(X$7," ","")&amp;";")))),"—",IF(_xlfn.MAXIFS(Acuses!$C$5:$C$3004,Acuses!$A$5:$A$3004,$A91,Acuses!$B$5:$B$3004,X$4)&lt;X$5,"Pendiente",IF(X$8=0,"OK",IF(EDATE(_xlfn.MAXIFS(Acuses!$D$5:$D$3004,Acuses!$A$5:$A$3004,$A91,Acuses!$B$5:$B$3004,X$4,Acuses!$C$5:$C$3004,X$5),X$8)&lt;Resumen!$C$4,"Caducado",IF(EDATE(_xlfn.MAXIFS(Acuses!$D$5:$D$3004,Acuses!$A$5:$A$3004,$A91,Acuses!$B$5:$B$3004,X$4,Acuses!$C$5:$C$3004,X$5),X$8)&lt;Resumen!$C$4+30,"Caduca pronto","OK"))))))</f>
        <v/>
      </c>
      <c r="Y91" s="26" t="str">
        <f aca="false">IF(OR($A91="",Y$4=""),"",IF(NOT(OR(Y$6="Toda la plantilla",ISNUMBER(SEARCH(";"&amp;SUBSTITUTE($C91," ","")&amp;";",";"&amp;SUBSTITUTE(Y$7," ","")&amp;";")))),"—",IF(_xlfn.MAXIFS(Acuses!$C$5:$C$3004,Acuses!$A$5:$A$3004,$A91,Acuses!$B$5:$B$3004,Y$4)&lt;Y$5,"Pendiente",IF(Y$8=0,"OK",IF(EDATE(_xlfn.MAXIFS(Acuses!$D$5:$D$3004,Acuses!$A$5:$A$3004,$A91,Acuses!$B$5:$B$3004,Y$4,Acuses!$C$5:$C$3004,Y$5),Y$8)&lt;Resumen!$C$4,"Caducado",IF(EDATE(_xlfn.MAXIFS(Acuses!$D$5:$D$3004,Acuses!$A$5:$A$3004,$A91,Acuses!$B$5:$B$3004,Y$4,Acuses!$C$5:$C$3004,Y$5),Y$8)&lt;Resumen!$C$4+30,"Caduca pronto","OK"))))))</f>
        <v/>
      </c>
      <c r="Z91" s="26" t="str">
        <f aca="false">IF(OR($A91="",Z$4=""),"",IF(NOT(OR(Z$6="Toda la plantilla",ISNUMBER(SEARCH(";"&amp;SUBSTITUTE($C91," ","")&amp;";",";"&amp;SUBSTITUTE(Z$7," ","")&amp;";")))),"—",IF(_xlfn.MAXIFS(Acuses!$C$5:$C$3004,Acuses!$A$5:$A$3004,$A91,Acuses!$B$5:$B$3004,Z$4)&lt;Z$5,"Pendiente",IF(Z$8=0,"OK",IF(EDATE(_xlfn.MAXIFS(Acuses!$D$5:$D$3004,Acuses!$A$5:$A$3004,$A91,Acuses!$B$5:$B$3004,Z$4,Acuses!$C$5:$C$3004,Z$5),Z$8)&lt;Resumen!$C$4,"Caducado",IF(EDATE(_xlfn.MAXIFS(Acuses!$D$5:$D$3004,Acuses!$A$5:$A$3004,$A91,Acuses!$B$5:$B$3004,Z$4,Acuses!$C$5:$C$3004,Z$5),Z$8)&lt;Resumen!$C$4+30,"Caduca pronto","OK"))))))</f>
        <v/>
      </c>
      <c r="AA91" s="26" t="str">
        <f aca="false">IF(OR($A91="",AA$4=""),"",IF(NOT(OR(AA$6="Toda la plantilla",ISNUMBER(SEARCH(";"&amp;SUBSTITUTE($C91," ","")&amp;";",";"&amp;SUBSTITUTE(AA$7," ","")&amp;";")))),"—",IF(_xlfn.MAXIFS(Acuses!$C$5:$C$3004,Acuses!$A$5:$A$3004,$A91,Acuses!$B$5:$B$3004,AA$4)&lt;AA$5,"Pendiente",IF(AA$8=0,"OK",IF(EDATE(_xlfn.MAXIFS(Acuses!$D$5:$D$3004,Acuses!$A$5:$A$3004,$A91,Acuses!$B$5:$B$3004,AA$4,Acuses!$C$5:$C$3004,AA$5),AA$8)&lt;Resumen!$C$4,"Caducado",IF(EDATE(_xlfn.MAXIFS(Acuses!$D$5:$D$3004,Acuses!$A$5:$A$3004,$A91,Acuses!$B$5:$B$3004,AA$4,Acuses!$C$5:$C$3004,AA$5),AA$8)&lt;Resumen!$C$4+30,"Caduca pronto","OK"))))))</f>
        <v/>
      </c>
      <c r="AB91" s="26" t="str">
        <f aca="false">IF(OR($A91="",AB$4=""),"",IF(NOT(OR(AB$6="Toda la plantilla",ISNUMBER(SEARCH(";"&amp;SUBSTITUTE($C91," ","")&amp;";",";"&amp;SUBSTITUTE(AB$7," ","")&amp;";")))),"—",IF(_xlfn.MAXIFS(Acuses!$C$5:$C$3004,Acuses!$A$5:$A$3004,$A91,Acuses!$B$5:$B$3004,AB$4)&lt;AB$5,"Pendiente",IF(AB$8=0,"OK",IF(EDATE(_xlfn.MAXIFS(Acuses!$D$5:$D$3004,Acuses!$A$5:$A$3004,$A91,Acuses!$B$5:$B$3004,AB$4,Acuses!$C$5:$C$3004,AB$5),AB$8)&lt;Resumen!$C$4,"Caducado",IF(EDATE(_xlfn.MAXIFS(Acuses!$D$5:$D$3004,Acuses!$A$5:$A$3004,$A91,Acuses!$B$5:$B$3004,AB$4,Acuses!$C$5:$C$3004,AB$5),AB$8)&lt;Resumen!$C$4+30,"Caduca pronto","OK"))))))</f>
        <v/>
      </c>
      <c r="AC91" s="26" t="str">
        <f aca="false">IF(OR($A91="",AC$4=""),"",IF(NOT(OR(AC$6="Toda la plantilla",ISNUMBER(SEARCH(";"&amp;SUBSTITUTE($C91," ","")&amp;";",";"&amp;SUBSTITUTE(AC$7," ","")&amp;";")))),"—",IF(_xlfn.MAXIFS(Acuses!$C$5:$C$3004,Acuses!$A$5:$A$3004,$A91,Acuses!$B$5:$B$3004,AC$4)&lt;AC$5,"Pendiente",IF(AC$8=0,"OK",IF(EDATE(_xlfn.MAXIFS(Acuses!$D$5:$D$3004,Acuses!$A$5:$A$3004,$A91,Acuses!$B$5:$B$3004,AC$4,Acuses!$C$5:$C$3004,AC$5),AC$8)&lt;Resumen!$C$4,"Caducado",IF(EDATE(_xlfn.MAXIFS(Acuses!$D$5:$D$3004,Acuses!$A$5:$A$3004,$A91,Acuses!$B$5:$B$3004,AC$4,Acuses!$C$5:$C$3004,AC$5),AC$8)&lt;Resumen!$C$4+30,"Caduca pronto","OK"))))))</f>
        <v/>
      </c>
      <c r="AD91" s="26" t="str">
        <f aca="false">IF(OR($A91="",AD$4=""),"",IF(NOT(OR(AD$6="Toda la plantilla",ISNUMBER(SEARCH(";"&amp;SUBSTITUTE($C91," ","")&amp;";",";"&amp;SUBSTITUTE(AD$7," ","")&amp;";")))),"—",IF(_xlfn.MAXIFS(Acuses!$C$5:$C$3004,Acuses!$A$5:$A$3004,$A91,Acuses!$B$5:$B$3004,AD$4)&lt;AD$5,"Pendiente",IF(AD$8=0,"OK",IF(EDATE(_xlfn.MAXIFS(Acuses!$D$5:$D$3004,Acuses!$A$5:$A$3004,$A91,Acuses!$B$5:$B$3004,AD$4,Acuses!$C$5:$C$3004,AD$5),AD$8)&lt;Resumen!$C$4,"Caducado",IF(EDATE(_xlfn.MAXIFS(Acuses!$D$5:$D$3004,Acuses!$A$5:$A$3004,$A91,Acuses!$B$5:$B$3004,AD$4,Acuses!$C$5:$C$3004,AD$5),AD$8)&lt;Resumen!$C$4+30,"Caduca pronto","OK"))))))</f>
        <v/>
      </c>
      <c r="AE91" s="26" t="str">
        <f aca="false">IF(OR($A91="",AE$4=""),"",IF(NOT(OR(AE$6="Toda la plantilla",ISNUMBER(SEARCH(";"&amp;SUBSTITUTE($C91," ","")&amp;";",";"&amp;SUBSTITUTE(AE$7," ","")&amp;";")))),"—",IF(_xlfn.MAXIFS(Acuses!$C$5:$C$3004,Acuses!$A$5:$A$3004,$A91,Acuses!$B$5:$B$3004,AE$4)&lt;AE$5,"Pendiente",IF(AE$8=0,"OK",IF(EDATE(_xlfn.MAXIFS(Acuses!$D$5:$D$3004,Acuses!$A$5:$A$3004,$A91,Acuses!$B$5:$B$3004,AE$4,Acuses!$C$5:$C$3004,AE$5),AE$8)&lt;Resumen!$C$4,"Caducado",IF(EDATE(_xlfn.MAXIFS(Acuses!$D$5:$D$3004,Acuses!$A$5:$A$3004,$A91,Acuses!$B$5:$B$3004,AE$4,Acuses!$C$5:$C$3004,AE$5),AE$8)&lt;Resumen!$C$4+30,"Caduca pronto","OK"))))))</f>
        <v/>
      </c>
      <c r="AF91" s="26" t="str">
        <f aca="false">IF(OR($A91="",AF$4=""),"",IF(NOT(OR(AF$6="Toda la plantilla",ISNUMBER(SEARCH(";"&amp;SUBSTITUTE($C91," ","")&amp;";",";"&amp;SUBSTITUTE(AF$7," ","")&amp;";")))),"—",IF(_xlfn.MAXIFS(Acuses!$C$5:$C$3004,Acuses!$A$5:$A$3004,$A91,Acuses!$B$5:$B$3004,AF$4)&lt;AF$5,"Pendiente",IF(AF$8=0,"OK",IF(EDATE(_xlfn.MAXIFS(Acuses!$D$5:$D$3004,Acuses!$A$5:$A$3004,$A91,Acuses!$B$5:$B$3004,AF$4,Acuses!$C$5:$C$3004,AF$5),AF$8)&lt;Resumen!$C$4,"Caducado",IF(EDATE(_xlfn.MAXIFS(Acuses!$D$5:$D$3004,Acuses!$A$5:$A$3004,$A91,Acuses!$B$5:$B$3004,AF$4,Acuses!$C$5:$C$3004,AF$5),AF$8)&lt;Resumen!$C$4+30,"Caduca pronto","OK"))))))</f>
        <v/>
      </c>
      <c r="AG91" s="26" t="str">
        <f aca="false">IF(OR($A91="",AG$4=""),"",IF(NOT(OR(AG$6="Toda la plantilla",ISNUMBER(SEARCH(";"&amp;SUBSTITUTE($C91," ","")&amp;";",";"&amp;SUBSTITUTE(AG$7," ","")&amp;";")))),"—",IF(_xlfn.MAXIFS(Acuses!$C$5:$C$3004,Acuses!$A$5:$A$3004,$A91,Acuses!$B$5:$B$3004,AG$4)&lt;AG$5,"Pendiente",IF(AG$8=0,"OK",IF(EDATE(_xlfn.MAXIFS(Acuses!$D$5:$D$3004,Acuses!$A$5:$A$3004,$A91,Acuses!$B$5:$B$3004,AG$4,Acuses!$C$5:$C$3004,AG$5),AG$8)&lt;Resumen!$C$4,"Caducado",IF(EDATE(_xlfn.MAXIFS(Acuses!$D$5:$D$3004,Acuses!$A$5:$A$3004,$A91,Acuses!$B$5:$B$3004,AG$4,Acuses!$C$5:$C$3004,AG$5),AG$8)&lt;Resumen!$C$4+30,"Caduca pronto","OK"))))))</f>
        <v/>
      </c>
      <c r="AH91" s="26" t="str">
        <f aca="false">IF(OR($A91="",AH$4=""),"",IF(NOT(OR(AH$6="Toda la plantilla",ISNUMBER(SEARCH(";"&amp;SUBSTITUTE($C91," ","")&amp;";",";"&amp;SUBSTITUTE(AH$7," ","")&amp;";")))),"—",IF(_xlfn.MAXIFS(Acuses!$C$5:$C$3004,Acuses!$A$5:$A$3004,$A91,Acuses!$B$5:$B$3004,AH$4)&lt;AH$5,"Pendiente",IF(AH$8=0,"OK",IF(EDATE(_xlfn.MAXIFS(Acuses!$D$5:$D$3004,Acuses!$A$5:$A$3004,$A91,Acuses!$B$5:$B$3004,AH$4,Acuses!$C$5:$C$3004,AH$5),AH$8)&lt;Resumen!$C$4,"Caducado",IF(EDATE(_xlfn.MAXIFS(Acuses!$D$5:$D$3004,Acuses!$A$5:$A$3004,$A91,Acuses!$B$5:$B$3004,AH$4,Acuses!$C$5:$C$3004,AH$5),AH$8)&lt;Resumen!$C$4+30,"Caduca pronto","OK"))))))</f>
        <v/>
      </c>
      <c r="AI91" s="26" t="str">
        <f aca="false">IF(OR($A91="",AI$4=""),"",IF(NOT(OR(AI$6="Toda la plantilla",ISNUMBER(SEARCH(";"&amp;SUBSTITUTE($C91," ","")&amp;";",";"&amp;SUBSTITUTE(AI$7," ","")&amp;";")))),"—",IF(_xlfn.MAXIFS(Acuses!$C$5:$C$3004,Acuses!$A$5:$A$3004,$A91,Acuses!$B$5:$B$3004,AI$4)&lt;AI$5,"Pendiente",IF(AI$8=0,"OK",IF(EDATE(_xlfn.MAXIFS(Acuses!$D$5:$D$3004,Acuses!$A$5:$A$3004,$A91,Acuses!$B$5:$B$3004,AI$4,Acuses!$C$5:$C$3004,AI$5),AI$8)&lt;Resumen!$C$4,"Caducado",IF(EDATE(_xlfn.MAXIFS(Acuses!$D$5:$D$3004,Acuses!$A$5:$A$3004,$A91,Acuses!$B$5:$B$3004,AI$4,Acuses!$C$5:$C$3004,AI$5),AI$8)&lt;Resumen!$C$4+30,"Caduca pronto","OK"))))))</f>
        <v/>
      </c>
      <c r="AJ91" s="26" t="str">
        <f aca="false">IF(OR($A91="",AJ$4=""),"",IF(NOT(OR(AJ$6="Toda la plantilla",ISNUMBER(SEARCH(";"&amp;SUBSTITUTE($C91," ","")&amp;";",";"&amp;SUBSTITUTE(AJ$7," ","")&amp;";")))),"—",IF(_xlfn.MAXIFS(Acuses!$C$5:$C$3004,Acuses!$A$5:$A$3004,$A91,Acuses!$B$5:$B$3004,AJ$4)&lt;AJ$5,"Pendiente",IF(AJ$8=0,"OK",IF(EDATE(_xlfn.MAXIFS(Acuses!$D$5:$D$3004,Acuses!$A$5:$A$3004,$A91,Acuses!$B$5:$B$3004,AJ$4,Acuses!$C$5:$C$3004,AJ$5),AJ$8)&lt;Resumen!$C$4,"Caducado",IF(EDATE(_xlfn.MAXIFS(Acuses!$D$5:$D$3004,Acuses!$A$5:$A$3004,$A91,Acuses!$B$5:$B$3004,AJ$4,Acuses!$C$5:$C$3004,AJ$5),AJ$8)&lt;Resumen!$C$4+30,"Caduca pronto","OK"))))))</f>
        <v/>
      </c>
      <c r="AK91" s="26" t="str">
        <f aca="false">IF(OR($A91="",AK$4=""),"",IF(NOT(OR(AK$6="Toda la plantilla",ISNUMBER(SEARCH(";"&amp;SUBSTITUTE($C91," ","")&amp;";",";"&amp;SUBSTITUTE(AK$7," ","")&amp;";")))),"—",IF(_xlfn.MAXIFS(Acuses!$C$5:$C$3004,Acuses!$A$5:$A$3004,$A91,Acuses!$B$5:$B$3004,AK$4)&lt;AK$5,"Pendiente",IF(AK$8=0,"OK",IF(EDATE(_xlfn.MAXIFS(Acuses!$D$5:$D$3004,Acuses!$A$5:$A$3004,$A91,Acuses!$B$5:$B$3004,AK$4,Acuses!$C$5:$C$3004,AK$5),AK$8)&lt;Resumen!$C$4,"Caducado",IF(EDATE(_xlfn.MAXIFS(Acuses!$D$5:$D$3004,Acuses!$A$5:$A$3004,$A91,Acuses!$B$5:$B$3004,AK$4,Acuses!$C$5:$C$3004,AK$5),AK$8)&lt;Resumen!$C$4+30,"Caduca pronto","OK"))))))</f>
        <v/>
      </c>
      <c r="AL91" s="26" t="str">
        <f aca="false">IF(OR($A91="",AL$4=""),"",IF(NOT(OR(AL$6="Toda la plantilla",ISNUMBER(SEARCH(";"&amp;SUBSTITUTE($C91," ","")&amp;";",";"&amp;SUBSTITUTE(AL$7," ","")&amp;";")))),"—",IF(_xlfn.MAXIFS(Acuses!$C$5:$C$3004,Acuses!$A$5:$A$3004,$A91,Acuses!$B$5:$B$3004,AL$4)&lt;AL$5,"Pendiente",IF(AL$8=0,"OK",IF(EDATE(_xlfn.MAXIFS(Acuses!$D$5:$D$3004,Acuses!$A$5:$A$3004,$A91,Acuses!$B$5:$B$3004,AL$4,Acuses!$C$5:$C$3004,AL$5),AL$8)&lt;Resumen!$C$4,"Caducado",IF(EDATE(_xlfn.MAXIFS(Acuses!$D$5:$D$3004,Acuses!$A$5:$A$3004,$A91,Acuses!$B$5:$B$3004,AL$4,Acuses!$C$5:$C$3004,AL$5),AL$8)&lt;Resumen!$C$4+30,"Caduca pronto","OK"))))))</f>
        <v/>
      </c>
      <c r="AM91" s="26" t="str">
        <f aca="false">IF(OR($A91="",AM$4=""),"",IF(NOT(OR(AM$6="Toda la plantilla",ISNUMBER(SEARCH(";"&amp;SUBSTITUTE($C91," ","")&amp;";",";"&amp;SUBSTITUTE(AM$7," ","")&amp;";")))),"—",IF(_xlfn.MAXIFS(Acuses!$C$5:$C$3004,Acuses!$A$5:$A$3004,$A91,Acuses!$B$5:$B$3004,AM$4)&lt;AM$5,"Pendiente",IF(AM$8=0,"OK",IF(EDATE(_xlfn.MAXIFS(Acuses!$D$5:$D$3004,Acuses!$A$5:$A$3004,$A91,Acuses!$B$5:$B$3004,AM$4,Acuses!$C$5:$C$3004,AM$5),AM$8)&lt;Resumen!$C$4,"Caducado",IF(EDATE(_xlfn.MAXIFS(Acuses!$D$5:$D$3004,Acuses!$A$5:$A$3004,$A91,Acuses!$B$5:$B$3004,AM$4,Acuses!$C$5:$C$3004,AM$5),AM$8)&lt;Resumen!$C$4+30,"Caduca pronto","OK"))))))</f>
        <v/>
      </c>
      <c r="AN91" s="26" t="str">
        <f aca="false">IF(OR($A91="",AN$4=""),"",IF(NOT(OR(AN$6="Toda la plantilla",ISNUMBER(SEARCH(";"&amp;SUBSTITUTE($C91," ","")&amp;";",";"&amp;SUBSTITUTE(AN$7," ","")&amp;";")))),"—",IF(_xlfn.MAXIFS(Acuses!$C$5:$C$3004,Acuses!$A$5:$A$3004,$A91,Acuses!$B$5:$B$3004,AN$4)&lt;AN$5,"Pendiente",IF(AN$8=0,"OK",IF(EDATE(_xlfn.MAXIFS(Acuses!$D$5:$D$3004,Acuses!$A$5:$A$3004,$A91,Acuses!$B$5:$B$3004,AN$4,Acuses!$C$5:$C$3004,AN$5),AN$8)&lt;Resumen!$C$4,"Caducado",IF(EDATE(_xlfn.MAXIFS(Acuses!$D$5:$D$3004,Acuses!$A$5:$A$3004,$A91,Acuses!$B$5:$B$3004,AN$4,Acuses!$C$5:$C$3004,AN$5),AN$8)&lt;Resumen!$C$4+30,"Caduca pronto","OK"))))))</f>
        <v/>
      </c>
      <c r="AO91" s="26" t="str">
        <f aca="false">IF(OR($A91="",AO$4=""),"",IF(NOT(OR(AO$6="Toda la plantilla",ISNUMBER(SEARCH(";"&amp;SUBSTITUTE($C91," ","")&amp;";",";"&amp;SUBSTITUTE(AO$7," ","")&amp;";")))),"—",IF(_xlfn.MAXIFS(Acuses!$C$5:$C$3004,Acuses!$A$5:$A$3004,$A91,Acuses!$B$5:$B$3004,AO$4)&lt;AO$5,"Pendiente",IF(AO$8=0,"OK",IF(EDATE(_xlfn.MAXIFS(Acuses!$D$5:$D$3004,Acuses!$A$5:$A$3004,$A91,Acuses!$B$5:$B$3004,AO$4,Acuses!$C$5:$C$3004,AO$5),AO$8)&lt;Resumen!$C$4,"Caducado",IF(EDATE(_xlfn.MAXIFS(Acuses!$D$5:$D$3004,Acuses!$A$5:$A$3004,$A91,Acuses!$B$5:$B$3004,AO$4,Acuses!$C$5:$C$3004,AO$5),AO$8)&lt;Resumen!$C$4+30,"Caduca pronto","OK"))))))</f>
        <v/>
      </c>
      <c r="AP91" s="26" t="str">
        <f aca="false">IF(OR($A91="",AP$4=""),"",IF(NOT(OR(AP$6="Toda la plantilla",ISNUMBER(SEARCH(";"&amp;SUBSTITUTE($C91," ","")&amp;";",";"&amp;SUBSTITUTE(AP$7," ","")&amp;";")))),"—",IF(_xlfn.MAXIFS(Acuses!$C$5:$C$3004,Acuses!$A$5:$A$3004,$A91,Acuses!$B$5:$B$3004,AP$4)&lt;AP$5,"Pendiente",IF(AP$8=0,"OK",IF(EDATE(_xlfn.MAXIFS(Acuses!$D$5:$D$3004,Acuses!$A$5:$A$3004,$A91,Acuses!$B$5:$B$3004,AP$4,Acuses!$C$5:$C$3004,AP$5),AP$8)&lt;Resumen!$C$4,"Caducado",IF(EDATE(_xlfn.MAXIFS(Acuses!$D$5:$D$3004,Acuses!$A$5:$A$3004,$A91,Acuses!$B$5:$B$3004,AP$4,Acuses!$C$5:$C$3004,AP$5),AP$8)&lt;Resumen!$C$4+30,"Caduca pronto","OK"))))))</f>
        <v/>
      </c>
      <c r="AQ91" s="26" t="str">
        <f aca="false">IF(OR($A91="",AQ$4=""),"",IF(NOT(OR(AQ$6="Toda la plantilla",ISNUMBER(SEARCH(";"&amp;SUBSTITUTE($C91," ","")&amp;";",";"&amp;SUBSTITUTE(AQ$7," ","")&amp;";")))),"—",IF(_xlfn.MAXIFS(Acuses!$C$5:$C$3004,Acuses!$A$5:$A$3004,$A91,Acuses!$B$5:$B$3004,AQ$4)&lt;AQ$5,"Pendiente",IF(AQ$8=0,"OK",IF(EDATE(_xlfn.MAXIFS(Acuses!$D$5:$D$3004,Acuses!$A$5:$A$3004,$A91,Acuses!$B$5:$B$3004,AQ$4,Acuses!$C$5:$C$3004,AQ$5),AQ$8)&lt;Resumen!$C$4,"Caducado",IF(EDATE(_xlfn.MAXIFS(Acuses!$D$5:$D$3004,Acuses!$A$5:$A$3004,$A91,Acuses!$B$5:$B$3004,AQ$4,Acuses!$C$5:$C$3004,AQ$5),AQ$8)&lt;Resumen!$C$4+30,"Caduca pronto","OK"))))))</f>
        <v/>
      </c>
    </row>
    <row r="92" customFormat="false" ht="15" hidden="false" customHeight="false" outlineLevel="0" collapsed="false">
      <c r="A92" s="25" t="str">
        <f aca="false">IF(AND(Trabajadores!$A$87&lt;&gt;"",Trabajadores!$G$87&lt;&gt;"No"),Trabajadores!$A$87,"")</f>
        <v/>
      </c>
      <c r="B92" s="25" t="str">
        <f aca="false">IF($A92="","",Trabajadores!$B$87)</f>
        <v/>
      </c>
      <c r="C92" s="25" t="str">
        <f aca="false">IF($A92="","",Trabajadores!$C$87)</f>
        <v/>
      </c>
      <c r="D92" s="26" t="str">
        <f aca="false">IF(OR($A92="",D$4=""),"",IF(NOT(OR(D$6="Toda la plantilla",ISNUMBER(SEARCH(";"&amp;SUBSTITUTE($C92," ","")&amp;";",";"&amp;SUBSTITUTE(D$7," ","")&amp;";")))),"—",IF(_xlfn.MAXIFS(Acuses!$C$5:$C$3004,Acuses!$A$5:$A$3004,$A92,Acuses!$B$5:$B$3004,D$4)&lt;D$5,"Pendiente",IF(D$8=0,"OK",IF(EDATE(_xlfn.MAXIFS(Acuses!$D$5:$D$3004,Acuses!$A$5:$A$3004,$A92,Acuses!$B$5:$B$3004,D$4,Acuses!$C$5:$C$3004,D$5),D$8)&lt;Resumen!$C$4,"Caducado",IF(EDATE(_xlfn.MAXIFS(Acuses!$D$5:$D$3004,Acuses!$A$5:$A$3004,$A92,Acuses!$B$5:$B$3004,D$4,Acuses!$C$5:$C$3004,D$5),D$8)&lt;Resumen!$C$4+30,"Caduca pronto","OK"))))))</f>
        <v/>
      </c>
      <c r="E92" s="26" t="str">
        <f aca="false">IF(OR($A92="",E$4=""),"",IF(NOT(OR(E$6="Toda la plantilla",ISNUMBER(SEARCH(";"&amp;SUBSTITUTE($C92," ","")&amp;";",";"&amp;SUBSTITUTE(E$7," ","")&amp;";")))),"—",IF(_xlfn.MAXIFS(Acuses!$C$5:$C$3004,Acuses!$A$5:$A$3004,$A92,Acuses!$B$5:$B$3004,E$4)&lt;E$5,"Pendiente",IF(E$8=0,"OK",IF(EDATE(_xlfn.MAXIFS(Acuses!$D$5:$D$3004,Acuses!$A$5:$A$3004,$A92,Acuses!$B$5:$B$3004,E$4,Acuses!$C$5:$C$3004,E$5),E$8)&lt;Resumen!$C$4,"Caducado",IF(EDATE(_xlfn.MAXIFS(Acuses!$D$5:$D$3004,Acuses!$A$5:$A$3004,$A92,Acuses!$B$5:$B$3004,E$4,Acuses!$C$5:$C$3004,E$5),E$8)&lt;Resumen!$C$4+30,"Caduca pronto","OK"))))))</f>
        <v/>
      </c>
      <c r="F92" s="26" t="str">
        <f aca="false">IF(OR($A92="",F$4=""),"",IF(NOT(OR(F$6="Toda la plantilla",ISNUMBER(SEARCH(";"&amp;SUBSTITUTE($C92," ","")&amp;";",";"&amp;SUBSTITUTE(F$7," ","")&amp;";")))),"—",IF(_xlfn.MAXIFS(Acuses!$C$5:$C$3004,Acuses!$A$5:$A$3004,$A92,Acuses!$B$5:$B$3004,F$4)&lt;F$5,"Pendiente",IF(F$8=0,"OK",IF(EDATE(_xlfn.MAXIFS(Acuses!$D$5:$D$3004,Acuses!$A$5:$A$3004,$A92,Acuses!$B$5:$B$3004,F$4,Acuses!$C$5:$C$3004,F$5),F$8)&lt;Resumen!$C$4,"Caducado",IF(EDATE(_xlfn.MAXIFS(Acuses!$D$5:$D$3004,Acuses!$A$5:$A$3004,$A92,Acuses!$B$5:$B$3004,F$4,Acuses!$C$5:$C$3004,F$5),F$8)&lt;Resumen!$C$4+30,"Caduca pronto","OK"))))))</f>
        <v/>
      </c>
      <c r="G92" s="26" t="str">
        <f aca="false">IF(OR($A92="",G$4=""),"",IF(NOT(OR(G$6="Toda la plantilla",ISNUMBER(SEARCH(";"&amp;SUBSTITUTE($C92," ","")&amp;";",";"&amp;SUBSTITUTE(G$7," ","")&amp;";")))),"—",IF(_xlfn.MAXIFS(Acuses!$C$5:$C$3004,Acuses!$A$5:$A$3004,$A92,Acuses!$B$5:$B$3004,G$4)&lt;G$5,"Pendiente",IF(G$8=0,"OK",IF(EDATE(_xlfn.MAXIFS(Acuses!$D$5:$D$3004,Acuses!$A$5:$A$3004,$A92,Acuses!$B$5:$B$3004,G$4,Acuses!$C$5:$C$3004,G$5),G$8)&lt;Resumen!$C$4,"Caducado",IF(EDATE(_xlfn.MAXIFS(Acuses!$D$5:$D$3004,Acuses!$A$5:$A$3004,$A92,Acuses!$B$5:$B$3004,G$4,Acuses!$C$5:$C$3004,G$5),G$8)&lt;Resumen!$C$4+30,"Caduca pronto","OK"))))))</f>
        <v/>
      </c>
      <c r="H92" s="26" t="str">
        <f aca="false">IF(OR($A92="",H$4=""),"",IF(NOT(OR(H$6="Toda la plantilla",ISNUMBER(SEARCH(";"&amp;SUBSTITUTE($C92," ","")&amp;";",";"&amp;SUBSTITUTE(H$7," ","")&amp;";")))),"—",IF(_xlfn.MAXIFS(Acuses!$C$5:$C$3004,Acuses!$A$5:$A$3004,$A92,Acuses!$B$5:$B$3004,H$4)&lt;H$5,"Pendiente",IF(H$8=0,"OK",IF(EDATE(_xlfn.MAXIFS(Acuses!$D$5:$D$3004,Acuses!$A$5:$A$3004,$A92,Acuses!$B$5:$B$3004,H$4,Acuses!$C$5:$C$3004,H$5),H$8)&lt;Resumen!$C$4,"Caducado",IF(EDATE(_xlfn.MAXIFS(Acuses!$D$5:$D$3004,Acuses!$A$5:$A$3004,$A92,Acuses!$B$5:$B$3004,H$4,Acuses!$C$5:$C$3004,H$5),H$8)&lt;Resumen!$C$4+30,"Caduca pronto","OK"))))))</f>
        <v/>
      </c>
      <c r="I92" s="26" t="str">
        <f aca="false">IF(OR($A92="",I$4=""),"",IF(NOT(OR(I$6="Toda la plantilla",ISNUMBER(SEARCH(";"&amp;SUBSTITUTE($C92," ","")&amp;";",";"&amp;SUBSTITUTE(I$7," ","")&amp;";")))),"—",IF(_xlfn.MAXIFS(Acuses!$C$5:$C$3004,Acuses!$A$5:$A$3004,$A92,Acuses!$B$5:$B$3004,I$4)&lt;I$5,"Pendiente",IF(I$8=0,"OK",IF(EDATE(_xlfn.MAXIFS(Acuses!$D$5:$D$3004,Acuses!$A$5:$A$3004,$A92,Acuses!$B$5:$B$3004,I$4,Acuses!$C$5:$C$3004,I$5),I$8)&lt;Resumen!$C$4,"Caducado",IF(EDATE(_xlfn.MAXIFS(Acuses!$D$5:$D$3004,Acuses!$A$5:$A$3004,$A92,Acuses!$B$5:$B$3004,I$4,Acuses!$C$5:$C$3004,I$5),I$8)&lt;Resumen!$C$4+30,"Caduca pronto","OK"))))))</f>
        <v/>
      </c>
      <c r="J92" s="26" t="str">
        <f aca="false">IF(OR($A92="",J$4=""),"",IF(NOT(OR(J$6="Toda la plantilla",ISNUMBER(SEARCH(";"&amp;SUBSTITUTE($C92," ","")&amp;";",";"&amp;SUBSTITUTE(J$7," ","")&amp;";")))),"—",IF(_xlfn.MAXIFS(Acuses!$C$5:$C$3004,Acuses!$A$5:$A$3004,$A92,Acuses!$B$5:$B$3004,J$4)&lt;J$5,"Pendiente",IF(J$8=0,"OK",IF(EDATE(_xlfn.MAXIFS(Acuses!$D$5:$D$3004,Acuses!$A$5:$A$3004,$A92,Acuses!$B$5:$B$3004,J$4,Acuses!$C$5:$C$3004,J$5),J$8)&lt;Resumen!$C$4,"Caducado",IF(EDATE(_xlfn.MAXIFS(Acuses!$D$5:$D$3004,Acuses!$A$5:$A$3004,$A92,Acuses!$B$5:$B$3004,J$4,Acuses!$C$5:$C$3004,J$5),J$8)&lt;Resumen!$C$4+30,"Caduca pronto","OK"))))))</f>
        <v/>
      </c>
      <c r="K92" s="26" t="str">
        <f aca="false">IF(OR($A92="",K$4=""),"",IF(NOT(OR(K$6="Toda la plantilla",ISNUMBER(SEARCH(";"&amp;SUBSTITUTE($C92," ","")&amp;";",";"&amp;SUBSTITUTE(K$7," ","")&amp;";")))),"—",IF(_xlfn.MAXIFS(Acuses!$C$5:$C$3004,Acuses!$A$5:$A$3004,$A92,Acuses!$B$5:$B$3004,K$4)&lt;K$5,"Pendiente",IF(K$8=0,"OK",IF(EDATE(_xlfn.MAXIFS(Acuses!$D$5:$D$3004,Acuses!$A$5:$A$3004,$A92,Acuses!$B$5:$B$3004,K$4,Acuses!$C$5:$C$3004,K$5),K$8)&lt;Resumen!$C$4,"Caducado",IF(EDATE(_xlfn.MAXIFS(Acuses!$D$5:$D$3004,Acuses!$A$5:$A$3004,$A92,Acuses!$B$5:$B$3004,K$4,Acuses!$C$5:$C$3004,K$5),K$8)&lt;Resumen!$C$4+30,"Caduca pronto","OK"))))))</f>
        <v/>
      </c>
      <c r="L92" s="26" t="str">
        <f aca="false">IF(OR($A92="",L$4=""),"",IF(NOT(OR(L$6="Toda la plantilla",ISNUMBER(SEARCH(";"&amp;SUBSTITUTE($C92," ","")&amp;";",";"&amp;SUBSTITUTE(L$7," ","")&amp;";")))),"—",IF(_xlfn.MAXIFS(Acuses!$C$5:$C$3004,Acuses!$A$5:$A$3004,$A92,Acuses!$B$5:$B$3004,L$4)&lt;L$5,"Pendiente",IF(L$8=0,"OK",IF(EDATE(_xlfn.MAXIFS(Acuses!$D$5:$D$3004,Acuses!$A$5:$A$3004,$A92,Acuses!$B$5:$B$3004,L$4,Acuses!$C$5:$C$3004,L$5),L$8)&lt;Resumen!$C$4,"Caducado",IF(EDATE(_xlfn.MAXIFS(Acuses!$D$5:$D$3004,Acuses!$A$5:$A$3004,$A92,Acuses!$B$5:$B$3004,L$4,Acuses!$C$5:$C$3004,L$5),L$8)&lt;Resumen!$C$4+30,"Caduca pronto","OK"))))))</f>
        <v/>
      </c>
      <c r="M92" s="26" t="str">
        <f aca="false">IF(OR($A92="",M$4=""),"",IF(NOT(OR(M$6="Toda la plantilla",ISNUMBER(SEARCH(";"&amp;SUBSTITUTE($C92," ","")&amp;";",";"&amp;SUBSTITUTE(M$7," ","")&amp;";")))),"—",IF(_xlfn.MAXIFS(Acuses!$C$5:$C$3004,Acuses!$A$5:$A$3004,$A92,Acuses!$B$5:$B$3004,M$4)&lt;M$5,"Pendiente",IF(M$8=0,"OK",IF(EDATE(_xlfn.MAXIFS(Acuses!$D$5:$D$3004,Acuses!$A$5:$A$3004,$A92,Acuses!$B$5:$B$3004,M$4,Acuses!$C$5:$C$3004,M$5),M$8)&lt;Resumen!$C$4,"Caducado",IF(EDATE(_xlfn.MAXIFS(Acuses!$D$5:$D$3004,Acuses!$A$5:$A$3004,$A92,Acuses!$B$5:$B$3004,M$4,Acuses!$C$5:$C$3004,M$5),M$8)&lt;Resumen!$C$4+30,"Caduca pronto","OK"))))))</f>
        <v/>
      </c>
      <c r="N92" s="26" t="str">
        <f aca="false">IF(OR($A92="",N$4=""),"",IF(NOT(OR(N$6="Toda la plantilla",ISNUMBER(SEARCH(";"&amp;SUBSTITUTE($C92," ","")&amp;";",";"&amp;SUBSTITUTE(N$7," ","")&amp;";")))),"—",IF(_xlfn.MAXIFS(Acuses!$C$5:$C$3004,Acuses!$A$5:$A$3004,$A92,Acuses!$B$5:$B$3004,N$4)&lt;N$5,"Pendiente",IF(N$8=0,"OK",IF(EDATE(_xlfn.MAXIFS(Acuses!$D$5:$D$3004,Acuses!$A$5:$A$3004,$A92,Acuses!$B$5:$B$3004,N$4,Acuses!$C$5:$C$3004,N$5),N$8)&lt;Resumen!$C$4,"Caducado",IF(EDATE(_xlfn.MAXIFS(Acuses!$D$5:$D$3004,Acuses!$A$5:$A$3004,$A92,Acuses!$B$5:$B$3004,N$4,Acuses!$C$5:$C$3004,N$5),N$8)&lt;Resumen!$C$4+30,"Caduca pronto","OK"))))))</f>
        <v/>
      </c>
      <c r="O92" s="26" t="str">
        <f aca="false">IF(OR($A92="",O$4=""),"",IF(NOT(OR(O$6="Toda la plantilla",ISNUMBER(SEARCH(";"&amp;SUBSTITUTE($C92," ","")&amp;";",";"&amp;SUBSTITUTE(O$7," ","")&amp;";")))),"—",IF(_xlfn.MAXIFS(Acuses!$C$5:$C$3004,Acuses!$A$5:$A$3004,$A92,Acuses!$B$5:$B$3004,O$4)&lt;O$5,"Pendiente",IF(O$8=0,"OK",IF(EDATE(_xlfn.MAXIFS(Acuses!$D$5:$D$3004,Acuses!$A$5:$A$3004,$A92,Acuses!$B$5:$B$3004,O$4,Acuses!$C$5:$C$3004,O$5),O$8)&lt;Resumen!$C$4,"Caducado",IF(EDATE(_xlfn.MAXIFS(Acuses!$D$5:$D$3004,Acuses!$A$5:$A$3004,$A92,Acuses!$B$5:$B$3004,O$4,Acuses!$C$5:$C$3004,O$5),O$8)&lt;Resumen!$C$4+30,"Caduca pronto","OK"))))))</f>
        <v/>
      </c>
      <c r="P92" s="26" t="str">
        <f aca="false">IF(OR($A92="",P$4=""),"",IF(NOT(OR(P$6="Toda la plantilla",ISNUMBER(SEARCH(";"&amp;SUBSTITUTE($C92," ","")&amp;";",";"&amp;SUBSTITUTE(P$7," ","")&amp;";")))),"—",IF(_xlfn.MAXIFS(Acuses!$C$5:$C$3004,Acuses!$A$5:$A$3004,$A92,Acuses!$B$5:$B$3004,P$4)&lt;P$5,"Pendiente",IF(P$8=0,"OK",IF(EDATE(_xlfn.MAXIFS(Acuses!$D$5:$D$3004,Acuses!$A$5:$A$3004,$A92,Acuses!$B$5:$B$3004,P$4,Acuses!$C$5:$C$3004,P$5),P$8)&lt;Resumen!$C$4,"Caducado",IF(EDATE(_xlfn.MAXIFS(Acuses!$D$5:$D$3004,Acuses!$A$5:$A$3004,$A92,Acuses!$B$5:$B$3004,P$4,Acuses!$C$5:$C$3004,P$5),P$8)&lt;Resumen!$C$4+30,"Caduca pronto","OK"))))))</f>
        <v/>
      </c>
      <c r="Q92" s="26" t="str">
        <f aca="false">IF(OR($A92="",Q$4=""),"",IF(NOT(OR(Q$6="Toda la plantilla",ISNUMBER(SEARCH(";"&amp;SUBSTITUTE($C92," ","")&amp;";",";"&amp;SUBSTITUTE(Q$7," ","")&amp;";")))),"—",IF(_xlfn.MAXIFS(Acuses!$C$5:$C$3004,Acuses!$A$5:$A$3004,$A92,Acuses!$B$5:$B$3004,Q$4)&lt;Q$5,"Pendiente",IF(Q$8=0,"OK",IF(EDATE(_xlfn.MAXIFS(Acuses!$D$5:$D$3004,Acuses!$A$5:$A$3004,$A92,Acuses!$B$5:$B$3004,Q$4,Acuses!$C$5:$C$3004,Q$5),Q$8)&lt;Resumen!$C$4,"Caducado",IF(EDATE(_xlfn.MAXIFS(Acuses!$D$5:$D$3004,Acuses!$A$5:$A$3004,$A92,Acuses!$B$5:$B$3004,Q$4,Acuses!$C$5:$C$3004,Q$5),Q$8)&lt;Resumen!$C$4+30,"Caduca pronto","OK"))))))</f>
        <v/>
      </c>
      <c r="R92" s="26" t="str">
        <f aca="false">IF(OR($A92="",R$4=""),"",IF(NOT(OR(R$6="Toda la plantilla",ISNUMBER(SEARCH(";"&amp;SUBSTITUTE($C92," ","")&amp;";",";"&amp;SUBSTITUTE(R$7," ","")&amp;";")))),"—",IF(_xlfn.MAXIFS(Acuses!$C$5:$C$3004,Acuses!$A$5:$A$3004,$A92,Acuses!$B$5:$B$3004,R$4)&lt;R$5,"Pendiente",IF(R$8=0,"OK",IF(EDATE(_xlfn.MAXIFS(Acuses!$D$5:$D$3004,Acuses!$A$5:$A$3004,$A92,Acuses!$B$5:$B$3004,R$4,Acuses!$C$5:$C$3004,R$5),R$8)&lt;Resumen!$C$4,"Caducado",IF(EDATE(_xlfn.MAXIFS(Acuses!$D$5:$D$3004,Acuses!$A$5:$A$3004,$A92,Acuses!$B$5:$B$3004,R$4,Acuses!$C$5:$C$3004,R$5),R$8)&lt;Resumen!$C$4+30,"Caduca pronto","OK"))))))</f>
        <v/>
      </c>
      <c r="S92" s="26" t="str">
        <f aca="false">IF(OR($A92="",S$4=""),"",IF(NOT(OR(S$6="Toda la plantilla",ISNUMBER(SEARCH(";"&amp;SUBSTITUTE($C92," ","")&amp;";",";"&amp;SUBSTITUTE(S$7," ","")&amp;";")))),"—",IF(_xlfn.MAXIFS(Acuses!$C$5:$C$3004,Acuses!$A$5:$A$3004,$A92,Acuses!$B$5:$B$3004,S$4)&lt;S$5,"Pendiente",IF(S$8=0,"OK",IF(EDATE(_xlfn.MAXIFS(Acuses!$D$5:$D$3004,Acuses!$A$5:$A$3004,$A92,Acuses!$B$5:$B$3004,S$4,Acuses!$C$5:$C$3004,S$5),S$8)&lt;Resumen!$C$4,"Caducado",IF(EDATE(_xlfn.MAXIFS(Acuses!$D$5:$D$3004,Acuses!$A$5:$A$3004,$A92,Acuses!$B$5:$B$3004,S$4,Acuses!$C$5:$C$3004,S$5),S$8)&lt;Resumen!$C$4+30,"Caduca pronto","OK"))))))</f>
        <v/>
      </c>
      <c r="T92" s="26" t="str">
        <f aca="false">IF(OR($A92="",T$4=""),"",IF(NOT(OR(T$6="Toda la plantilla",ISNUMBER(SEARCH(";"&amp;SUBSTITUTE($C92," ","")&amp;";",";"&amp;SUBSTITUTE(T$7," ","")&amp;";")))),"—",IF(_xlfn.MAXIFS(Acuses!$C$5:$C$3004,Acuses!$A$5:$A$3004,$A92,Acuses!$B$5:$B$3004,T$4)&lt;T$5,"Pendiente",IF(T$8=0,"OK",IF(EDATE(_xlfn.MAXIFS(Acuses!$D$5:$D$3004,Acuses!$A$5:$A$3004,$A92,Acuses!$B$5:$B$3004,T$4,Acuses!$C$5:$C$3004,T$5),T$8)&lt;Resumen!$C$4,"Caducado",IF(EDATE(_xlfn.MAXIFS(Acuses!$D$5:$D$3004,Acuses!$A$5:$A$3004,$A92,Acuses!$B$5:$B$3004,T$4,Acuses!$C$5:$C$3004,T$5),T$8)&lt;Resumen!$C$4+30,"Caduca pronto","OK"))))))</f>
        <v/>
      </c>
      <c r="U92" s="26" t="str">
        <f aca="false">IF(OR($A92="",U$4=""),"",IF(NOT(OR(U$6="Toda la plantilla",ISNUMBER(SEARCH(";"&amp;SUBSTITUTE($C92," ","")&amp;";",";"&amp;SUBSTITUTE(U$7," ","")&amp;";")))),"—",IF(_xlfn.MAXIFS(Acuses!$C$5:$C$3004,Acuses!$A$5:$A$3004,$A92,Acuses!$B$5:$B$3004,U$4)&lt;U$5,"Pendiente",IF(U$8=0,"OK",IF(EDATE(_xlfn.MAXIFS(Acuses!$D$5:$D$3004,Acuses!$A$5:$A$3004,$A92,Acuses!$B$5:$B$3004,U$4,Acuses!$C$5:$C$3004,U$5),U$8)&lt;Resumen!$C$4,"Caducado",IF(EDATE(_xlfn.MAXIFS(Acuses!$D$5:$D$3004,Acuses!$A$5:$A$3004,$A92,Acuses!$B$5:$B$3004,U$4,Acuses!$C$5:$C$3004,U$5),U$8)&lt;Resumen!$C$4+30,"Caduca pronto","OK"))))))</f>
        <v/>
      </c>
      <c r="V92" s="26" t="str">
        <f aca="false">IF(OR($A92="",V$4=""),"",IF(NOT(OR(V$6="Toda la plantilla",ISNUMBER(SEARCH(";"&amp;SUBSTITUTE($C92," ","")&amp;";",";"&amp;SUBSTITUTE(V$7," ","")&amp;";")))),"—",IF(_xlfn.MAXIFS(Acuses!$C$5:$C$3004,Acuses!$A$5:$A$3004,$A92,Acuses!$B$5:$B$3004,V$4)&lt;V$5,"Pendiente",IF(V$8=0,"OK",IF(EDATE(_xlfn.MAXIFS(Acuses!$D$5:$D$3004,Acuses!$A$5:$A$3004,$A92,Acuses!$B$5:$B$3004,V$4,Acuses!$C$5:$C$3004,V$5),V$8)&lt;Resumen!$C$4,"Caducado",IF(EDATE(_xlfn.MAXIFS(Acuses!$D$5:$D$3004,Acuses!$A$5:$A$3004,$A92,Acuses!$B$5:$B$3004,V$4,Acuses!$C$5:$C$3004,V$5),V$8)&lt;Resumen!$C$4+30,"Caduca pronto","OK"))))))</f>
        <v/>
      </c>
      <c r="W92" s="26" t="str">
        <f aca="false">IF(OR($A92="",W$4=""),"",IF(NOT(OR(W$6="Toda la plantilla",ISNUMBER(SEARCH(";"&amp;SUBSTITUTE($C92," ","")&amp;";",";"&amp;SUBSTITUTE(W$7," ","")&amp;";")))),"—",IF(_xlfn.MAXIFS(Acuses!$C$5:$C$3004,Acuses!$A$5:$A$3004,$A92,Acuses!$B$5:$B$3004,W$4)&lt;W$5,"Pendiente",IF(W$8=0,"OK",IF(EDATE(_xlfn.MAXIFS(Acuses!$D$5:$D$3004,Acuses!$A$5:$A$3004,$A92,Acuses!$B$5:$B$3004,W$4,Acuses!$C$5:$C$3004,W$5),W$8)&lt;Resumen!$C$4,"Caducado",IF(EDATE(_xlfn.MAXIFS(Acuses!$D$5:$D$3004,Acuses!$A$5:$A$3004,$A92,Acuses!$B$5:$B$3004,W$4,Acuses!$C$5:$C$3004,W$5),W$8)&lt;Resumen!$C$4+30,"Caduca pronto","OK"))))))</f>
        <v/>
      </c>
      <c r="X92" s="26" t="str">
        <f aca="false">IF(OR($A92="",X$4=""),"",IF(NOT(OR(X$6="Toda la plantilla",ISNUMBER(SEARCH(";"&amp;SUBSTITUTE($C92," ","")&amp;";",";"&amp;SUBSTITUTE(X$7," ","")&amp;";")))),"—",IF(_xlfn.MAXIFS(Acuses!$C$5:$C$3004,Acuses!$A$5:$A$3004,$A92,Acuses!$B$5:$B$3004,X$4)&lt;X$5,"Pendiente",IF(X$8=0,"OK",IF(EDATE(_xlfn.MAXIFS(Acuses!$D$5:$D$3004,Acuses!$A$5:$A$3004,$A92,Acuses!$B$5:$B$3004,X$4,Acuses!$C$5:$C$3004,X$5),X$8)&lt;Resumen!$C$4,"Caducado",IF(EDATE(_xlfn.MAXIFS(Acuses!$D$5:$D$3004,Acuses!$A$5:$A$3004,$A92,Acuses!$B$5:$B$3004,X$4,Acuses!$C$5:$C$3004,X$5),X$8)&lt;Resumen!$C$4+30,"Caduca pronto","OK"))))))</f>
        <v/>
      </c>
      <c r="Y92" s="26" t="str">
        <f aca="false">IF(OR($A92="",Y$4=""),"",IF(NOT(OR(Y$6="Toda la plantilla",ISNUMBER(SEARCH(";"&amp;SUBSTITUTE($C92," ","")&amp;";",";"&amp;SUBSTITUTE(Y$7," ","")&amp;";")))),"—",IF(_xlfn.MAXIFS(Acuses!$C$5:$C$3004,Acuses!$A$5:$A$3004,$A92,Acuses!$B$5:$B$3004,Y$4)&lt;Y$5,"Pendiente",IF(Y$8=0,"OK",IF(EDATE(_xlfn.MAXIFS(Acuses!$D$5:$D$3004,Acuses!$A$5:$A$3004,$A92,Acuses!$B$5:$B$3004,Y$4,Acuses!$C$5:$C$3004,Y$5),Y$8)&lt;Resumen!$C$4,"Caducado",IF(EDATE(_xlfn.MAXIFS(Acuses!$D$5:$D$3004,Acuses!$A$5:$A$3004,$A92,Acuses!$B$5:$B$3004,Y$4,Acuses!$C$5:$C$3004,Y$5),Y$8)&lt;Resumen!$C$4+30,"Caduca pronto","OK"))))))</f>
        <v/>
      </c>
      <c r="Z92" s="26" t="str">
        <f aca="false">IF(OR($A92="",Z$4=""),"",IF(NOT(OR(Z$6="Toda la plantilla",ISNUMBER(SEARCH(";"&amp;SUBSTITUTE($C92," ","")&amp;";",";"&amp;SUBSTITUTE(Z$7," ","")&amp;";")))),"—",IF(_xlfn.MAXIFS(Acuses!$C$5:$C$3004,Acuses!$A$5:$A$3004,$A92,Acuses!$B$5:$B$3004,Z$4)&lt;Z$5,"Pendiente",IF(Z$8=0,"OK",IF(EDATE(_xlfn.MAXIFS(Acuses!$D$5:$D$3004,Acuses!$A$5:$A$3004,$A92,Acuses!$B$5:$B$3004,Z$4,Acuses!$C$5:$C$3004,Z$5),Z$8)&lt;Resumen!$C$4,"Caducado",IF(EDATE(_xlfn.MAXIFS(Acuses!$D$5:$D$3004,Acuses!$A$5:$A$3004,$A92,Acuses!$B$5:$B$3004,Z$4,Acuses!$C$5:$C$3004,Z$5),Z$8)&lt;Resumen!$C$4+30,"Caduca pronto","OK"))))))</f>
        <v/>
      </c>
      <c r="AA92" s="26" t="str">
        <f aca="false">IF(OR($A92="",AA$4=""),"",IF(NOT(OR(AA$6="Toda la plantilla",ISNUMBER(SEARCH(";"&amp;SUBSTITUTE($C92," ","")&amp;";",";"&amp;SUBSTITUTE(AA$7," ","")&amp;";")))),"—",IF(_xlfn.MAXIFS(Acuses!$C$5:$C$3004,Acuses!$A$5:$A$3004,$A92,Acuses!$B$5:$B$3004,AA$4)&lt;AA$5,"Pendiente",IF(AA$8=0,"OK",IF(EDATE(_xlfn.MAXIFS(Acuses!$D$5:$D$3004,Acuses!$A$5:$A$3004,$A92,Acuses!$B$5:$B$3004,AA$4,Acuses!$C$5:$C$3004,AA$5),AA$8)&lt;Resumen!$C$4,"Caducado",IF(EDATE(_xlfn.MAXIFS(Acuses!$D$5:$D$3004,Acuses!$A$5:$A$3004,$A92,Acuses!$B$5:$B$3004,AA$4,Acuses!$C$5:$C$3004,AA$5),AA$8)&lt;Resumen!$C$4+30,"Caduca pronto","OK"))))))</f>
        <v/>
      </c>
      <c r="AB92" s="26" t="str">
        <f aca="false">IF(OR($A92="",AB$4=""),"",IF(NOT(OR(AB$6="Toda la plantilla",ISNUMBER(SEARCH(";"&amp;SUBSTITUTE($C92," ","")&amp;";",";"&amp;SUBSTITUTE(AB$7," ","")&amp;";")))),"—",IF(_xlfn.MAXIFS(Acuses!$C$5:$C$3004,Acuses!$A$5:$A$3004,$A92,Acuses!$B$5:$B$3004,AB$4)&lt;AB$5,"Pendiente",IF(AB$8=0,"OK",IF(EDATE(_xlfn.MAXIFS(Acuses!$D$5:$D$3004,Acuses!$A$5:$A$3004,$A92,Acuses!$B$5:$B$3004,AB$4,Acuses!$C$5:$C$3004,AB$5),AB$8)&lt;Resumen!$C$4,"Caducado",IF(EDATE(_xlfn.MAXIFS(Acuses!$D$5:$D$3004,Acuses!$A$5:$A$3004,$A92,Acuses!$B$5:$B$3004,AB$4,Acuses!$C$5:$C$3004,AB$5),AB$8)&lt;Resumen!$C$4+30,"Caduca pronto","OK"))))))</f>
        <v/>
      </c>
      <c r="AC92" s="26" t="str">
        <f aca="false">IF(OR($A92="",AC$4=""),"",IF(NOT(OR(AC$6="Toda la plantilla",ISNUMBER(SEARCH(";"&amp;SUBSTITUTE($C92," ","")&amp;";",";"&amp;SUBSTITUTE(AC$7," ","")&amp;";")))),"—",IF(_xlfn.MAXIFS(Acuses!$C$5:$C$3004,Acuses!$A$5:$A$3004,$A92,Acuses!$B$5:$B$3004,AC$4)&lt;AC$5,"Pendiente",IF(AC$8=0,"OK",IF(EDATE(_xlfn.MAXIFS(Acuses!$D$5:$D$3004,Acuses!$A$5:$A$3004,$A92,Acuses!$B$5:$B$3004,AC$4,Acuses!$C$5:$C$3004,AC$5),AC$8)&lt;Resumen!$C$4,"Caducado",IF(EDATE(_xlfn.MAXIFS(Acuses!$D$5:$D$3004,Acuses!$A$5:$A$3004,$A92,Acuses!$B$5:$B$3004,AC$4,Acuses!$C$5:$C$3004,AC$5),AC$8)&lt;Resumen!$C$4+30,"Caduca pronto","OK"))))))</f>
        <v/>
      </c>
      <c r="AD92" s="26" t="str">
        <f aca="false">IF(OR($A92="",AD$4=""),"",IF(NOT(OR(AD$6="Toda la plantilla",ISNUMBER(SEARCH(";"&amp;SUBSTITUTE($C92," ","")&amp;";",";"&amp;SUBSTITUTE(AD$7," ","")&amp;";")))),"—",IF(_xlfn.MAXIFS(Acuses!$C$5:$C$3004,Acuses!$A$5:$A$3004,$A92,Acuses!$B$5:$B$3004,AD$4)&lt;AD$5,"Pendiente",IF(AD$8=0,"OK",IF(EDATE(_xlfn.MAXIFS(Acuses!$D$5:$D$3004,Acuses!$A$5:$A$3004,$A92,Acuses!$B$5:$B$3004,AD$4,Acuses!$C$5:$C$3004,AD$5),AD$8)&lt;Resumen!$C$4,"Caducado",IF(EDATE(_xlfn.MAXIFS(Acuses!$D$5:$D$3004,Acuses!$A$5:$A$3004,$A92,Acuses!$B$5:$B$3004,AD$4,Acuses!$C$5:$C$3004,AD$5),AD$8)&lt;Resumen!$C$4+30,"Caduca pronto","OK"))))))</f>
        <v/>
      </c>
      <c r="AE92" s="26" t="str">
        <f aca="false">IF(OR($A92="",AE$4=""),"",IF(NOT(OR(AE$6="Toda la plantilla",ISNUMBER(SEARCH(";"&amp;SUBSTITUTE($C92," ","")&amp;";",";"&amp;SUBSTITUTE(AE$7," ","")&amp;";")))),"—",IF(_xlfn.MAXIFS(Acuses!$C$5:$C$3004,Acuses!$A$5:$A$3004,$A92,Acuses!$B$5:$B$3004,AE$4)&lt;AE$5,"Pendiente",IF(AE$8=0,"OK",IF(EDATE(_xlfn.MAXIFS(Acuses!$D$5:$D$3004,Acuses!$A$5:$A$3004,$A92,Acuses!$B$5:$B$3004,AE$4,Acuses!$C$5:$C$3004,AE$5),AE$8)&lt;Resumen!$C$4,"Caducado",IF(EDATE(_xlfn.MAXIFS(Acuses!$D$5:$D$3004,Acuses!$A$5:$A$3004,$A92,Acuses!$B$5:$B$3004,AE$4,Acuses!$C$5:$C$3004,AE$5),AE$8)&lt;Resumen!$C$4+30,"Caduca pronto","OK"))))))</f>
        <v/>
      </c>
      <c r="AF92" s="26" t="str">
        <f aca="false">IF(OR($A92="",AF$4=""),"",IF(NOT(OR(AF$6="Toda la plantilla",ISNUMBER(SEARCH(";"&amp;SUBSTITUTE($C92," ","")&amp;";",";"&amp;SUBSTITUTE(AF$7," ","")&amp;";")))),"—",IF(_xlfn.MAXIFS(Acuses!$C$5:$C$3004,Acuses!$A$5:$A$3004,$A92,Acuses!$B$5:$B$3004,AF$4)&lt;AF$5,"Pendiente",IF(AF$8=0,"OK",IF(EDATE(_xlfn.MAXIFS(Acuses!$D$5:$D$3004,Acuses!$A$5:$A$3004,$A92,Acuses!$B$5:$B$3004,AF$4,Acuses!$C$5:$C$3004,AF$5),AF$8)&lt;Resumen!$C$4,"Caducado",IF(EDATE(_xlfn.MAXIFS(Acuses!$D$5:$D$3004,Acuses!$A$5:$A$3004,$A92,Acuses!$B$5:$B$3004,AF$4,Acuses!$C$5:$C$3004,AF$5),AF$8)&lt;Resumen!$C$4+30,"Caduca pronto","OK"))))))</f>
        <v/>
      </c>
      <c r="AG92" s="26" t="str">
        <f aca="false">IF(OR($A92="",AG$4=""),"",IF(NOT(OR(AG$6="Toda la plantilla",ISNUMBER(SEARCH(";"&amp;SUBSTITUTE($C92," ","")&amp;";",";"&amp;SUBSTITUTE(AG$7," ","")&amp;";")))),"—",IF(_xlfn.MAXIFS(Acuses!$C$5:$C$3004,Acuses!$A$5:$A$3004,$A92,Acuses!$B$5:$B$3004,AG$4)&lt;AG$5,"Pendiente",IF(AG$8=0,"OK",IF(EDATE(_xlfn.MAXIFS(Acuses!$D$5:$D$3004,Acuses!$A$5:$A$3004,$A92,Acuses!$B$5:$B$3004,AG$4,Acuses!$C$5:$C$3004,AG$5),AG$8)&lt;Resumen!$C$4,"Caducado",IF(EDATE(_xlfn.MAXIFS(Acuses!$D$5:$D$3004,Acuses!$A$5:$A$3004,$A92,Acuses!$B$5:$B$3004,AG$4,Acuses!$C$5:$C$3004,AG$5),AG$8)&lt;Resumen!$C$4+30,"Caduca pronto","OK"))))))</f>
        <v/>
      </c>
      <c r="AH92" s="26" t="str">
        <f aca="false">IF(OR($A92="",AH$4=""),"",IF(NOT(OR(AH$6="Toda la plantilla",ISNUMBER(SEARCH(";"&amp;SUBSTITUTE($C92," ","")&amp;";",";"&amp;SUBSTITUTE(AH$7," ","")&amp;";")))),"—",IF(_xlfn.MAXIFS(Acuses!$C$5:$C$3004,Acuses!$A$5:$A$3004,$A92,Acuses!$B$5:$B$3004,AH$4)&lt;AH$5,"Pendiente",IF(AH$8=0,"OK",IF(EDATE(_xlfn.MAXIFS(Acuses!$D$5:$D$3004,Acuses!$A$5:$A$3004,$A92,Acuses!$B$5:$B$3004,AH$4,Acuses!$C$5:$C$3004,AH$5),AH$8)&lt;Resumen!$C$4,"Caducado",IF(EDATE(_xlfn.MAXIFS(Acuses!$D$5:$D$3004,Acuses!$A$5:$A$3004,$A92,Acuses!$B$5:$B$3004,AH$4,Acuses!$C$5:$C$3004,AH$5),AH$8)&lt;Resumen!$C$4+30,"Caduca pronto","OK"))))))</f>
        <v/>
      </c>
      <c r="AI92" s="26" t="str">
        <f aca="false">IF(OR($A92="",AI$4=""),"",IF(NOT(OR(AI$6="Toda la plantilla",ISNUMBER(SEARCH(";"&amp;SUBSTITUTE($C92," ","")&amp;";",";"&amp;SUBSTITUTE(AI$7," ","")&amp;";")))),"—",IF(_xlfn.MAXIFS(Acuses!$C$5:$C$3004,Acuses!$A$5:$A$3004,$A92,Acuses!$B$5:$B$3004,AI$4)&lt;AI$5,"Pendiente",IF(AI$8=0,"OK",IF(EDATE(_xlfn.MAXIFS(Acuses!$D$5:$D$3004,Acuses!$A$5:$A$3004,$A92,Acuses!$B$5:$B$3004,AI$4,Acuses!$C$5:$C$3004,AI$5),AI$8)&lt;Resumen!$C$4,"Caducado",IF(EDATE(_xlfn.MAXIFS(Acuses!$D$5:$D$3004,Acuses!$A$5:$A$3004,$A92,Acuses!$B$5:$B$3004,AI$4,Acuses!$C$5:$C$3004,AI$5),AI$8)&lt;Resumen!$C$4+30,"Caduca pronto","OK"))))))</f>
        <v/>
      </c>
      <c r="AJ92" s="26" t="str">
        <f aca="false">IF(OR($A92="",AJ$4=""),"",IF(NOT(OR(AJ$6="Toda la plantilla",ISNUMBER(SEARCH(";"&amp;SUBSTITUTE($C92," ","")&amp;";",";"&amp;SUBSTITUTE(AJ$7," ","")&amp;";")))),"—",IF(_xlfn.MAXIFS(Acuses!$C$5:$C$3004,Acuses!$A$5:$A$3004,$A92,Acuses!$B$5:$B$3004,AJ$4)&lt;AJ$5,"Pendiente",IF(AJ$8=0,"OK",IF(EDATE(_xlfn.MAXIFS(Acuses!$D$5:$D$3004,Acuses!$A$5:$A$3004,$A92,Acuses!$B$5:$B$3004,AJ$4,Acuses!$C$5:$C$3004,AJ$5),AJ$8)&lt;Resumen!$C$4,"Caducado",IF(EDATE(_xlfn.MAXIFS(Acuses!$D$5:$D$3004,Acuses!$A$5:$A$3004,$A92,Acuses!$B$5:$B$3004,AJ$4,Acuses!$C$5:$C$3004,AJ$5),AJ$8)&lt;Resumen!$C$4+30,"Caduca pronto","OK"))))))</f>
        <v/>
      </c>
      <c r="AK92" s="26" t="str">
        <f aca="false">IF(OR($A92="",AK$4=""),"",IF(NOT(OR(AK$6="Toda la plantilla",ISNUMBER(SEARCH(";"&amp;SUBSTITUTE($C92," ","")&amp;";",";"&amp;SUBSTITUTE(AK$7," ","")&amp;";")))),"—",IF(_xlfn.MAXIFS(Acuses!$C$5:$C$3004,Acuses!$A$5:$A$3004,$A92,Acuses!$B$5:$B$3004,AK$4)&lt;AK$5,"Pendiente",IF(AK$8=0,"OK",IF(EDATE(_xlfn.MAXIFS(Acuses!$D$5:$D$3004,Acuses!$A$5:$A$3004,$A92,Acuses!$B$5:$B$3004,AK$4,Acuses!$C$5:$C$3004,AK$5),AK$8)&lt;Resumen!$C$4,"Caducado",IF(EDATE(_xlfn.MAXIFS(Acuses!$D$5:$D$3004,Acuses!$A$5:$A$3004,$A92,Acuses!$B$5:$B$3004,AK$4,Acuses!$C$5:$C$3004,AK$5),AK$8)&lt;Resumen!$C$4+30,"Caduca pronto","OK"))))))</f>
        <v/>
      </c>
      <c r="AL92" s="26" t="str">
        <f aca="false">IF(OR($A92="",AL$4=""),"",IF(NOT(OR(AL$6="Toda la plantilla",ISNUMBER(SEARCH(";"&amp;SUBSTITUTE($C92," ","")&amp;";",";"&amp;SUBSTITUTE(AL$7," ","")&amp;";")))),"—",IF(_xlfn.MAXIFS(Acuses!$C$5:$C$3004,Acuses!$A$5:$A$3004,$A92,Acuses!$B$5:$B$3004,AL$4)&lt;AL$5,"Pendiente",IF(AL$8=0,"OK",IF(EDATE(_xlfn.MAXIFS(Acuses!$D$5:$D$3004,Acuses!$A$5:$A$3004,$A92,Acuses!$B$5:$B$3004,AL$4,Acuses!$C$5:$C$3004,AL$5),AL$8)&lt;Resumen!$C$4,"Caducado",IF(EDATE(_xlfn.MAXIFS(Acuses!$D$5:$D$3004,Acuses!$A$5:$A$3004,$A92,Acuses!$B$5:$B$3004,AL$4,Acuses!$C$5:$C$3004,AL$5),AL$8)&lt;Resumen!$C$4+30,"Caduca pronto","OK"))))))</f>
        <v/>
      </c>
      <c r="AM92" s="26" t="str">
        <f aca="false">IF(OR($A92="",AM$4=""),"",IF(NOT(OR(AM$6="Toda la plantilla",ISNUMBER(SEARCH(";"&amp;SUBSTITUTE($C92," ","")&amp;";",";"&amp;SUBSTITUTE(AM$7," ","")&amp;";")))),"—",IF(_xlfn.MAXIFS(Acuses!$C$5:$C$3004,Acuses!$A$5:$A$3004,$A92,Acuses!$B$5:$B$3004,AM$4)&lt;AM$5,"Pendiente",IF(AM$8=0,"OK",IF(EDATE(_xlfn.MAXIFS(Acuses!$D$5:$D$3004,Acuses!$A$5:$A$3004,$A92,Acuses!$B$5:$B$3004,AM$4,Acuses!$C$5:$C$3004,AM$5),AM$8)&lt;Resumen!$C$4,"Caducado",IF(EDATE(_xlfn.MAXIFS(Acuses!$D$5:$D$3004,Acuses!$A$5:$A$3004,$A92,Acuses!$B$5:$B$3004,AM$4,Acuses!$C$5:$C$3004,AM$5),AM$8)&lt;Resumen!$C$4+30,"Caduca pronto","OK"))))))</f>
        <v/>
      </c>
      <c r="AN92" s="26" t="str">
        <f aca="false">IF(OR($A92="",AN$4=""),"",IF(NOT(OR(AN$6="Toda la plantilla",ISNUMBER(SEARCH(";"&amp;SUBSTITUTE($C92," ","")&amp;";",";"&amp;SUBSTITUTE(AN$7," ","")&amp;";")))),"—",IF(_xlfn.MAXIFS(Acuses!$C$5:$C$3004,Acuses!$A$5:$A$3004,$A92,Acuses!$B$5:$B$3004,AN$4)&lt;AN$5,"Pendiente",IF(AN$8=0,"OK",IF(EDATE(_xlfn.MAXIFS(Acuses!$D$5:$D$3004,Acuses!$A$5:$A$3004,$A92,Acuses!$B$5:$B$3004,AN$4,Acuses!$C$5:$C$3004,AN$5),AN$8)&lt;Resumen!$C$4,"Caducado",IF(EDATE(_xlfn.MAXIFS(Acuses!$D$5:$D$3004,Acuses!$A$5:$A$3004,$A92,Acuses!$B$5:$B$3004,AN$4,Acuses!$C$5:$C$3004,AN$5),AN$8)&lt;Resumen!$C$4+30,"Caduca pronto","OK"))))))</f>
        <v/>
      </c>
      <c r="AO92" s="26" t="str">
        <f aca="false">IF(OR($A92="",AO$4=""),"",IF(NOT(OR(AO$6="Toda la plantilla",ISNUMBER(SEARCH(";"&amp;SUBSTITUTE($C92," ","")&amp;";",";"&amp;SUBSTITUTE(AO$7," ","")&amp;";")))),"—",IF(_xlfn.MAXIFS(Acuses!$C$5:$C$3004,Acuses!$A$5:$A$3004,$A92,Acuses!$B$5:$B$3004,AO$4)&lt;AO$5,"Pendiente",IF(AO$8=0,"OK",IF(EDATE(_xlfn.MAXIFS(Acuses!$D$5:$D$3004,Acuses!$A$5:$A$3004,$A92,Acuses!$B$5:$B$3004,AO$4,Acuses!$C$5:$C$3004,AO$5),AO$8)&lt;Resumen!$C$4,"Caducado",IF(EDATE(_xlfn.MAXIFS(Acuses!$D$5:$D$3004,Acuses!$A$5:$A$3004,$A92,Acuses!$B$5:$B$3004,AO$4,Acuses!$C$5:$C$3004,AO$5),AO$8)&lt;Resumen!$C$4+30,"Caduca pronto","OK"))))))</f>
        <v/>
      </c>
      <c r="AP92" s="26" t="str">
        <f aca="false">IF(OR($A92="",AP$4=""),"",IF(NOT(OR(AP$6="Toda la plantilla",ISNUMBER(SEARCH(";"&amp;SUBSTITUTE($C92," ","")&amp;";",";"&amp;SUBSTITUTE(AP$7," ","")&amp;";")))),"—",IF(_xlfn.MAXIFS(Acuses!$C$5:$C$3004,Acuses!$A$5:$A$3004,$A92,Acuses!$B$5:$B$3004,AP$4)&lt;AP$5,"Pendiente",IF(AP$8=0,"OK",IF(EDATE(_xlfn.MAXIFS(Acuses!$D$5:$D$3004,Acuses!$A$5:$A$3004,$A92,Acuses!$B$5:$B$3004,AP$4,Acuses!$C$5:$C$3004,AP$5),AP$8)&lt;Resumen!$C$4,"Caducado",IF(EDATE(_xlfn.MAXIFS(Acuses!$D$5:$D$3004,Acuses!$A$5:$A$3004,$A92,Acuses!$B$5:$B$3004,AP$4,Acuses!$C$5:$C$3004,AP$5),AP$8)&lt;Resumen!$C$4+30,"Caduca pronto","OK"))))))</f>
        <v/>
      </c>
      <c r="AQ92" s="26" t="str">
        <f aca="false">IF(OR($A92="",AQ$4=""),"",IF(NOT(OR(AQ$6="Toda la plantilla",ISNUMBER(SEARCH(";"&amp;SUBSTITUTE($C92," ","")&amp;";",";"&amp;SUBSTITUTE(AQ$7," ","")&amp;";")))),"—",IF(_xlfn.MAXIFS(Acuses!$C$5:$C$3004,Acuses!$A$5:$A$3004,$A92,Acuses!$B$5:$B$3004,AQ$4)&lt;AQ$5,"Pendiente",IF(AQ$8=0,"OK",IF(EDATE(_xlfn.MAXIFS(Acuses!$D$5:$D$3004,Acuses!$A$5:$A$3004,$A92,Acuses!$B$5:$B$3004,AQ$4,Acuses!$C$5:$C$3004,AQ$5),AQ$8)&lt;Resumen!$C$4,"Caducado",IF(EDATE(_xlfn.MAXIFS(Acuses!$D$5:$D$3004,Acuses!$A$5:$A$3004,$A92,Acuses!$B$5:$B$3004,AQ$4,Acuses!$C$5:$C$3004,AQ$5),AQ$8)&lt;Resumen!$C$4+30,"Caduca pronto","OK"))))))</f>
        <v/>
      </c>
    </row>
    <row r="93" customFormat="false" ht="15" hidden="false" customHeight="false" outlineLevel="0" collapsed="false">
      <c r="A93" s="25" t="str">
        <f aca="false">IF(AND(Trabajadores!$A$88&lt;&gt;"",Trabajadores!$G$88&lt;&gt;"No"),Trabajadores!$A$88,"")</f>
        <v/>
      </c>
      <c r="B93" s="25" t="str">
        <f aca="false">IF($A93="","",Trabajadores!$B$88)</f>
        <v/>
      </c>
      <c r="C93" s="25" t="str">
        <f aca="false">IF($A93="","",Trabajadores!$C$88)</f>
        <v/>
      </c>
      <c r="D93" s="26" t="str">
        <f aca="false">IF(OR($A93="",D$4=""),"",IF(NOT(OR(D$6="Toda la plantilla",ISNUMBER(SEARCH(";"&amp;SUBSTITUTE($C93," ","")&amp;";",";"&amp;SUBSTITUTE(D$7," ","")&amp;";")))),"—",IF(_xlfn.MAXIFS(Acuses!$C$5:$C$3004,Acuses!$A$5:$A$3004,$A93,Acuses!$B$5:$B$3004,D$4)&lt;D$5,"Pendiente",IF(D$8=0,"OK",IF(EDATE(_xlfn.MAXIFS(Acuses!$D$5:$D$3004,Acuses!$A$5:$A$3004,$A93,Acuses!$B$5:$B$3004,D$4,Acuses!$C$5:$C$3004,D$5),D$8)&lt;Resumen!$C$4,"Caducado",IF(EDATE(_xlfn.MAXIFS(Acuses!$D$5:$D$3004,Acuses!$A$5:$A$3004,$A93,Acuses!$B$5:$B$3004,D$4,Acuses!$C$5:$C$3004,D$5),D$8)&lt;Resumen!$C$4+30,"Caduca pronto","OK"))))))</f>
        <v/>
      </c>
      <c r="E93" s="26" t="str">
        <f aca="false">IF(OR($A93="",E$4=""),"",IF(NOT(OR(E$6="Toda la plantilla",ISNUMBER(SEARCH(";"&amp;SUBSTITUTE($C93," ","")&amp;";",";"&amp;SUBSTITUTE(E$7," ","")&amp;";")))),"—",IF(_xlfn.MAXIFS(Acuses!$C$5:$C$3004,Acuses!$A$5:$A$3004,$A93,Acuses!$B$5:$B$3004,E$4)&lt;E$5,"Pendiente",IF(E$8=0,"OK",IF(EDATE(_xlfn.MAXIFS(Acuses!$D$5:$D$3004,Acuses!$A$5:$A$3004,$A93,Acuses!$B$5:$B$3004,E$4,Acuses!$C$5:$C$3004,E$5),E$8)&lt;Resumen!$C$4,"Caducado",IF(EDATE(_xlfn.MAXIFS(Acuses!$D$5:$D$3004,Acuses!$A$5:$A$3004,$A93,Acuses!$B$5:$B$3004,E$4,Acuses!$C$5:$C$3004,E$5),E$8)&lt;Resumen!$C$4+30,"Caduca pronto","OK"))))))</f>
        <v/>
      </c>
      <c r="F93" s="26" t="str">
        <f aca="false">IF(OR($A93="",F$4=""),"",IF(NOT(OR(F$6="Toda la plantilla",ISNUMBER(SEARCH(";"&amp;SUBSTITUTE($C93," ","")&amp;";",";"&amp;SUBSTITUTE(F$7," ","")&amp;";")))),"—",IF(_xlfn.MAXIFS(Acuses!$C$5:$C$3004,Acuses!$A$5:$A$3004,$A93,Acuses!$B$5:$B$3004,F$4)&lt;F$5,"Pendiente",IF(F$8=0,"OK",IF(EDATE(_xlfn.MAXIFS(Acuses!$D$5:$D$3004,Acuses!$A$5:$A$3004,$A93,Acuses!$B$5:$B$3004,F$4,Acuses!$C$5:$C$3004,F$5),F$8)&lt;Resumen!$C$4,"Caducado",IF(EDATE(_xlfn.MAXIFS(Acuses!$D$5:$D$3004,Acuses!$A$5:$A$3004,$A93,Acuses!$B$5:$B$3004,F$4,Acuses!$C$5:$C$3004,F$5),F$8)&lt;Resumen!$C$4+30,"Caduca pronto","OK"))))))</f>
        <v/>
      </c>
      <c r="G93" s="26" t="str">
        <f aca="false">IF(OR($A93="",G$4=""),"",IF(NOT(OR(G$6="Toda la plantilla",ISNUMBER(SEARCH(";"&amp;SUBSTITUTE($C93," ","")&amp;";",";"&amp;SUBSTITUTE(G$7," ","")&amp;";")))),"—",IF(_xlfn.MAXIFS(Acuses!$C$5:$C$3004,Acuses!$A$5:$A$3004,$A93,Acuses!$B$5:$B$3004,G$4)&lt;G$5,"Pendiente",IF(G$8=0,"OK",IF(EDATE(_xlfn.MAXIFS(Acuses!$D$5:$D$3004,Acuses!$A$5:$A$3004,$A93,Acuses!$B$5:$B$3004,G$4,Acuses!$C$5:$C$3004,G$5),G$8)&lt;Resumen!$C$4,"Caducado",IF(EDATE(_xlfn.MAXIFS(Acuses!$D$5:$D$3004,Acuses!$A$5:$A$3004,$A93,Acuses!$B$5:$B$3004,G$4,Acuses!$C$5:$C$3004,G$5),G$8)&lt;Resumen!$C$4+30,"Caduca pronto","OK"))))))</f>
        <v/>
      </c>
      <c r="H93" s="26" t="str">
        <f aca="false">IF(OR($A93="",H$4=""),"",IF(NOT(OR(H$6="Toda la plantilla",ISNUMBER(SEARCH(";"&amp;SUBSTITUTE($C93," ","")&amp;";",";"&amp;SUBSTITUTE(H$7," ","")&amp;";")))),"—",IF(_xlfn.MAXIFS(Acuses!$C$5:$C$3004,Acuses!$A$5:$A$3004,$A93,Acuses!$B$5:$B$3004,H$4)&lt;H$5,"Pendiente",IF(H$8=0,"OK",IF(EDATE(_xlfn.MAXIFS(Acuses!$D$5:$D$3004,Acuses!$A$5:$A$3004,$A93,Acuses!$B$5:$B$3004,H$4,Acuses!$C$5:$C$3004,H$5),H$8)&lt;Resumen!$C$4,"Caducado",IF(EDATE(_xlfn.MAXIFS(Acuses!$D$5:$D$3004,Acuses!$A$5:$A$3004,$A93,Acuses!$B$5:$B$3004,H$4,Acuses!$C$5:$C$3004,H$5),H$8)&lt;Resumen!$C$4+30,"Caduca pronto","OK"))))))</f>
        <v/>
      </c>
      <c r="I93" s="26" t="str">
        <f aca="false">IF(OR($A93="",I$4=""),"",IF(NOT(OR(I$6="Toda la plantilla",ISNUMBER(SEARCH(";"&amp;SUBSTITUTE($C93," ","")&amp;";",";"&amp;SUBSTITUTE(I$7," ","")&amp;";")))),"—",IF(_xlfn.MAXIFS(Acuses!$C$5:$C$3004,Acuses!$A$5:$A$3004,$A93,Acuses!$B$5:$B$3004,I$4)&lt;I$5,"Pendiente",IF(I$8=0,"OK",IF(EDATE(_xlfn.MAXIFS(Acuses!$D$5:$D$3004,Acuses!$A$5:$A$3004,$A93,Acuses!$B$5:$B$3004,I$4,Acuses!$C$5:$C$3004,I$5),I$8)&lt;Resumen!$C$4,"Caducado",IF(EDATE(_xlfn.MAXIFS(Acuses!$D$5:$D$3004,Acuses!$A$5:$A$3004,$A93,Acuses!$B$5:$B$3004,I$4,Acuses!$C$5:$C$3004,I$5),I$8)&lt;Resumen!$C$4+30,"Caduca pronto","OK"))))))</f>
        <v/>
      </c>
      <c r="J93" s="26" t="str">
        <f aca="false">IF(OR($A93="",J$4=""),"",IF(NOT(OR(J$6="Toda la plantilla",ISNUMBER(SEARCH(";"&amp;SUBSTITUTE($C93," ","")&amp;";",";"&amp;SUBSTITUTE(J$7," ","")&amp;";")))),"—",IF(_xlfn.MAXIFS(Acuses!$C$5:$C$3004,Acuses!$A$5:$A$3004,$A93,Acuses!$B$5:$B$3004,J$4)&lt;J$5,"Pendiente",IF(J$8=0,"OK",IF(EDATE(_xlfn.MAXIFS(Acuses!$D$5:$D$3004,Acuses!$A$5:$A$3004,$A93,Acuses!$B$5:$B$3004,J$4,Acuses!$C$5:$C$3004,J$5),J$8)&lt;Resumen!$C$4,"Caducado",IF(EDATE(_xlfn.MAXIFS(Acuses!$D$5:$D$3004,Acuses!$A$5:$A$3004,$A93,Acuses!$B$5:$B$3004,J$4,Acuses!$C$5:$C$3004,J$5),J$8)&lt;Resumen!$C$4+30,"Caduca pronto","OK"))))))</f>
        <v/>
      </c>
      <c r="K93" s="26" t="str">
        <f aca="false">IF(OR($A93="",K$4=""),"",IF(NOT(OR(K$6="Toda la plantilla",ISNUMBER(SEARCH(";"&amp;SUBSTITUTE($C93," ","")&amp;";",";"&amp;SUBSTITUTE(K$7," ","")&amp;";")))),"—",IF(_xlfn.MAXIFS(Acuses!$C$5:$C$3004,Acuses!$A$5:$A$3004,$A93,Acuses!$B$5:$B$3004,K$4)&lt;K$5,"Pendiente",IF(K$8=0,"OK",IF(EDATE(_xlfn.MAXIFS(Acuses!$D$5:$D$3004,Acuses!$A$5:$A$3004,$A93,Acuses!$B$5:$B$3004,K$4,Acuses!$C$5:$C$3004,K$5),K$8)&lt;Resumen!$C$4,"Caducado",IF(EDATE(_xlfn.MAXIFS(Acuses!$D$5:$D$3004,Acuses!$A$5:$A$3004,$A93,Acuses!$B$5:$B$3004,K$4,Acuses!$C$5:$C$3004,K$5),K$8)&lt;Resumen!$C$4+30,"Caduca pronto","OK"))))))</f>
        <v/>
      </c>
      <c r="L93" s="26" t="str">
        <f aca="false">IF(OR($A93="",L$4=""),"",IF(NOT(OR(L$6="Toda la plantilla",ISNUMBER(SEARCH(";"&amp;SUBSTITUTE($C93," ","")&amp;";",";"&amp;SUBSTITUTE(L$7," ","")&amp;";")))),"—",IF(_xlfn.MAXIFS(Acuses!$C$5:$C$3004,Acuses!$A$5:$A$3004,$A93,Acuses!$B$5:$B$3004,L$4)&lt;L$5,"Pendiente",IF(L$8=0,"OK",IF(EDATE(_xlfn.MAXIFS(Acuses!$D$5:$D$3004,Acuses!$A$5:$A$3004,$A93,Acuses!$B$5:$B$3004,L$4,Acuses!$C$5:$C$3004,L$5),L$8)&lt;Resumen!$C$4,"Caducado",IF(EDATE(_xlfn.MAXIFS(Acuses!$D$5:$D$3004,Acuses!$A$5:$A$3004,$A93,Acuses!$B$5:$B$3004,L$4,Acuses!$C$5:$C$3004,L$5),L$8)&lt;Resumen!$C$4+30,"Caduca pronto","OK"))))))</f>
        <v/>
      </c>
      <c r="M93" s="26" t="str">
        <f aca="false">IF(OR($A93="",M$4=""),"",IF(NOT(OR(M$6="Toda la plantilla",ISNUMBER(SEARCH(";"&amp;SUBSTITUTE($C93," ","")&amp;";",";"&amp;SUBSTITUTE(M$7," ","")&amp;";")))),"—",IF(_xlfn.MAXIFS(Acuses!$C$5:$C$3004,Acuses!$A$5:$A$3004,$A93,Acuses!$B$5:$B$3004,M$4)&lt;M$5,"Pendiente",IF(M$8=0,"OK",IF(EDATE(_xlfn.MAXIFS(Acuses!$D$5:$D$3004,Acuses!$A$5:$A$3004,$A93,Acuses!$B$5:$B$3004,M$4,Acuses!$C$5:$C$3004,M$5),M$8)&lt;Resumen!$C$4,"Caducado",IF(EDATE(_xlfn.MAXIFS(Acuses!$D$5:$D$3004,Acuses!$A$5:$A$3004,$A93,Acuses!$B$5:$B$3004,M$4,Acuses!$C$5:$C$3004,M$5),M$8)&lt;Resumen!$C$4+30,"Caduca pronto","OK"))))))</f>
        <v/>
      </c>
      <c r="N93" s="26" t="str">
        <f aca="false">IF(OR($A93="",N$4=""),"",IF(NOT(OR(N$6="Toda la plantilla",ISNUMBER(SEARCH(";"&amp;SUBSTITUTE($C93," ","")&amp;";",";"&amp;SUBSTITUTE(N$7," ","")&amp;";")))),"—",IF(_xlfn.MAXIFS(Acuses!$C$5:$C$3004,Acuses!$A$5:$A$3004,$A93,Acuses!$B$5:$B$3004,N$4)&lt;N$5,"Pendiente",IF(N$8=0,"OK",IF(EDATE(_xlfn.MAXIFS(Acuses!$D$5:$D$3004,Acuses!$A$5:$A$3004,$A93,Acuses!$B$5:$B$3004,N$4,Acuses!$C$5:$C$3004,N$5),N$8)&lt;Resumen!$C$4,"Caducado",IF(EDATE(_xlfn.MAXIFS(Acuses!$D$5:$D$3004,Acuses!$A$5:$A$3004,$A93,Acuses!$B$5:$B$3004,N$4,Acuses!$C$5:$C$3004,N$5),N$8)&lt;Resumen!$C$4+30,"Caduca pronto","OK"))))))</f>
        <v/>
      </c>
      <c r="O93" s="26" t="str">
        <f aca="false">IF(OR($A93="",O$4=""),"",IF(NOT(OR(O$6="Toda la plantilla",ISNUMBER(SEARCH(";"&amp;SUBSTITUTE($C93," ","")&amp;";",";"&amp;SUBSTITUTE(O$7," ","")&amp;";")))),"—",IF(_xlfn.MAXIFS(Acuses!$C$5:$C$3004,Acuses!$A$5:$A$3004,$A93,Acuses!$B$5:$B$3004,O$4)&lt;O$5,"Pendiente",IF(O$8=0,"OK",IF(EDATE(_xlfn.MAXIFS(Acuses!$D$5:$D$3004,Acuses!$A$5:$A$3004,$A93,Acuses!$B$5:$B$3004,O$4,Acuses!$C$5:$C$3004,O$5),O$8)&lt;Resumen!$C$4,"Caducado",IF(EDATE(_xlfn.MAXIFS(Acuses!$D$5:$D$3004,Acuses!$A$5:$A$3004,$A93,Acuses!$B$5:$B$3004,O$4,Acuses!$C$5:$C$3004,O$5),O$8)&lt;Resumen!$C$4+30,"Caduca pronto","OK"))))))</f>
        <v/>
      </c>
      <c r="P93" s="26" t="str">
        <f aca="false">IF(OR($A93="",P$4=""),"",IF(NOT(OR(P$6="Toda la plantilla",ISNUMBER(SEARCH(";"&amp;SUBSTITUTE($C93," ","")&amp;";",";"&amp;SUBSTITUTE(P$7," ","")&amp;";")))),"—",IF(_xlfn.MAXIFS(Acuses!$C$5:$C$3004,Acuses!$A$5:$A$3004,$A93,Acuses!$B$5:$B$3004,P$4)&lt;P$5,"Pendiente",IF(P$8=0,"OK",IF(EDATE(_xlfn.MAXIFS(Acuses!$D$5:$D$3004,Acuses!$A$5:$A$3004,$A93,Acuses!$B$5:$B$3004,P$4,Acuses!$C$5:$C$3004,P$5),P$8)&lt;Resumen!$C$4,"Caducado",IF(EDATE(_xlfn.MAXIFS(Acuses!$D$5:$D$3004,Acuses!$A$5:$A$3004,$A93,Acuses!$B$5:$B$3004,P$4,Acuses!$C$5:$C$3004,P$5),P$8)&lt;Resumen!$C$4+30,"Caduca pronto","OK"))))))</f>
        <v/>
      </c>
      <c r="Q93" s="26" t="str">
        <f aca="false">IF(OR($A93="",Q$4=""),"",IF(NOT(OR(Q$6="Toda la plantilla",ISNUMBER(SEARCH(";"&amp;SUBSTITUTE($C93," ","")&amp;";",";"&amp;SUBSTITUTE(Q$7," ","")&amp;";")))),"—",IF(_xlfn.MAXIFS(Acuses!$C$5:$C$3004,Acuses!$A$5:$A$3004,$A93,Acuses!$B$5:$B$3004,Q$4)&lt;Q$5,"Pendiente",IF(Q$8=0,"OK",IF(EDATE(_xlfn.MAXIFS(Acuses!$D$5:$D$3004,Acuses!$A$5:$A$3004,$A93,Acuses!$B$5:$B$3004,Q$4,Acuses!$C$5:$C$3004,Q$5),Q$8)&lt;Resumen!$C$4,"Caducado",IF(EDATE(_xlfn.MAXIFS(Acuses!$D$5:$D$3004,Acuses!$A$5:$A$3004,$A93,Acuses!$B$5:$B$3004,Q$4,Acuses!$C$5:$C$3004,Q$5),Q$8)&lt;Resumen!$C$4+30,"Caduca pronto","OK"))))))</f>
        <v/>
      </c>
      <c r="R93" s="26" t="str">
        <f aca="false">IF(OR($A93="",R$4=""),"",IF(NOT(OR(R$6="Toda la plantilla",ISNUMBER(SEARCH(";"&amp;SUBSTITUTE($C93," ","")&amp;";",";"&amp;SUBSTITUTE(R$7," ","")&amp;";")))),"—",IF(_xlfn.MAXIFS(Acuses!$C$5:$C$3004,Acuses!$A$5:$A$3004,$A93,Acuses!$B$5:$B$3004,R$4)&lt;R$5,"Pendiente",IF(R$8=0,"OK",IF(EDATE(_xlfn.MAXIFS(Acuses!$D$5:$D$3004,Acuses!$A$5:$A$3004,$A93,Acuses!$B$5:$B$3004,R$4,Acuses!$C$5:$C$3004,R$5),R$8)&lt;Resumen!$C$4,"Caducado",IF(EDATE(_xlfn.MAXIFS(Acuses!$D$5:$D$3004,Acuses!$A$5:$A$3004,$A93,Acuses!$B$5:$B$3004,R$4,Acuses!$C$5:$C$3004,R$5),R$8)&lt;Resumen!$C$4+30,"Caduca pronto","OK"))))))</f>
        <v/>
      </c>
      <c r="S93" s="26" t="str">
        <f aca="false">IF(OR($A93="",S$4=""),"",IF(NOT(OR(S$6="Toda la plantilla",ISNUMBER(SEARCH(";"&amp;SUBSTITUTE($C93," ","")&amp;";",";"&amp;SUBSTITUTE(S$7," ","")&amp;";")))),"—",IF(_xlfn.MAXIFS(Acuses!$C$5:$C$3004,Acuses!$A$5:$A$3004,$A93,Acuses!$B$5:$B$3004,S$4)&lt;S$5,"Pendiente",IF(S$8=0,"OK",IF(EDATE(_xlfn.MAXIFS(Acuses!$D$5:$D$3004,Acuses!$A$5:$A$3004,$A93,Acuses!$B$5:$B$3004,S$4,Acuses!$C$5:$C$3004,S$5),S$8)&lt;Resumen!$C$4,"Caducado",IF(EDATE(_xlfn.MAXIFS(Acuses!$D$5:$D$3004,Acuses!$A$5:$A$3004,$A93,Acuses!$B$5:$B$3004,S$4,Acuses!$C$5:$C$3004,S$5),S$8)&lt;Resumen!$C$4+30,"Caduca pronto","OK"))))))</f>
        <v/>
      </c>
      <c r="T93" s="26" t="str">
        <f aca="false">IF(OR($A93="",T$4=""),"",IF(NOT(OR(T$6="Toda la plantilla",ISNUMBER(SEARCH(";"&amp;SUBSTITUTE($C93," ","")&amp;";",";"&amp;SUBSTITUTE(T$7," ","")&amp;";")))),"—",IF(_xlfn.MAXIFS(Acuses!$C$5:$C$3004,Acuses!$A$5:$A$3004,$A93,Acuses!$B$5:$B$3004,T$4)&lt;T$5,"Pendiente",IF(T$8=0,"OK",IF(EDATE(_xlfn.MAXIFS(Acuses!$D$5:$D$3004,Acuses!$A$5:$A$3004,$A93,Acuses!$B$5:$B$3004,T$4,Acuses!$C$5:$C$3004,T$5),T$8)&lt;Resumen!$C$4,"Caducado",IF(EDATE(_xlfn.MAXIFS(Acuses!$D$5:$D$3004,Acuses!$A$5:$A$3004,$A93,Acuses!$B$5:$B$3004,T$4,Acuses!$C$5:$C$3004,T$5),T$8)&lt;Resumen!$C$4+30,"Caduca pronto","OK"))))))</f>
        <v/>
      </c>
      <c r="U93" s="26" t="str">
        <f aca="false">IF(OR($A93="",U$4=""),"",IF(NOT(OR(U$6="Toda la plantilla",ISNUMBER(SEARCH(";"&amp;SUBSTITUTE($C93," ","")&amp;";",";"&amp;SUBSTITUTE(U$7," ","")&amp;";")))),"—",IF(_xlfn.MAXIFS(Acuses!$C$5:$C$3004,Acuses!$A$5:$A$3004,$A93,Acuses!$B$5:$B$3004,U$4)&lt;U$5,"Pendiente",IF(U$8=0,"OK",IF(EDATE(_xlfn.MAXIFS(Acuses!$D$5:$D$3004,Acuses!$A$5:$A$3004,$A93,Acuses!$B$5:$B$3004,U$4,Acuses!$C$5:$C$3004,U$5),U$8)&lt;Resumen!$C$4,"Caducado",IF(EDATE(_xlfn.MAXIFS(Acuses!$D$5:$D$3004,Acuses!$A$5:$A$3004,$A93,Acuses!$B$5:$B$3004,U$4,Acuses!$C$5:$C$3004,U$5),U$8)&lt;Resumen!$C$4+30,"Caduca pronto","OK"))))))</f>
        <v/>
      </c>
      <c r="V93" s="26" t="str">
        <f aca="false">IF(OR($A93="",V$4=""),"",IF(NOT(OR(V$6="Toda la plantilla",ISNUMBER(SEARCH(";"&amp;SUBSTITUTE($C93," ","")&amp;";",";"&amp;SUBSTITUTE(V$7," ","")&amp;";")))),"—",IF(_xlfn.MAXIFS(Acuses!$C$5:$C$3004,Acuses!$A$5:$A$3004,$A93,Acuses!$B$5:$B$3004,V$4)&lt;V$5,"Pendiente",IF(V$8=0,"OK",IF(EDATE(_xlfn.MAXIFS(Acuses!$D$5:$D$3004,Acuses!$A$5:$A$3004,$A93,Acuses!$B$5:$B$3004,V$4,Acuses!$C$5:$C$3004,V$5),V$8)&lt;Resumen!$C$4,"Caducado",IF(EDATE(_xlfn.MAXIFS(Acuses!$D$5:$D$3004,Acuses!$A$5:$A$3004,$A93,Acuses!$B$5:$B$3004,V$4,Acuses!$C$5:$C$3004,V$5),V$8)&lt;Resumen!$C$4+30,"Caduca pronto","OK"))))))</f>
        <v/>
      </c>
      <c r="W93" s="26" t="str">
        <f aca="false">IF(OR($A93="",W$4=""),"",IF(NOT(OR(W$6="Toda la plantilla",ISNUMBER(SEARCH(";"&amp;SUBSTITUTE($C93," ","")&amp;";",";"&amp;SUBSTITUTE(W$7," ","")&amp;";")))),"—",IF(_xlfn.MAXIFS(Acuses!$C$5:$C$3004,Acuses!$A$5:$A$3004,$A93,Acuses!$B$5:$B$3004,W$4)&lt;W$5,"Pendiente",IF(W$8=0,"OK",IF(EDATE(_xlfn.MAXIFS(Acuses!$D$5:$D$3004,Acuses!$A$5:$A$3004,$A93,Acuses!$B$5:$B$3004,W$4,Acuses!$C$5:$C$3004,W$5),W$8)&lt;Resumen!$C$4,"Caducado",IF(EDATE(_xlfn.MAXIFS(Acuses!$D$5:$D$3004,Acuses!$A$5:$A$3004,$A93,Acuses!$B$5:$B$3004,W$4,Acuses!$C$5:$C$3004,W$5),W$8)&lt;Resumen!$C$4+30,"Caduca pronto","OK"))))))</f>
        <v/>
      </c>
      <c r="X93" s="26" t="str">
        <f aca="false">IF(OR($A93="",X$4=""),"",IF(NOT(OR(X$6="Toda la plantilla",ISNUMBER(SEARCH(";"&amp;SUBSTITUTE($C93," ","")&amp;";",";"&amp;SUBSTITUTE(X$7," ","")&amp;";")))),"—",IF(_xlfn.MAXIFS(Acuses!$C$5:$C$3004,Acuses!$A$5:$A$3004,$A93,Acuses!$B$5:$B$3004,X$4)&lt;X$5,"Pendiente",IF(X$8=0,"OK",IF(EDATE(_xlfn.MAXIFS(Acuses!$D$5:$D$3004,Acuses!$A$5:$A$3004,$A93,Acuses!$B$5:$B$3004,X$4,Acuses!$C$5:$C$3004,X$5),X$8)&lt;Resumen!$C$4,"Caducado",IF(EDATE(_xlfn.MAXIFS(Acuses!$D$5:$D$3004,Acuses!$A$5:$A$3004,$A93,Acuses!$B$5:$B$3004,X$4,Acuses!$C$5:$C$3004,X$5),X$8)&lt;Resumen!$C$4+30,"Caduca pronto","OK"))))))</f>
        <v/>
      </c>
      <c r="Y93" s="26" t="str">
        <f aca="false">IF(OR($A93="",Y$4=""),"",IF(NOT(OR(Y$6="Toda la plantilla",ISNUMBER(SEARCH(";"&amp;SUBSTITUTE($C93," ","")&amp;";",";"&amp;SUBSTITUTE(Y$7," ","")&amp;";")))),"—",IF(_xlfn.MAXIFS(Acuses!$C$5:$C$3004,Acuses!$A$5:$A$3004,$A93,Acuses!$B$5:$B$3004,Y$4)&lt;Y$5,"Pendiente",IF(Y$8=0,"OK",IF(EDATE(_xlfn.MAXIFS(Acuses!$D$5:$D$3004,Acuses!$A$5:$A$3004,$A93,Acuses!$B$5:$B$3004,Y$4,Acuses!$C$5:$C$3004,Y$5),Y$8)&lt;Resumen!$C$4,"Caducado",IF(EDATE(_xlfn.MAXIFS(Acuses!$D$5:$D$3004,Acuses!$A$5:$A$3004,$A93,Acuses!$B$5:$B$3004,Y$4,Acuses!$C$5:$C$3004,Y$5),Y$8)&lt;Resumen!$C$4+30,"Caduca pronto","OK"))))))</f>
        <v/>
      </c>
      <c r="Z93" s="26" t="str">
        <f aca="false">IF(OR($A93="",Z$4=""),"",IF(NOT(OR(Z$6="Toda la plantilla",ISNUMBER(SEARCH(";"&amp;SUBSTITUTE($C93," ","")&amp;";",";"&amp;SUBSTITUTE(Z$7," ","")&amp;";")))),"—",IF(_xlfn.MAXIFS(Acuses!$C$5:$C$3004,Acuses!$A$5:$A$3004,$A93,Acuses!$B$5:$B$3004,Z$4)&lt;Z$5,"Pendiente",IF(Z$8=0,"OK",IF(EDATE(_xlfn.MAXIFS(Acuses!$D$5:$D$3004,Acuses!$A$5:$A$3004,$A93,Acuses!$B$5:$B$3004,Z$4,Acuses!$C$5:$C$3004,Z$5),Z$8)&lt;Resumen!$C$4,"Caducado",IF(EDATE(_xlfn.MAXIFS(Acuses!$D$5:$D$3004,Acuses!$A$5:$A$3004,$A93,Acuses!$B$5:$B$3004,Z$4,Acuses!$C$5:$C$3004,Z$5),Z$8)&lt;Resumen!$C$4+30,"Caduca pronto","OK"))))))</f>
        <v/>
      </c>
      <c r="AA93" s="26" t="str">
        <f aca="false">IF(OR($A93="",AA$4=""),"",IF(NOT(OR(AA$6="Toda la plantilla",ISNUMBER(SEARCH(";"&amp;SUBSTITUTE($C93," ","")&amp;";",";"&amp;SUBSTITUTE(AA$7," ","")&amp;";")))),"—",IF(_xlfn.MAXIFS(Acuses!$C$5:$C$3004,Acuses!$A$5:$A$3004,$A93,Acuses!$B$5:$B$3004,AA$4)&lt;AA$5,"Pendiente",IF(AA$8=0,"OK",IF(EDATE(_xlfn.MAXIFS(Acuses!$D$5:$D$3004,Acuses!$A$5:$A$3004,$A93,Acuses!$B$5:$B$3004,AA$4,Acuses!$C$5:$C$3004,AA$5),AA$8)&lt;Resumen!$C$4,"Caducado",IF(EDATE(_xlfn.MAXIFS(Acuses!$D$5:$D$3004,Acuses!$A$5:$A$3004,$A93,Acuses!$B$5:$B$3004,AA$4,Acuses!$C$5:$C$3004,AA$5),AA$8)&lt;Resumen!$C$4+30,"Caduca pronto","OK"))))))</f>
        <v/>
      </c>
      <c r="AB93" s="26" t="str">
        <f aca="false">IF(OR($A93="",AB$4=""),"",IF(NOT(OR(AB$6="Toda la plantilla",ISNUMBER(SEARCH(";"&amp;SUBSTITUTE($C93," ","")&amp;";",";"&amp;SUBSTITUTE(AB$7," ","")&amp;";")))),"—",IF(_xlfn.MAXIFS(Acuses!$C$5:$C$3004,Acuses!$A$5:$A$3004,$A93,Acuses!$B$5:$B$3004,AB$4)&lt;AB$5,"Pendiente",IF(AB$8=0,"OK",IF(EDATE(_xlfn.MAXIFS(Acuses!$D$5:$D$3004,Acuses!$A$5:$A$3004,$A93,Acuses!$B$5:$B$3004,AB$4,Acuses!$C$5:$C$3004,AB$5),AB$8)&lt;Resumen!$C$4,"Caducado",IF(EDATE(_xlfn.MAXIFS(Acuses!$D$5:$D$3004,Acuses!$A$5:$A$3004,$A93,Acuses!$B$5:$B$3004,AB$4,Acuses!$C$5:$C$3004,AB$5),AB$8)&lt;Resumen!$C$4+30,"Caduca pronto","OK"))))))</f>
        <v/>
      </c>
      <c r="AC93" s="26" t="str">
        <f aca="false">IF(OR($A93="",AC$4=""),"",IF(NOT(OR(AC$6="Toda la plantilla",ISNUMBER(SEARCH(";"&amp;SUBSTITUTE($C93," ","")&amp;";",";"&amp;SUBSTITUTE(AC$7," ","")&amp;";")))),"—",IF(_xlfn.MAXIFS(Acuses!$C$5:$C$3004,Acuses!$A$5:$A$3004,$A93,Acuses!$B$5:$B$3004,AC$4)&lt;AC$5,"Pendiente",IF(AC$8=0,"OK",IF(EDATE(_xlfn.MAXIFS(Acuses!$D$5:$D$3004,Acuses!$A$5:$A$3004,$A93,Acuses!$B$5:$B$3004,AC$4,Acuses!$C$5:$C$3004,AC$5),AC$8)&lt;Resumen!$C$4,"Caducado",IF(EDATE(_xlfn.MAXIFS(Acuses!$D$5:$D$3004,Acuses!$A$5:$A$3004,$A93,Acuses!$B$5:$B$3004,AC$4,Acuses!$C$5:$C$3004,AC$5),AC$8)&lt;Resumen!$C$4+30,"Caduca pronto","OK"))))))</f>
        <v/>
      </c>
      <c r="AD93" s="26" t="str">
        <f aca="false">IF(OR($A93="",AD$4=""),"",IF(NOT(OR(AD$6="Toda la plantilla",ISNUMBER(SEARCH(";"&amp;SUBSTITUTE($C93," ","")&amp;";",";"&amp;SUBSTITUTE(AD$7," ","")&amp;";")))),"—",IF(_xlfn.MAXIFS(Acuses!$C$5:$C$3004,Acuses!$A$5:$A$3004,$A93,Acuses!$B$5:$B$3004,AD$4)&lt;AD$5,"Pendiente",IF(AD$8=0,"OK",IF(EDATE(_xlfn.MAXIFS(Acuses!$D$5:$D$3004,Acuses!$A$5:$A$3004,$A93,Acuses!$B$5:$B$3004,AD$4,Acuses!$C$5:$C$3004,AD$5),AD$8)&lt;Resumen!$C$4,"Caducado",IF(EDATE(_xlfn.MAXIFS(Acuses!$D$5:$D$3004,Acuses!$A$5:$A$3004,$A93,Acuses!$B$5:$B$3004,AD$4,Acuses!$C$5:$C$3004,AD$5),AD$8)&lt;Resumen!$C$4+30,"Caduca pronto","OK"))))))</f>
        <v/>
      </c>
      <c r="AE93" s="26" t="str">
        <f aca="false">IF(OR($A93="",AE$4=""),"",IF(NOT(OR(AE$6="Toda la plantilla",ISNUMBER(SEARCH(";"&amp;SUBSTITUTE($C93," ","")&amp;";",";"&amp;SUBSTITUTE(AE$7," ","")&amp;";")))),"—",IF(_xlfn.MAXIFS(Acuses!$C$5:$C$3004,Acuses!$A$5:$A$3004,$A93,Acuses!$B$5:$B$3004,AE$4)&lt;AE$5,"Pendiente",IF(AE$8=0,"OK",IF(EDATE(_xlfn.MAXIFS(Acuses!$D$5:$D$3004,Acuses!$A$5:$A$3004,$A93,Acuses!$B$5:$B$3004,AE$4,Acuses!$C$5:$C$3004,AE$5),AE$8)&lt;Resumen!$C$4,"Caducado",IF(EDATE(_xlfn.MAXIFS(Acuses!$D$5:$D$3004,Acuses!$A$5:$A$3004,$A93,Acuses!$B$5:$B$3004,AE$4,Acuses!$C$5:$C$3004,AE$5),AE$8)&lt;Resumen!$C$4+30,"Caduca pronto","OK"))))))</f>
        <v/>
      </c>
      <c r="AF93" s="26" t="str">
        <f aca="false">IF(OR($A93="",AF$4=""),"",IF(NOT(OR(AF$6="Toda la plantilla",ISNUMBER(SEARCH(";"&amp;SUBSTITUTE($C93," ","")&amp;";",";"&amp;SUBSTITUTE(AF$7," ","")&amp;";")))),"—",IF(_xlfn.MAXIFS(Acuses!$C$5:$C$3004,Acuses!$A$5:$A$3004,$A93,Acuses!$B$5:$B$3004,AF$4)&lt;AF$5,"Pendiente",IF(AF$8=0,"OK",IF(EDATE(_xlfn.MAXIFS(Acuses!$D$5:$D$3004,Acuses!$A$5:$A$3004,$A93,Acuses!$B$5:$B$3004,AF$4,Acuses!$C$5:$C$3004,AF$5),AF$8)&lt;Resumen!$C$4,"Caducado",IF(EDATE(_xlfn.MAXIFS(Acuses!$D$5:$D$3004,Acuses!$A$5:$A$3004,$A93,Acuses!$B$5:$B$3004,AF$4,Acuses!$C$5:$C$3004,AF$5),AF$8)&lt;Resumen!$C$4+30,"Caduca pronto","OK"))))))</f>
        <v/>
      </c>
      <c r="AG93" s="26" t="str">
        <f aca="false">IF(OR($A93="",AG$4=""),"",IF(NOT(OR(AG$6="Toda la plantilla",ISNUMBER(SEARCH(";"&amp;SUBSTITUTE($C93," ","")&amp;";",";"&amp;SUBSTITUTE(AG$7," ","")&amp;";")))),"—",IF(_xlfn.MAXIFS(Acuses!$C$5:$C$3004,Acuses!$A$5:$A$3004,$A93,Acuses!$B$5:$B$3004,AG$4)&lt;AG$5,"Pendiente",IF(AG$8=0,"OK",IF(EDATE(_xlfn.MAXIFS(Acuses!$D$5:$D$3004,Acuses!$A$5:$A$3004,$A93,Acuses!$B$5:$B$3004,AG$4,Acuses!$C$5:$C$3004,AG$5),AG$8)&lt;Resumen!$C$4,"Caducado",IF(EDATE(_xlfn.MAXIFS(Acuses!$D$5:$D$3004,Acuses!$A$5:$A$3004,$A93,Acuses!$B$5:$B$3004,AG$4,Acuses!$C$5:$C$3004,AG$5),AG$8)&lt;Resumen!$C$4+30,"Caduca pronto","OK"))))))</f>
        <v/>
      </c>
      <c r="AH93" s="26" t="str">
        <f aca="false">IF(OR($A93="",AH$4=""),"",IF(NOT(OR(AH$6="Toda la plantilla",ISNUMBER(SEARCH(";"&amp;SUBSTITUTE($C93," ","")&amp;";",";"&amp;SUBSTITUTE(AH$7," ","")&amp;";")))),"—",IF(_xlfn.MAXIFS(Acuses!$C$5:$C$3004,Acuses!$A$5:$A$3004,$A93,Acuses!$B$5:$B$3004,AH$4)&lt;AH$5,"Pendiente",IF(AH$8=0,"OK",IF(EDATE(_xlfn.MAXIFS(Acuses!$D$5:$D$3004,Acuses!$A$5:$A$3004,$A93,Acuses!$B$5:$B$3004,AH$4,Acuses!$C$5:$C$3004,AH$5),AH$8)&lt;Resumen!$C$4,"Caducado",IF(EDATE(_xlfn.MAXIFS(Acuses!$D$5:$D$3004,Acuses!$A$5:$A$3004,$A93,Acuses!$B$5:$B$3004,AH$4,Acuses!$C$5:$C$3004,AH$5),AH$8)&lt;Resumen!$C$4+30,"Caduca pronto","OK"))))))</f>
        <v/>
      </c>
      <c r="AI93" s="26" t="str">
        <f aca="false">IF(OR($A93="",AI$4=""),"",IF(NOT(OR(AI$6="Toda la plantilla",ISNUMBER(SEARCH(";"&amp;SUBSTITUTE($C93," ","")&amp;";",";"&amp;SUBSTITUTE(AI$7," ","")&amp;";")))),"—",IF(_xlfn.MAXIFS(Acuses!$C$5:$C$3004,Acuses!$A$5:$A$3004,$A93,Acuses!$B$5:$B$3004,AI$4)&lt;AI$5,"Pendiente",IF(AI$8=0,"OK",IF(EDATE(_xlfn.MAXIFS(Acuses!$D$5:$D$3004,Acuses!$A$5:$A$3004,$A93,Acuses!$B$5:$B$3004,AI$4,Acuses!$C$5:$C$3004,AI$5),AI$8)&lt;Resumen!$C$4,"Caducado",IF(EDATE(_xlfn.MAXIFS(Acuses!$D$5:$D$3004,Acuses!$A$5:$A$3004,$A93,Acuses!$B$5:$B$3004,AI$4,Acuses!$C$5:$C$3004,AI$5),AI$8)&lt;Resumen!$C$4+30,"Caduca pronto","OK"))))))</f>
        <v/>
      </c>
      <c r="AJ93" s="26" t="str">
        <f aca="false">IF(OR($A93="",AJ$4=""),"",IF(NOT(OR(AJ$6="Toda la plantilla",ISNUMBER(SEARCH(";"&amp;SUBSTITUTE($C93," ","")&amp;";",";"&amp;SUBSTITUTE(AJ$7," ","")&amp;";")))),"—",IF(_xlfn.MAXIFS(Acuses!$C$5:$C$3004,Acuses!$A$5:$A$3004,$A93,Acuses!$B$5:$B$3004,AJ$4)&lt;AJ$5,"Pendiente",IF(AJ$8=0,"OK",IF(EDATE(_xlfn.MAXIFS(Acuses!$D$5:$D$3004,Acuses!$A$5:$A$3004,$A93,Acuses!$B$5:$B$3004,AJ$4,Acuses!$C$5:$C$3004,AJ$5),AJ$8)&lt;Resumen!$C$4,"Caducado",IF(EDATE(_xlfn.MAXIFS(Acuses!$D$5:$D$3004,Acuses!$A$5:$A$3004,$A93,Acuses!$B$5:$B$3004,AJ$4,Acuses!$C$5:$C$3004,AJ$5),AJ$8)&lt;Resumen!$C$4+30,"Caduca pronto","OK"))))))</f>
        <v/>
      </c>
      <c r="AK93" s="26" t="str">
        <f aca="false">IF(OR($A93="",AK$4=""),"",IF(NOT(OR(AK$6="Toda la plantilla",ISNUMBER(SEARCH(";"&amp;SUBSTITUTE($C93," ","")&amp;";",";"&amp;SUBSTITUTE(AK$7," ","")&amp;";")))),"—",IF(_xlfn.MAXIFS(Acuses!$C$5:$C$3004,Acuses!$A$5:$A$3004,$A93,Acuses!$B$5:$B$3004,AK$4)&lt;AK$5,"Pendiente",IF(AK$8=0,"OK",IF(EDATE(_xlfn.MAXIFS(Acuses!$D$5:$D$3004,Acuses!$A$5:$A$3004,$A93,Acuses!$B$5:$B$3004,AK$4,Acuses!$C$5:$C$3004,AK$5),AK$8)&lt;Resumen!$C$4,"Caducado",IF(EDATE(_xlfn.MAXIFS(Acuses!$D$5:$D$3004,Acuses!$A$5:$A$3004,$A93,Acuses!$B$5:$B$3004,AK$4,Acuses!$C$5:$C$3004,AK$5),AK$8)&lt;Resumen!$C$4+30,"Caduca pronto","OK"))))))</f>
        <v/>
      </c>
      <c r="AL93" s="26" t="str">
        <f aca="false">IF(OR($A93="",AL$4=""),"",IF(NOT(OR(AL$6="Toda la plantilla",ISNUMBER(SEARCH(";"&amp;SUBSTITUTE($C93," ","")&amp;";",";"&amp;SUBSTITUTE(AL$7," ","")&amp;";")))),"—",IF(_xlfn.MAXIFS(Acuses!$C$5:$C$3004,Acuses!$A$5:$A$3004,$A93,Acuses!$B$5:$B$3004,AL$4)&lt;AL$5,"Pendiente",IF(AL$8=0,"OK",IF(EDATE(_xlfn.MAXIFS(Acuses!$D$5:$D$3004,Acuses!$A$5:$A$3004,$A93,Acuses!$B$5:$B$3004,AL$4,Acuses!$C$5:$C$3004,AL$5),AL$8)&lt;Resumen!$C$4,"Caducado",IF(EDATE(_xlfn.MAXIFS(Acuses!$D$5:$D$3004,Acuses!$A$5:$A$3004,$A93,Acuses!$B$5:$B$3004,AL$4,Acuses!$C$5:$C$3004,AL$5),AL$8)&lt;Resumen!$C$4+30,"Caduca pronto","OK"))))))</f>
        <v/>
      </c>
      <c r="AM93" s="26" t="str">
        <f aca="false">IF(OR($A93="",AM$4=""),"",IF(NOT(OR(AM$6="Toda la plantilla",ISNUMBER(SEARCH(";"&amp;SUBSTITUTE($C93," ","")&amp;";",";"&amp;SUBSTITUTE(AM$7," ","")&amp;";")))),"—",IF(_xlfn.MAXIFS(Acuses!$C$5:$C$3004,Acuses!$A$5:$A$3004,$A93,Acuses!$B$5:$B$3004,AM$4)&lt;AM$5,"Pendiente",IF(AM$8=0,"OK",IF(EDATE(_xlfn.MAXIFS(Acuses!$D$5:$D$3004,Acuses!$A$5:$A$3004,$A93,Acuses!$B$5:$B$3004,AM$4,Acuses!$C$5:$C$3004,AM$5),AM$8)&lt;Resumen!$C$4,"Caducado",IF(EDATE(_xlfn.MAXIFS(Acuses!$D$5:$D$3004,Acuses!$A$5:$A$3004,$A93,Acuses!$B$5:$B$3004,AM$4,Acuses!$C$5:$C$3004,AM$5),AM$8)&lt;Resumen!$C$4+30,"Caduca pronto","OK"))))))</f>
        <v/>
      </c>
      <c r="AN93" s="26" t="str">
        <f aca="false">IF(OR($A93="",AN$4=""),"",IF(NOT(OR(AN$6="Toda la plantilla",ISNUMBER(SEARCH(";"&amp;SUBSTITUTE($C93," ","")&amp;";",";"&amp;SUBSTITUTE(AN$7," ","")&amp;";")))),"—",IF(_xlfn.MAXIFS(Acuses!$C$5:$C$3004,Acuses!$A$5:$A$3004,$A93,Acuses!$B$5:$B$3004,AN$4)&lt;AN$5,"Pendiente",IF(AN$8=0,"OK",IF(EDATE(_xlfn.MAXIFS(Acuses!$D$5:$D$3004,Acuses!$A$5:$A$3004,$A93,Acuses!$B$5:$B$3004,AN$4,Acuses!$C$5:$C$3004,AN$5),AN$8)&lt;Resumen!$C$4,"Caducado",IF(EDATE(_xlfn.MAXIFS(Acuses!$D$5:$D$3004,Acuses!$A$5:$A$3004,$A93,Acuses!$B$5:$B$3004,AN$4,Acuses!$C$5:$C$3004,AN$5),AN$8)&lt;Resumen!$C$4+30,"Caduca pronto","OK"))))))</f>
        <v/>
      </c>
      <c r="AO93" s="26" t="str">
        <f aca="false">IF(OR($A93="",AO$4=""),"",IF(NOT(OR(AO$6="Toda la plantilla",ISNUMBER(SEARCH(";"&amp;SUBSTITUTE($C93," ","")&amp;";",";"&amp;SUBSTITUTE(AO$7," ","")&amp;";")))),"—",IF(_xlfn.MAXIFS(Acuses!$C$5:$C$3004,Acuses!$A$5:$A$3004,$A93,Acuses!$B$5:$B$3004,AO$4)&lt;AO$5,"Pendiente",IF(AO$8=0,"OK",IF(EDATE(_xlfn.MAXIFS(Acuses!$D$5:$D$3004,Acuses!$A$5:$A$3004,$A93,Acuses!$B$5:$B$3004,AO$4,Acuses!$C$5:$C$3004,AO$5),AO$8)&lt;Resumen!$C$4,"Caducado",IF(EDATE(_xlfn.MAXIFS(Acuses!$D$5:$D$3004,Acuses!$A$5:$A$3004,$A93,Acuses!$B$5:$B$3004,AO$4,Acuses!$C$5:$C$3004,AO$5),AO$8)&lt;Resumen!$C$4+30,"Caduca pronto","OK"))))))</f>
        <v/>
      </c>
      <c r="AP93" s="26" t="str">
        <f aca="false">IF(OR($A93="",AP$4=""),"",IF(NOT(OR(AP$6="Toda la plantilla",ISNUMBER(SEARCH(";"&amp;SUBSTITUTE($C93," ","")&amp;";",";"&amp;SUBSTITUTE(AP$7," ","")&amp;";")))),"—",IF(_xlfn.MAXIFS(Acuses!$C$5:$C$3004,Acuses!$A$5:$A$3004,$A93,Acuses!$B$5:$B$3004,AP$4)&lt;AP$5,"Pendiente",IF(AP$8=0,"OK",IF(EDATE(_xlfn.MAXIFS(Acuses!$D$5:$D$3004,Acuses!$A$5:$A$3004,$A93,Acuses!$B$5:$B$3004,AP$4,Acuses!$C$5:$C$3004,AP$5),AP$8)&lt;Resumen!$C$4,"Caducado",IF(EDATE(_xlfn.MAXIFS(Acuses!$D$5:$D$3004,Acuses!$A$5:$A$3004,$A93,Acuses!$B$5:$B$3004,AP$4,Acuses!$C$5:$C$3004,AP$5),AP$8)&lt;Resumen!$C$4+30,"Caduca pronto","OK"))))))</f>
        <v/>
      </c>
      <c r="AQ93" s="26" t="str">
        <f aca="false">IF(OR($A93="",AQ$4=""),"",IF(NOT(OR(AQ$6="Toda la plantilla",ISNUMBER(SEARCH(";"&amp;SUBSTITUTE($C93," ","")&amp;";",";"&amp;SUBSTITUTE(AQ$7," ","")&amp;";")))),"—",IF(_xlfn.MAXIFS(Acuses!$C$5:$C$3004,Acuses!$A$5:$A$3004,$A93,Acuses!$B$5:$B$3004,AQ$4)&lt;AQ$5,"Pendiente",IF(AQ$8=0,"OK",IF(EDATE(_xlfn.MAXIFS(Acuses!$D$5:$D$3004,Acuses!$A$5:$A$3004,$A93,Acuses!$B$5:$B$3004,AQ$4,Acuses!$C$5:$C$3004,AQ$5),AQ$8)&lt;Resumen!$C$4,"Caducado",IF(EDATE(_xlfn.MAXIFS(Acuses!$D$5:$D$3004,Acuses!$A$5:$A$3004,$A93,Acuses!$B$5:$B$3004,AQ$4,Acuses!$C$5:$C$3004,AQ$5),AQ$8)&lt;Resumen!$C$4+30,"Caduca pronto","OK"))))))</f>
        <v/>
      </c>
    </row>
    <row r="94" customFormat="false" ht="15" hidden="false" customHeight="false" outlineLevel="0" collapsed="false">
      <c r="A94" s="25" t="str">
        <f aca="false">IF(AND(Trabajadores!$A$89&lt;&gt;"",Trabajadores!$G$89&lt;&gt;"No"),Trabajadores!$A$89,"")</f>
        <v/>
      </c>
      <c r="B94" s="25" t="str">
        <f aca="false">IF($A94="","",Trabajadores!$B$89)</f>
        <v/>
      </c>
      <c r="C94" s="25" t="str">
        <f aca="false">IF($A94="","",Trabajadores!$C$89)</f>
        <v/>
      </c>
      <c r="D94" s="26" t="str">
        <f aca="false">IF(OR($A94="",D$4=""),"",IF(NOT(OR(D$6="Toda la plantilla",ISNUMBER(SEARCH(";"&amp;SUBSTITUTE($C94," ","")&amp;";",";"&amp;SUBSTITUTE(D$7," ","")&amp;";")))),"—",IF(_xlfn.MAXIFS(Acuses!$C$5:$C$3004,Acuses!$A$5:$A$3004,$A94,Acuses!$B$5:$B$3004,D$4)&lt;D$5,"Pendiente",IF(D$8=0,"OK",IF(EDATE(_xlfn.MAXIFS(Acuses!$D$5:$D$3004,Acuses!$A$5:$A$3004,$A94,Acuses!$B$5:$B$3004,D$4,Acuses!$C$5:$C$3004,D$5),D$8)&lt;Resumen!$C$4,"Caducado",IF(EDATE(_xlfn.MAXIFS(Acuses!$D$5:$D$3004,Acuses!$A$5:$A$3004,$A94,Acuses!$B$5:$B$3004,D$4,Acuses!$C$5:$C$3004,D$5),D$8)&lt;Resumen!$C$4+30,"Caduca pronto","OK"))))))</f>
        <v/>
      </c>
      <c r="E94" s="26" t="str">
        <f aca="false">IF(OR($A94="",E$4=""),"",IF(NOT(OR(E$6="Toda la plantilla",ISNUMBER(SEARCH(";"&amp;SUBSTITUTE($C94," ","")&amp;";",";"&amp;SUBSTITUTE(E$7," ","")&amp;";")))),"—",IF(_xlfn.MAXIFS(Acuses!$C$5:$C$3004,Acuses!$A$5:$A$3004,$A94,Acuses!$B$5:$B$3004,E$4)&lt;E$5,"Pendiente",IF(E$8=0,"OK",IF(EDATE(_xlfn.MAXIFS(Acuses!$D$5:$D$3004,Acuses!$A$5:$A$3004,$A94,Acuses!$B$5:$B$3004,E$4,Acuses!$C$5:$C$3004,E$5),E$8)&lt;Resumen!$C$4,"Caducado",IF(EDATE(_xlfn.MAXIFS(Acuses!$D$5:$D$3004,Acuses!$A$5:$A$3004,$A94,Acuses!$B$5:$B$3004,E$4,Acuses!$C$5:$C$3004,E$5),E$8)&lt;Resumen!$C$4+30,"Caduca pronto","OK"))))))</f>
        <v/>
      </c>
      <c r="F94" s="26" t="str">
        <f aca="false">IF(OR($A94="",F$4=""),"",IF(NOT(OR(F$6="Toda la plantilla",ISNUMBER(SEARCH(";"&amp;SUBSTITUTE($C94," ","")&amp;";",";"&amp;SUBSTITUTE(F$7," ","")&amp;";")))),"—",IF(_xlfn.MAXIFS(Acuses!$C$5:$C$3004,Acuses!$A$5:$A$3004,$A94,Acuses!$B$5:$B$3004,F$4)&lt;F$5,"Pendiente",IF(F$8=0,"OK",IF(EDATE(_xlfn.MAXIFS(Acuses!$D$5:$D$3004,Acuses!$A$5:$A$3004,$A94,Acuses!$B$5:$B$3004,F$4,Acuses!$C$5:$C$3004,F$5),F$8)&lt;Resumen!$C$4,"Caducado",IF(EDATE(_xlfn.MAXIFS(Acuses!$D$5:$D$3004,Acuses!$A$5:$A$3004,$A94,Acuses!$B$5:$B$3004,F$4,Acuses!$C$5:$C$3004,F$5),F$8)&lt;Resumen!$C$4+30,"Caduca pronto","OK"))))))</f>
        <v/>
      </c>
      <c r="G94" s="26" t="str">
        <f aca="false">IF(OR($A94="",G$4=""),"",IF(NOT(OR(G$6="Toda la plantilla",ISNUMBER(SEARCH(";"&amp;SUBSTITUTE($C94," ","")&amp;";",";"&amp;SUBSTITUTE(G$7," ","")&amp;";")))),"—",IF(_xlfn.MAXIFS(Acuses!$C$5:$C$3004,Acuses!$A$5:$A$3004,$A94,Acuses!$B$5:$B$3004,G$4)&lt;G$5,"Pendiente",IF(G$8=0,"OK",IF(EDATE(_xlfn.MAXIFS(Acuses!$D$5:$D$3004,Acuses!$A$5:$A$3004,$A94,Acuses!$B$5:$B$3004,G$4,Acuses!$C$5:$C$3004,G$5),G$8)&lt;Resumen!$C$4,"Caducado",IF(EDATE(_xlfn.MAXIFS(Acuses!$D$5:$D$3004,Acuses!$A$5:$A$3004,$A94,Acuses!$B$5:$B$3004,G$4,Acuses!$C$5:$C$3004,G$5),G$8)&lt;Resumen!$C$4+30,"Caduca pronto","OK"))))))</f>
        <v/>
      </c>
      <c r="H94" s="26" t="str">
        <f aca="false">IF(OR($A94="",H$4=""),"",IF(NOT(OR(H$6="Toda la plantilla",ISNUMBER(SEARCH(";"&amp;SUBSTITUTE($C94," ","")&amp;";",";"&amp;SUBSTITUTE(H$7," ","")&amp;";")))),"—",IF(_xlfn.MAXIFS(Acuses!$C$5:$C$3004,Acuses!$A$5:$A$3004,$A94,Acuses!$B$5:$B$3004,H$4)&lt;H$5,"Pendiente",IF(H$8=0,"OK",IF(EDATE(_xlfn.MAXIFS(Acuses!$D$5:$D$3004,Acuses!$A$5:$A$3004,$A94,Acuses!$B$5:$B$3004,H$4,Acuses!$C$5:$C$3004,H$5),H$8)&lt;Resumen!$C$4,"Caducado",IF(EDATE(_xlfn.MAXIFS(Acuses!$D$5:$D$3004,Acuses!$A$5:$A$3004,$A94,Acuses!$B$5:$B$3004,H$4,Acuses!$C$5:$C$3004,H$5),H$8)&lt;Resumen!$C$4+30,"Caduca pronto","OK"))))))</f>
        <v/>
      </c>
      <c r="I94" s="26" t="str">
        <f aca="false">IF(OR($A94="",I$4=""),"",IF(NOT(OR(I$6="Toda la plantilla",ISNUMBER(SEARCH(";"&amp;SUBSTITUTE($C94," ","")&amp;";",";"&amp;SUBSTITUTE(I$7," ","")&amp;";")))),"—",IF(_xlfn.MAXIFS(Acuses!$C$5:$C$3004,Acuses!$A$5:$A$3004,$A94,Acuses!$B$5:$B$3004,I$4)&lt;I$5,"Pendiente",IF(I$8=0,"OK",IF(EDATE(_xlfn.MAXIFS(Acuses!$D$5:$D$3004,Acuses!$A$5:$A$3004,$A94,Acuses!$B$5:$B$3004,I$4,Acuses!$C$5:$C$3004,I$5),I$8)&lt;Resumen!$C$4,"Caducado",IF(EDATE(_xlfn.MAXIFS(Acuses!$D$5:$D$3004,Acuses!$A$5:$A$3004,$A94,Acuses!$B$5:$B$3004,I$4,Acuses!$C$5:$C$3004,I$5),I$8)&lt;Resumen!$C$4+30,"Caduca pronto","OK"))))))</f>
        <v/>
      </c>
      <c r="J94" s="26" t="str">
        <f aca="false">IF(OR($A94="",J$4=""),"",IF(NOT(OR(J$6="Toda la plantilla",ISNUMBER(SEARCH(";"&amp;SUBSTITUTE($C94," ","")&amp;";",";"&amp;SUBSTITUTE(J$7," ","")&amp;";")))),"—",IF(_xlfn.MAXIFS(Acuses!$C$5:$C$3004,Acuses!$A$5:$A$3004,$A94,Acuses!$B$5:$B$3004,J$4)&lt;J$5,"Pendiente",IF(J$8=0,"OK",IF(EDATE(_xlfn.MAXIFS(Acuses!$D$5:$D$3004,Acuses!$A$5:$A$3004,$A94,Acuses!$B$5:$B$3004,J$4,Acuses!$C$5:$C$3004,J$5),J$8)&lt;Resumen!$C$4,"Caducado",IF(EDATE(_xlfn.MAXIFS(Acuses!$D$5:$D$3004,Acuses!$A$5:$A$3004,$A94,Acuses!$B$5:$B$3004,J$4,Acuses!$C$5:$C$3004,J$5),J$8)&lt;Resumen!$C$4+30,"Caduca pronto","OK"))))))</f>
        <v/>
      </c>
      <c r="K94" s="26" t="str">
        <f aca="false">IF(OR($A94="",K$4=""),"",IF(NOT(OR(K$6="Toda la plantilla",ISNUMBER(SEARCH(";"&amp;SUBSTITUTE($C94," ","")&amp;";",";"&amp;SUBSTITUTE(K$7," ","")&amp;";")))),"—",IF(_xlfn.MAXIFS(Acuses!$C$5:$C$3004,Acuses!$A$5:$A$3004,$A94,Acuses!$B$5:$B$3004,K$4)&lt;K$5,"Pendiente",IF(K$8=0,"OK",IF(EDATE(_xlfn.MAXIFS(Acuses!$D$5:$D$3004,Acuses!$A$5:$A$3004,$A94,Acuses!$B$5:$B$3004,K$4,Acuses!$C$5:$C$3004,K$5),K$8)&lt;Resumen!$C$4,"Caducado",IF(EDATE(_xlfn.MAXIFS(Acuses!$D$5:$D$3004,Acuses!$A$5:$A$3004,$A94,Acuses!$B$5:$B$3004,K$4,Acuses!$C$5:$C$3004,K$5),K$8)&lt;Resumen!$C$4+30,"Caduca pronto","OK"))))))</f>
        <v/>
      </c>
      <c r="L94" s="26" t="str">
        <f aca="false">IF(OR($A94="",L$4=""),"",IF(NOT(OR(L$6="Toda la plantilla",ISNUMBER(SEARCH(";"&amp;SUBSTITUTE($C94," ","")&amp;";",";"&amp;SUBSTITUTE(L$7," ","")&amp;";")))),"—",IF(_xlfn.MAXIFS(Acuses!$C$5:$C$3004,Acuses!$A$5:$A$3004,$A94,Acuses!$B$5:$B$3004,L$4)&lt;L$5,"Pendiente",IF(L$8=0,"OK",IF(EDATE(_xlfn.MAXIFS(Acuses!$D$5:$D$3004,Acuses!$A$5:$A$3004,$A94,Acuses!$B$5:$B$3004,L$4,Acuses!$C$5:$C$3004,L$5),L$8)&lt;Resumen!$C$4,"Caducado",IF(EDATE(_xlfn.MAXIFS(Acuses!$D$5:$D$3004,Acuses!$A$5:$A$3004,$A94,Acuses!$B$5:$B$3004,L$4,Acuses!$C$5:$C$3004,L$5),L$8)&lt;Resumen!$C$4+30,"Caduca pronto","OK"))))))</f>
        <v/>
      </c>
      <c r="M94" s="26" t="str">
        <f aca="false">IF(OR($A94="",M$4=""),"",IF(NOT(OR(M$6="Toda la plantilla",ISNUMBER(SEARCH(";"&amp;SUBSTITUTE($C94," ","")&amp;";",";"&amp;SUBSTITUTE(M$7," ","")&amp;";")))),"—",IF(_xlfn.MAXIFS(Acuses!$C$5:$C$3004,Acuses!$A$5:$A$3004,$A94,Acuses!$B$5:$B$3004,M$4)&lt;M$5,"Pendiente",IF(M$8=0,"OK",IF(EDATE(_xlfn.MAXIFS(Acuses!$D$5:$D$3004,Acuses!$A$5:$A$3004,$A94,Acuses!$B$5:$B$3004,M$4,Acuses!$C$5:$C$3004,M$5),M$8)&lt;Resumen!$C$4,"Caducado",IF(EDATE(_xlfn.MAXIFS(Acuses!$D$5:$D$3004,Acuses!$A$5:$A$3004,$A94,Acuses!$B$5:$B$3004,M$4,Acuses!$C$5:$C$3004,M$5),M$8)&lt;Resumen!$C$4+30,"Caduca pronto","OK"))))))</f>
        <v/>
      </c>
      <c r="N94" s="26" t="str">
        <f aca="false">IF(OR($A94="",N$4=""),"",IF(NOT(OR(N$6="Toda la plantilla",ISNUMBER(SEARCH(";"&amp;SUBSTITUTE($C94," ","")&amp;";",";"&amp;SUBSTITUTE(N$7," ","")&amp;";")))),"—",IF(_xlfn.MAXIFS(Acuses!$C$5:$C$3004,Acuses!$A$5:$A$3004,$A94,Acuses!$B$5:$B$3004,N$4)&lt;N$5,"Pendiente",IF(N$8=0,"OK",IF(EDATE(_xlfn.MAXIFS(Acuses!$D$5:$D$3004,Acuses!$A$5:$A$3004,$A94,Acuses!$B$5:$B$3004,N$4,Acuses!$C$5:$C$3004,N$5),N$8)&lt;Resumen!$C$4,"Caducado",IF(EDATE(_xlfn.MAXIFS(Acuses!$D$5:$D$3004,Acuses!$A$5:$A$3004,$A94,Acuses!$B$5:$B$3004,N$4,Acuses!$C$5:$C$3004,N$5),N$8)&lt;Resumen!$C$4+30,"Caduca pronto","OK"))))))</f>
        <v/>
      </c>
      <c r="O94" s="26" t="str">
        <f aca="false">IF(OR($A94="",O$4=""),"",IF(NOT(OR(O$6="Toda la plantilla",ISNUMBER(SEARCH(";"&amp;SUBSTITUTE($C94," ","")&amp;";",";"&amp;SUBSTITUTE(O$7," ","")&amp;";")))),"—",IF(_xlfn.MAXIFS(Acuses!$C$5:$C$3004,Acuses!$A$5:$A$3004,$A94,Acuses!$B$5:$B$3004,O$4)&lt;O$5,"Pendiente",IF(O$8=0,"OK",IF(EDATE(_xlfn.MAXIFS(Acuses!$D$5:$D$3004,Acuses!$A$5:$A$3004,$A94,Acuses!$B$5:$B$3004,O$4,Acuses!$C$5:$C$3004,O$5),O$8)&lt;Resumen!$C$4,"Caducado",IF(EDATE(_xlfn.MAXIFS(Acuses!$D$5:$D$3004,Acuses!$A$5:$A$3004,$A94,Acuses!$B$5:$B$3004,O$4,Acuses!$C$5:$C$3004,O$5),O$8)&lt;Resumen!$C$4+30,"Caduca pronto","OK"))))))</f>
        <v/>
      </c>
      <c r="P94" s="26" t="str">
        <f aca="false">IF(OR($A94="",P$4=""),"",IF(NOT(OR(P$6="Toda la plantilla",ISNUMBER(SEARCH(";"&amp;SUBSTITUTE($C94," ","")&amp;";",";"&amp;SUBSTITUTE(P$7," ","")&amp;";")))),"—",IF(_xlfn.MAXIFS(Acuses!$C$5:$C$3004,Acuses!$A$5:$A$3004,$A94,Acuses!$B$5:$B$3004,P$4)&lt;P$5,"Pendiente",IF(P$8=0,"OK",IF(EDATE(_xlfn.MAXIFS(Acuses!$D$5:$D$3004,Acuses!$A$5:$A$3004,$A94,Acuses!$B$5:$B$3004,P$4,Acuses!$C$5:$C$3004,P$5),P$8)&lt;Resumen!$C$4,"Caducado",IF(EDATE(_xlfn.MAXIFS(Acuses!$D$5:$D$3004,Acuses!$A$5:$A$3004,$A94,Acuses!$B$5:$B$3004,P$4,Acuses!$C$5:$C$3004,P$5),P$8)&lt;Resumen!$C$4+30,"Caduca pronto","OK"))))))</f>
        <v/>
      </c>
      <c r="Q94" s="26" t="str">
        <f aca="false">IF(OR($A94="",Q$4=""),"",IF(NOT(OR(Q$6="Toda la plantilla",ISNUMBER(SEARCH(";"&amp;SUBSTITUTE($C94," ","")&amp;";",";"&amp;SUBSTITUTE(Q$7," ","")&amp;";")))),"—",IF(_xlfn.MAXIFS(Acuses!$C$5:$C$3004,Acuses!$A$5:$A$3004,$A94,Acuses!$B$5:$B$3004,Q$4)&lt;Q$5,"Pendiente",IF(Q$8=0,"OK",IF(EDATE(_xlfn.MAXIFS(Acuses!$D$5:$D$3004,Acuses!$A$5:$A$3004,$A94,Acuses!$B$5:$B$3004,Q$4,Acuses!$C$5:$C$3004,Q$5),Q$8)&lt;Resumen!$C$4,"Caducado",IF(EDATE(_xlfn.MAXIFS(Acuses!$D$5:$D$3004,Acuses!$A$5:$A$3004,$A94,Acuses!$B$5:$B$3004,Q$4,Acuses!$C$5:$C$3004,Q$5),Q$8)&lt;Resumen!$C$4+30,"Caduca pronto","OK"))))))</f>
        <v/>
      </c>
      <c r="R94" s="26" t="str">
        <f aca="false">IF(OR($A94="",R$4=""),"",IF(NOT(OR(R$6="Toda la plantilla",ISNUMBER(SEARCH(";"&amp;SUBSTITUTE($C94," ","")&amp;";",";"&amp;SUBSTITUTE(R$7," ","")&amp;";")))),"—",IF(_xlfn.MAXIFS(Acuses!$C$5:$C$3004,Acuses!$A$5:$A$3004,$A94,Acuses!$B$5:$B$3004,R$4)&lt;R$5,"Pendiente",IF(R$8=0,"OK",IF(EDATE(_xlfn.MAXIFS(Acuses!$D$5:$D$3004,Acuses!$A$5:$A$3004,$A94,Acuses!$B$5:$B$3004,R$4,Acuses!$C$5:$C$3004,R$5),R$8)&lt;Resumen!$C$4,"Caducado",IF(EDATE(_xlfn.MAXIFS(Acuses!$D$5:$D$3004,Acuses!$A$5:$A$3004,$A94,Acuses!$B$5:$B$3004,R$4,Acuses!$C$5:$C$3004,R$5),R$8)&lt;Resumen!$C$4+30,"Caduca pronto","OK"))))))</f>
        <v/>
      </c>
      <c r="S94" s="26" t="str">
        <f aca="false">IF(OR($A94="",S$4=""),"",IF(NOT(OR(S$6="Toda la plantilla",ISNUMBER(SEARCH(";"&amp;SUBSTITUTE($C94," ","")&amp;";",";"&amp;SUBSTITUTE(S$7," ","")&amp;";")))),"—",IF(_xlfn.MAXIFS(Acuses!$C$5:$C$3004,Acuses!$A$5:$A$3004,$A94,Acuses!$B$5:$B$3004,S$4)&lt;S$5,"Pendiente",IF(S$8=0,"OK",IF(EDATE(_xlfn.MAXIFS(Acuses!$D$5:$D$3004,Acuses!$A$5:$A$3004,$A94,Acuses!$B$5:$B$3004,S$4,Acuses!$C$5:$C$3004,S$5),S$8)&lt;Resumen!$C$4,"Caducado",IF(EDATE(_xlfn.MAXIFS(Acuses!$D$5:$D$3004,Acuses!$A$5:$A$3004,$A94,Acuses!$B$5:$B$3004,S$4,Acuses!$C$5:$C$3004,S$5),S$8)&lt;Resumen!$C$4+30,"Caduca pronto","OK"))))))</f>
        <v/>
      </c>
      <c r="T94" s="26" t="str">
        <f aca="false">IF(OR($A94="",T$4=""),"",IF(NOT(OR(T$6="Toda la plantilla",ISNUMBER(SEARCH(";"&amp;SUBSTITUTE($C94," ","")&amp;";",";"&amp;SUBSTITUTE(T$7," ","")&amp;";")))),"—",IF(_xlfn.MAXIFS(Acuses!$C$5:$C$3004,Acuses!$A$5:$A$3004,$A94,Acuses!$B$5:$B$3004,T$4)&lt;T$5,"Pendiente",IF(T$8=0,"OK",IF(EDATE(_xlfn.MAXIFS(Acuses!$D$5:$D$3004,Acuses!$A$5:$A$3004,$A94,Acuses!$B$5:$B$3004,T$4,Acuses!$C$5:$C$3004,T$5),T$8)&lt;Resumen!$C$4,"Caducado",IF(EDATE(_xlfn.MAXIFS(Acuses!$D$5:$D$3004,Acuses!$A$5:$A$3004,$A94,Acuses!$B$5:$B$3004,T$4,Acuses!$C$5:$C$3004,T$5),T$8)&lt;Resumen!$C$4+30,"Caduca pronto","OK"))))))</f>
        <v/>
      </c>
      <c r="U94" s="26" t="str">
        <f aca="false">IF(OR($A94="",U$4=""),"",IF(NOT(OR(U$6="Toda la plantilla",ISNUMBER(SEARCH(";"&amp;SUBSTITUTE($C94," ","")&amp;";",";"&amp;SUBSTITUTE(U$7," ","")&amp;";")))),"—",IF(_xlfn.MAXIFS(Acuses!$C$5:$C$3004,Acuses!$A$5:$A$3004,$A94,Acuses!$B$5:$B$3004,U$4)&lt;U$5,"Pendiente",IF(U$8=0,"OK",IF(EDATE(_xlfn.MAXIFS(Acuses!$D$5:$D$3004,Acuses!$A$5:$A$3004,$A94,Acuses!$B$5:$B$3004,U$4,Acuses!$C$5:$C$3004,U$5),U$8)&lt;Resumen!$C$4,"Caducado",IF(EDATE(_xlfn.MAXIFS(Acuses!$D$5:$D$3004,Acuses!$A$5:$A$3004,$A94,Acuses!$B$5:$B$3004,U$4,Acuses!$C$5:$C$3004,U$5),U$8)&lt;Resumen!$C$4+30,"Caduca pronto","OK"))))))</f>
        <v/>
      </c>
      <c r="V94" s="26" t="str">
        <f aca="false">IF(OR($A94="",V$4=""),"",IF(NOT(OR(V$6="Toda la plantilla",ISNUMBER(SEARCH(";"&amp;SUBSTITUTE($C94," ","")&amp;";",";"&amp;SUBSTITUTE(V$7," ","")&amp;";")))),"—",IF(_xlfn.MAXIFS(Acuses!$C$5:$C$3004,Acuses!$A$5:$A$3004,$A94,Acuses!$B$5:$B$3004,V$4)&lt;V$5,"Pendiente",IF(V$8=0,"OK",IF(EDATE(_xlfn.MAXIFS(Acuses!$D$5:$D$3004,Acuses!$A$5:$A$3004,$A94,Acuses!$B$5:$B$3004,V$4,Acuses!$C$5:$C$3004,V$5),V$8)&lt;Resumen!$C$4,"Caducado",IF(EDATE(_xlfn.MAXIFS(Acuses!$D$5:$D$3004,Acuses!$A$5:$A$3004,$A94,Acuses!$B$5:$B$3004,V$4,Acuses!$C$5:$C$3004,V$5),V$8)&lt;Resumen!$C$4+30,"Caduca pronto","OK"))))))</f>
        <v/>
      </c>
      <c r="W94" s="26" t="str">
        <f aca="false">IF(OR($A94="",W$4=""),"",IF(NOT(OR(W$6="Toda la plantilla",ISNUMBER(SEARCH(";"&amp;SUBSTITUTE($C94," ","")&amp;";",";"&amp;SUBSTITUTE(W$7," ","")&amp;";")))),"—",IF(_xlfn.MAXIFS(Acuses!$C$5:$C$3004,Acuses!$A$5:$A$3004,$A94,Acuses!$B$5:$B$3004,W$4)&lt;W$5,"Pendiente",IF(W$8=0,"OK",IF(EDATE(_xlfn.MAXIFS(Acuses!$D$5:$D$3004,Acuses!$A$5:$A$3004,$A94,Acuses!$B$5:$B$3004,W$4,Acuses!$C$5:$C$3004,W$5),W$8)&lt;Resumen!$C$4,"Caducado",IF(EDATE(_xlfn.MAXIFS(Acuses!$D$5:$D$3004,Acuses!$A$5:$A$3004,$A94,Acuses!$B$5:$B$3004,W$4,Acuses!$C$5:$C$3004,W$5),W$8)&lt;Resumen!$C$4+30,"Caduca pronto","OK"))))))</f>
        <v/>
      </c>
      <c r="X94" s="26" t="str">
        <f aca="false">IF(OR($A94="",X$4=""),"",IF(NOT(OR(X$6="Toda la plantilla",ISNUMBER(SEARCH(";"&amp;SUBSTITUTE($C94," ","")&amp;";",";"&amp;SUBSTITUTE(X$7," ","")&amp;";")))),"—",IF(_xlfn.MAXIFS(Acuses!$C$5:$C$3004,Acuses!$A$5:$A$3004,$A94,Acuses!$B$5:$B$3004,X$4)&lt;X$5,"Pendiente",IF(X$8=0,"OK",IF(EDATE(_xlfn.MAXIFS(Acuses!$D$5:$D$3004,Acuses!$A$5:$A$3004,$A94,Acuses!$B$5:$B$3004,X$4,Acuses!$C$5:$C$3004,X$5),X$8)&lt;Resumen!$C$4,"Caducado",IF(EDATE(_xlfn.MAXIFS(Acuses!$D$5:$D$3004,Acuses!$A$5:$A$3004,$A94,Acuses!$B$5:$B$3004,X$4,Acuses!$C$5:$C$3004,X$5),X$8)&lt;Resumen!$C$4+30,"Caduca pronto","OK"))))))</f>
        <v/>
      </c>
      <c r="Y94" s="26" t="str">
        <f aca="false">IF(OR($A94="",Y$4=""),"",IF(NOT(OR(Y$6="Toda la plantilla",ISNUMBER(SEARCH(";"&amp;SUBSTITUTE($C94," ","")&amp;";",";"&amp;SUBSTITUTE(Y$7," ","")&amp;";")))),"—",IF(_xlfn.MAXIFS(Acuses!$C$5:$C$3004,Acuses!$A$5:$A$3004,$A94,Acuses!$B$5:$B$3004,Y$4)&lt;Y$5,"Pendiente",IF(Y$8=0,"OK",IF(EDATE(_xlfn.MAXIFS(Acuses!$D$5:$D$3004,Acuses!$A$5:$A$3004,$A94,Acuses!$B$5:$B$3004,Y$4,Acuses!$C$5:$C$3004,Y$5),Y$8)&lt;Resumen!$C$4,"Caducado",IF(EDATE(_xlfn.MAXIFS(Acuses!$D$5:$D$3004,Acuses!$A$5:$A$3004,$A94,Acuses!$B$5:$B$3004,Y$4,Acuses!$C$5:$C$3004,Y$5),Y$8)&lt;Resumen!$C$4+30,"Caduca pronto","OK"))))))</f>
        <v/>
      </c>
      <c r="Z94" s="26" t="str">
        <f aca="false">IF(OR($A94="",Z$4=""),"",IF(NOT(OR(Z$6="Toda la plantilla",ISNUMBER(SEARCH(";"&amp;SUBSTITUTE($C94," ","")&amp;";",";"&amp;SUBSTITUTE(Z$7," ","")&amp;";")))),"—",IF(_xlfn.MAXIFS(Acuses!$C$5:$C$3004,Acuses!$A$5:$A$3004,$A94,Acuses!$B$5:$B$3004,Z$4)&lt;Z$5,"Pendiente",IF(Z$8=0,"OK",IF(EDATE(_xlfn.MAXIFS(Acuses!$D$5:$D$3004,Acuses!$A$5:$A$3004,$A94,Acuses!$B$5:$B$3004,Z$4,Acuses!$C$5:$C$3004,Z$5),Z$8)&lt;Resumen!$C$4,"Caducado",IF(EDATE(_xlfn.MAXIFS(Acuses!$D$5:$D$3004,Acuses!$A$5:$A$3004,$A94,Acuses!$B$5:$B$3004,Z$4,Acuses!$C$5:$C$3004,Z$5),Z$8)&lt;Resumen!$C$4+30,"Caduca pronto","OK"))))))</f>
        <v/>
      </c>
      <c r="AA94" s="26" t="str">
        <f aca="false">IF(OR($A94="",AA$4=""),"",IF(NOT(OR(AA$6="Toda la plantilla",ISNUMBER(SEARCH(";"&amp;SUBSTITUTE($C94," ","")&amp;";",";"&amp;SUBSTITUTE(AA$7," ","")&amp;";")))),"—",IF(_xlfn.MAXIFS(Acuses!$C$5:$C$3004,Acuses!$A$5:$A$3004,$A94,Acuses!$B$5:$B$3004,AA$4)&lt;AA$5,"Pendiente",IF(AA$8=0,"OK",IF(EDATE(_xlfn.MAXIFS(Acuses!$D$5:$D$3004,Acuses!$A$5:$A$3004,$A94,Acuses!$B$5:$B$3004,AA$4,Acuses!$C$5:$C$3004,AA$5),AA$8)&lt;Resumen!$C$4,"Caducado",IF(EDATE(_xlfn.MAXIFS(Acuses!$D$5:$D$3004,Acuses!$A$5:$A$3004,$A94,Acuses!$B$5:$B$3004,AA$4,Acuses!$C$5:$C$3004,AA$5),AA$8)&lt;Resumen!$C$4+30,"Caduca pronto","OK"))))))</f>
        <v/>
      </c>
      <c r="AB94" s="26" t="str">
        <f aca="false">IF(OR($A94="",AB$4=""),"",IF(NOT(OR(AB$6="Toda la plantilla",ISNUMBER(SEARCH(";"&amp;SUBSTITUTE($C94," ","")&amp;";",";"&amp;SUBSTITUTE(AB$7," ","")&amp;";")))),"—",IF(_xlfn.MAXIFS(Acuses!$C$5:$C$3004,Acuses!$A$5:$A$3004,$A94,Acuses!$B$5:$B$3004,AB$4)&lt;AB$5,"Pendiente",IF(AB$8=0,"OK",IF(EDATE(_xlfn.MAXIFS(Acuses!$D$5:$D$3004,Acuses!$A$5:$A$3004,$A94,Acuses!$B$5:$B$3004,AB$4,Acuses!$C$5:$C$3004,AB$5),AB$8)&lt;Resumen!$C$4,"Caducado",IF(EDATE(_xlfn.MAXIFS(Acuses!$D$5:$D$3004,Acuses!$A$5:$A$3004,$A94,Acuses!$B$5:$B$3004,AB$4,Acuses!$C$5:$C$3004,AB$5),AB$8)&lt;Resumen!$C$4+30,"Caduca pronto","OK"))))))</f>
        <v/>
      </c>
      <c r="AC94" s="26" t="str">
        <f aca="false">IF(OR($A94="",AC$4=""),"",IF(NOT(OR(AC$6="Toda la plantilla",ISNUMBER(SEARCH(";"&amp;SUBSTITUTE($C94," ","")&amp;";",";"&amp;SUBSTITUTE(AC$7," ","")&amp;";")))),"—",IF(_xlfn.MAXIFS(Acuses!$C$5:$C$3004,Acuses!$A$5:$A$3004,$A94,Acuses!$B$5:$B$3004,AC$4)&lt;AC$5,"Pendiente",IF(AC$8=0,"OK",IF(EDATE(_xlfn.MAXIFS(Acuses!$D$5:$D$3004,Acuses!$A$5:$A$3004,$A94,Acuses!$B$5:$B$3004,AC$4,Acuses!$C$5:$C$3004,AC$5),AC$8)&lt;Resumen!$C$4,"Caducado",IF(EDATE(_xlfn.MAXIFS(Acuses!$D$5:$D$3004,Acuses!$A$5:$A$3004,$A94,Acuses!$B$5:$B$3004,AC$4,Acuses!$C$5:$C$3004,AC$5),AC$8)&lt;Resumen!$C$4+30,"Caduca pronto","OK"))))))</f>
        <v/>
      </c>
      <c r="AD94" s="26" t="str">
        <f aca="false">IF(OR($A94="",AD$4=""),"",IF(NOT(OR(AD$6="Toda la plantilla",ISNUMBER(SEARCH(";"&amp;SUBSTITUTE($C94," ","")&amp;";",";"&amp;SUBSTITUTE(AD$7," ","")&amp;";")))),"—",IF(_xlfn.MAXIFS(Acuses!$C$5:$C$3004,Acuses!$A$5:$A$3004,$A94,Acuses!$B$5:$B$3004,AD$4)&lt;AD$5,"Pendiente",IF(AD$8=0,"OK",IF(EDATE(_xlfn.MAXIFS(Acuses!$D$5:$D$3004,Acuses!$A$5:$A$3004,$A94,Acuses!$B$5:$B$3004,AD$4,Acuses!$C$5:$C$3004,AD$5),AD$8)&lt;Resumen!$C$4,"Caducado",IF(EDATE(_xlfn.MAXIFS(Acuses!$D$5:$D$3004,Acuses!$A$5:$A$3004,$A94,Acuses!$B$5:$B$3004,AD$4,Acuses!$C$5:$C$3004,AD$5),AD$8)&lt;Resumen!$C$4+30,"Caduca pronto","OK"))))))</f>
        <v/>
      </c>
      <c r="AE94" s="26" t="str">
        <f aca="false">IF(OR($A94="",AE$4=""),"",IF(NOT(OR(AE$6="Toda la plantilla",ISNUMBER(SEARCH(";"&amp;SUBSTITUTE($C94," ","")&amp;";",";"&amp;SUBSTITUTE(AE$7," ","")&amp;";")))),"—",IF(_xlfn.MAXIFS(Acuses!$C$5:$C$3004,Acuses!$A$5:$A$3004,$A94,Acuses!$B$5:$B$3004,AE$4)&lt;AE$5,"Pendiente",IF(AE$8=0,"OK",IF(EDATE(_xlfn.MAXIFS(Acuses!$D$5:$D$3004,Acuses!$A$5:$A$3004,$A94,Acuses!$B$5:$B$3004,AE$4,Acuses!$C$5:$C$3004,AE$5),AE$8)&lt;Resumen!$C$4,"Caducado",IF(EDATE(_xlfn.MAXIFS(Acuses!$D$5:$D$3004,Acuses!$A$5:$A$3004,$A94,Acuses!$B$5:$B$3004,AE$4,Acuses!$C$5:$C$3004,AE$5),AE$8)&lt;Resumen!$C$4+30,"Caduca pronto","OK"))))))</f>
        <v/>
      </c>
      <c r="AF94" s="26" t="str">
        <f aca="false">IF(OR($A94="",AF$4=""),"",IF(NOT(OR(AF$6="Toda la plantilla",ISNUMBER(SEARCH(";"&amp;SUBSTITUTE($C94," ","")&amp;";",";"&amp;SUBSTITUTE(AF$7," ","")&amp;";")))),"—",IF(_xlfn.MAXIFS(Acuses!$C$5:$C$3004,Acuses!$A$5:$A$3004,$A94,Acuses!$B$5:$B$3004,AF$4)&lt;AF$5,"Pendiente",IF(AF$8=0,"OK",IF(EDATE(_xlfn.MAXIFS(Acuses!$D$5:$D$3004,Acuses!$A$5:$A$3004,$A94,Acuses!$B$5:$B$3004,AF$4,Acuses!$C$5:$C$3004,AF$5),AF$8)&lt;Resumen!$C$4,"Caducado",IF(EDATE(_xlfn.MAXIFS(Acuses!$D$5:$D$3004,Acuses!$A$5:$A$3004,$A94,Acuses!$B$5:$B$3004,AF$4,Acuses!$C$5:$C$3004,AF$5),AF$8)&lt;Resumen!$C$4+30,"Caduca pronto","OK"))))))</f>
        <v/>
      </c>
      <c r="AG94" s="26" t="str">
        <f aca="false">IF(OR($A94="",AG$4=""),"",IF(NOT(OR(AG$6="Toda la plantilla",ISNUMBER(SEARCH(";"&amp;SUBSTITUTE($C94," ","")&amp;";",";"&amp;SUBSTITUTE(AG$7," ","")&amp;";")))),"—",IF(_xlfn.MAXIFS(Acuses!$C$5:$C$3004,Acuses!$A$5:$A$3004,$A94,Acuses!$B$5:$B$3004,AG$4)&lt;AG$5,"Pendiente",IF(AG$8=0,"OK",IF(EDATE(_xlfn.MAXIFS(Acuses!$D$5:$D$3004,Acuses!$A$5:$A$3004,$A94,Acuses!$B$5:$B$3004,AG$4,Acuses!$C$5:$C$3004,AG$5),AG$8)&lt;Resumen!$C$4,"Caducado",IF(EDATE(_xlfn.MAXIFS(Acuses!$D$5:$D$3004,Acuses!$A$5:$A$3004,$A94,Acuses!$B$5:$B$3004,AG$4,Acuses!$C$5:$C$3004,AG$5),AG$8)&lt;Resumen!$C$4+30,"Caduca pronto","OK"))))))</f>
        <v/>
      </c>
      <c r="AH94" s="26" t="str">
        <f aca="false">IF(OR($A94="",AH$4=""),"",IF(NOT(OR(AH$6="Toda la plantilla",ISNUMBER(SEARCH(";"&amp;SUBSTITUTE($C94," ","")&amp;";",";"&amp;SUBSTITUTE(AH$7," ","")&amp;";")))),"—",IF(_xlfn.MAXIFS(Acuses!$C$5:$C$3004,Acuses!$A$5:$A$3004,$A94,Acuses!$B$5:$B$3004,AH$4)&lt;AH$5,"Pendiente",IF(AH$8=0,"OK",IF(EDATE(_xlfn.MAXIFS(Acuses!$D$5:$D$3004,Acuses!$A$5:$A$3004,$A94,Acuses!$B$5:$B$3004,AH$4,Acuses!$C$5:$C$3004,AH$5),AH$8)&lt;Resumen!$C$4,"Caducado",IF(EDATE(_xlfn.MAXIFS(Acuses!$D$5:$D$3004,Acuses!$A$5:$A$3004,$A94,Acuses!$B$5:$B$3004,AH$4,Acuses!$C$5:$C$3004,AH$5),AH$8)&lt;Resumen!$C$4+30,"Caduca pronto","OK"))))))</f>
        <v/>
      </c>
      <c r="AI94" s="26" t="str">
        <f aca="false">IF(OR($A94="",AI$4=""),"",IF(NOT(OR(AI$6="Toda la plantilla",ISNUMBER(SEARCH(";"&amp;SUBSTITUTE($C94," ","")&amp;";",";"&amp;SUBSTITUTE(AI$7," ","")&amp;";")))),"—",IF(_xlfn.MAXIFS(Acuses!$C$5:$C$3004,Acuses!$A$5:$A$3004,$A94,Acuses!$B$5:$B$3004,AI$4)&lt;AI$5,"Pendiente",IF(AI$8=0,"OK",IF(EDATE(_xlfn.MAXIFS(Acuses!$D$5:$D$3004,Acuses!$A$5:$A$3004,$A94,Acuses!$B$5:$B$3004,AI$4,Acuses!$C$5:$C$3004,AI$5),AI$8)&lt;Resumen!$C$4,"Caducado",IF(EDATE(_xlfn.MAXIFS(Acuses!$D$5:$D$3004,Acuses!$A$5:$A$3004,$A94,Acuses!$B$5:$B$3004,AI$4,Acuses!$C$5:$C$3004,AI$5),AI$8)&lt;Resumen!$C$4+30,"Caduca pronto","OK"))))))</f>
        <v/>
      </c>
      <c r="AJ94" s="26" t="str">
        <f aca="false">IF(OR($A94="",AJ$4=""),"",IF(NOT(OR(AJ$6="Toda la plantilla",ISNUMBER(SEARCH(";"&amp;SUBSTITUTE($C94," ","")&amp;";",";"&amp;SUBSTITUTE(AJ$7," ","")&amp;";")))),"—",IF(_xlfn.MAXIFS(Acuses!$C$5:$C$3004,Acuses!$A$5:$A$3004,$A94,Acuses!$B$5:$B$3004,AJ$4)&lt;AJ$5,"Pendiente",IF(AJ$8=0,"OK",IF(EDATE(_xlfn.MAXIFS(Acuses!$D$5:$D$3004,Acuses!$A$5:$A$3004,$A94,Acuses!$B$5:$B$3004,AJ$4,Acuses!$C$5:$C$3004,AJ$5),AJ$8)&lt;Resumen!$C$4,"Caducado",IF(EDATE(_xlfn.MAXIFS(Acuses!$D$5:$D$3004,Acuses!$A$5:$A$3004,$A94,Acuses!$B$5:$B$3004,AJ$4,Acuses!$C$5:$C$3004,AJ$5),AJ$8)&lt;Resumen!$C$4+30,"Caduca pronto","OK"))))))</f>
        <v/>
      </c>
      <c r="AK94" s="26" t="str">
        <f aca="false">IF(OR($A94="",AK$4=""),"",IF(NOT(OR(AK$6="Toda la plantilla",ISNUMBER(SEARCH(";"&amp;SUBSTITUTE($C94," ","")&amp;";",";"&amp;SUBSTITUTE(AK$7," ","")&amp;";")))),"—",IF(_xlfn.MAXIFS(Acuses!$C$5:$C$3004,Acuses!$A$5:$A$3004,$A94,Acuses!$B$5:$B$3004,AK$4)&lt;AK$5,"Pendiente",IF(AK$8=0,"OK",IF(EDATE(_xlfn.MAXIFS(Acuses!$D$5:$D$3004,Acuses!$A$5:$A$3004,$A94,Acuses!$B$5:$B$3004,AK$4,Acuses!$C$5:$C$3004,AK$5),AK$8)&lt;Resumen!$C$4,"Caducado",IF(EDATE(_xlfn.MAXIFS(Acuses!$D$5:$D$3004,Acuses!$A$5:$A$3004,$A94,Acuses!$B$5:$B$3004,AK$4,Acuses!$C$5:$C$3004,AK$5),AK$8)&lt;Resumen!$C$4+30,"Caduca pronto","OK"))))))</f>
        <v/>
      </c>
      <c r="AL94" s="26" t="str">
        <f aca="false">IF(OR($A94="",AL$4=""),"",IF(NOT(OR(AL$6="Toda la plantilla",ISNUMBER(SEARCH(";"&amp;SUBSTITUTE($C94," ","")&amp;";",";"&amp;SUBSTITUTE(AL$7," ","")&amp;";")))),"—",IF(_xlfn.MAXIFS(Acuses!$C$5:$C$3004,Acuses!$A$5:$A$3004,$A94,Acuses!$B$5:$B$3004,AL$4)&lt;AL$5,"Pendiente",IF(AL$8=0,"OK",IF(EDATE(_xlfn.MAXIFS(Acuses!$D$5:$D$3004,Acuses!$A$5:$A$3004,$A94,Acuses!$B$5:$B$3004,AL$4,Acuses!$C$5:$C$3004,AL$5),AL$8)&lt;Resumen!$C$4,"Caducado",IF(EDATE(_xlfn.MAXIFS(Acuses!$D$5:$D$3004,Acuses!$A$5:$A$3004,$A94,Acuses!$B$5:$B$3004,AL$4,Acuses!$C$5:$C$3004,AL$5),AL$8)&lt;Resumen!$C$4+30,"Caduca pronto","OK"))))))</f>
        <v/>
      </c>
      <c r="AM94" s="26" t="str">
        <f aca="false">IF(OR($A94="",AM$4=""),"",IF(NOT(OR(AM$6="Toda la plantilla",ISNUMBER(SEARCH(";"&amp;SUBSTITUTE($C94," ","")&amp;";",";"&amp;SUBSTITUTE(AM$7," ","")&amp;";")))),"—",IF(_xlfn.MAXIFS(Acuses!$C$5:$C$3004,Acuses!$A$5:$A$3004,$A94,Acuses!$B$5:$B$3004,AM$4)&lt;AM$5,"Pendiente",IF(AM$8=0,"OK",IF(EDATE(_xlfn.MAXIFS(Acuses!$D$5:$D$3004,Acuses!$A$5:$A$3004,$A94,Acuses!$B$5:$B$3004,AM$4,Acuses!$C$5:$C$3004,AM$5),AM$8)&lt;Resumen!$C$4,"Caducado",IF(EDATE(_xlfn.MAXIFS(Acuses!$D$5:$D$3004,Acuses!$A$5:$A$3004,$A94,Acuses!$B$5:$B$3004,AM$4,Acuses!$C$5:$C$3004,AM$5),AM$8)&lt;Resumen!$C$4+30,"Caduca pronto","OK"))))))</f>
        <v/>
      </c>
      <c r="AN94" s="26" t="str">
        <f aca="false">IF(OR($A94="",AN$4=""),"",IF(NOT(OR(AN$6="Toda la plantilla",ISNUMBER(SEARCH(";"&amp;SUBSTITUTE($C94," ","")&amp;";",";"&amp;SUBSTITUTE(AN$7," ","")&amp;";")))),"—",IF(_xlfn.MAXIFS(Acuses!$C$5:$C$3004,Acuses!$A$5:$A$3004,$A94,Acuses!$B$5:$B$3004,AN$4)&lt;AN$5,"Pendiente",IF(AN$8=0,"OK",IF(EDATE(_xlfn.MAXIFS(Acuses!$D$5:$D$3004,Acuses!$A$5:$A$3004,$A94,Acuses!$B$5:$B$3004,AN$4,Acuses!$C$5:$C$3004,AN$5),AN$8)&lt;Resumen!$C$4,"Caducado",IF(EDATE(_xlfn.MAXIFS(Acuses!$D$5:$D$3004,Acuses!$A$5:$A$3004,$A94,Acuses!$B$5:$B$3004,AN$4,Acuses!$C$5:$C$3004,AN$5),AN$8)&lt;Resumen!$C$4+30,"Caduca pronto","OK"))))))</f>
        <v/>
      </c>
      <c r="AO94" s="26" t="str">
        <f aca="false">IF(OR($A94="",AO$4=""),"",IF(NOT(OR(AO$6="Toda la plantilla",ISNUMBER(SEARCH(";"&amp;SUBSTITUTE($C94," ","")&amp;";",";"&amp;SUBSTITUTE(AO$7," ","")&amp;";")))),"—",IF(_xlfn.MAXIFS(Acuses!$C$5:$C$3004,Acuses!$A$5:$A$3004,$A94,Acuses!$B$5:$B$3004,AO$4)&lt;AO$5,"Pendiente",IF(AO$8=0,"OK",IF(EDATE(_xlfn.MAXIFS(Acuses!$D$5:$D$3004,Acuses!$A$5:$A$3004,$A94,Acuses!$B$5:$B$3004,AO$4,Acuses!$C$5:$C$3004,AO$5),AO$8)&lt;Resumen!$C$4,"Caducado",IF(EDATE(_xlfn.MAXIFS(Acuses!$D$5:$D$3004,Acuses!$A$5:$A$3004,$A94,Acuses!$B$5:$B$3004,AO$4,Acuses!$C$5:$C$3004,AO$5),AO$8)&lt;Resumen!$C$4+30,"Caduca pronto","OK"))))))</f>
        <v/>
      </c>
      <c r="AP94" s="26" t="str">
        <f aca="false">IF(OR($A94="",AP$4=""),"",IF(NOT(OR(AP$6="Toda la plantilla",ISNUMBER(SEARCH(";"&amp;SUBSTITUTE($C94," ","")&amp;";",";"&amp;SUBSTITUTE(AP$7," ","")&amp;";")))),"—",IF(_xlfn.MAXIFS(Acuses!$C$5:$C$3004,Acuses!$A$5:$A$3004,$A94,Acuses!$B$5:$B$3004,AP$4)&lt;AP$5,"Pendiente",IF(AP$8=0,"OK",IF(EDATE(_xlfn.MAXIFS(Acuses!$D$5:$D$3004,Acuses!$A$5:$A$3004,$A94,Acuses!$B$5:$B$3004,AP$4,Acuses!$C$5:$C$3004,AP$5),AP$8)&lt;Resumen!$C$4,"Caducado",IF(EDATE(_xlfn.MAXIFS(Acuses!$D$5:$D$3004,Acuses!$A$5:$A$3004,$A94,Acuses!$B$5:$B$3004,AP$4,Acuses!$C$5:$C$3004,AP$5),AP$8)&lt;Resumen!$C$4+30,"Caduca pronto","OK"))))))</f>
        <v/>
      </c>
      <c r="AQ94" s="26" t="str">
        <f aca="false">IF(OR($A94="",AQ$4=""),"",IF(NOT(OR(AQ$6="Toda la plantilla",ISNUMBER(SEARCH(";"&amp;SUBSTITUTE($C94," ","")&amp;";",";"&amp;SUBSTITUTE(AQ$7," ","")&amp;";")))),"—",IF(_xlfn.MAXIFS(Acuses!$C$5:$C$3004,Acuses!$A$5:$A$3004,$A94,Acuses!$B$5:$B$3004,AQ$4)&lt;AQ$5,"Pendiente",IF(AQ$8=0,"OK",IF(EDATE(_xlfn.MAXIFS(Acuses!$D$5:$D$3004,Acuses!$A$5:$A$3004,$A94,Acuses!$B$5:$B$3004,AQ$4,Acuses!$C$5:$C$3004,AQ$5),AQ$8)&lt;Resumen!$C$4,"Caducado",IF(EDATE(_xlfn.MAXIFS(Acuses!$D$5:$D$3004,Acuses!$A$5:$A$3004,$A94,Acuses!$B$5:$B$3004,AQ$4,Acuses!$C$5:$C$3004,AQ$5),AQ$8)&lt;Resumen!$C$4+30,"Caduca pronto","OK"))))))</f>
        <v/>
      </c>
    </row>
    <row r="95" customFormat="false" ht="15" hidden="false" customHeight="false" outlineLevel="0" collapsed="false">
      <c r="A95" s="25" t="str">
        <f aca="false">IF(AND(Trabajadores!$A$90&lt;&gt;"",Trabajadores!$G$90&lt;&gt;"No"),Trabajadores!$A$90,"")</f>
        <v/>
      </c>
      <c r="B95" s="25" t="str">
        <f aca="false">IF($A95="","",Trabajadores!$B$90)</f>
        <v/>
      </c>
      <c r="C95" s="25" t="str">
        <f aca="false">IF($A95="","",Trabajadores!$C$90)</f>
        <v/>
      </c>
      <c r="D95" s="26" t="str">
        <f aca="false">IF(OR($A95="",D$4=""),"",IF(NOT(OR(D$6="Toda la plantilla",ISNUMBER(SEARCH(";"&amp;SUBSTITUTE($C95," ","")&amp;";",";"&amp;SUBSTITUTE(D$7," ","")&amp;";")))),"—",IF(_xlfn.MAXIFS(Acuses!$C$5:$C$3004,Acuses!$A$5:$A$3004,$A95,Acuses!$B$5:$B$3004,D$4)&lt;D$5,"Pendiente",IF(D$8=0,"OK",IF(EDATE(_xlfn.MAXIFS(Acuses!$D$5:$D$3004,Acuses!$A$5:$A$3004,$A95,Acuses!$B$5:$B$3004,D$4,Acuses!$C$5:$C$3004,D$5),D$8)&lt;Resumen!$C$4,"Caducado",IF(EDATE(_xlfn.MAXIFS(Acuses!$D$5:$D$3004,Acuses!$A$5:$A$3004,$A95,Acuses!$B$5:$B$3004,D$4,Acuses!$C$5:$C$3004,D$5),D$8)&lt;Resumen!$C$4+30,"Caduca pronto","OK"))))))</f>
        <v/>
      </c>
      <c r="E95" s="26" t="str">
        <f aca="false">IF(OR($A95="",E$4=""),"",IF(NOT(OR(E$6="Toda la plantilla",ISNUMBER(SEARCH(";"&amp;SUBSTITUTE($C95," ","")&amp;";",";"&amp;SUBSTITUTE(E$7," ","")&amp;";")))),"—",IF(_xlfn.MAXIFS(Acuses!$C$5:$C$3004,Acuses!$A$5:$A$3004,$A95,Acuses!$B$5:$B$3004,E$4)&lt;E$5,"Pendiente",IF(E$8=0,"OK",IF(EDATE(_xlfn.MAXIFS(Acuses!$D$5:$D$3004,Acuses!$A$5:$A$3004,$A95,Acuses!$B$5:$B$3004,E$4,Acuses!$C$5:$C$3004,E$5),E$8)&lt;Resumen!$C$4,"Caducado",IF(EDATE(_xlfn.MAXIFS(Acuses!$D$5:$D$3004,Acuses!$A$5:$A$3004,$A95,Acuses!$B$5:$B$3004,E$4,Acuses!$C$5:$C$3004,E$5),E$8)&lt;Resumen!$C$4+30,"Caduca pronto","OK"))))))</f>
        <v/>
      </c>
      <c r="F95" s="26" t="str">
        <f aca="false">IF(OR($A95="",F$4=""),"",IF(NOT(OR(F$6="Toda la plantilla",ISNUMBER(SEARCH(";"&amp;SUBSTITUTE($C95," ","")&amp;";",";"&amp;SUBSTITUTE(F$7," ","")&amp;";")))),"—",IF(_xlfn.MAXIFS(Acuses!$C$5:$C$3004,Acuses!$A$5:$A$3004,$A95,Acuses!$B$5:$B$3004,F$4)&lt;F$5,"Pendiente",IF(F$8=0,"OK",IF(EDATE(_xlfn.MAXIFS(Acuses!$D$5:$D$3004,Acuses!$A$5:$A$3004,$A95,Acuses!$B$5:$B$3004,F$4,Acuses!$C$5:$C$3004,F$5),F$8)&lt;Resumen!$C$4,"Caducado",IF(EDATE(_xlfn.MAXIFS(Acuses!$D$5:$D$3004,Acuses!$A$5:$A$3004,$A95,Acuses!$B$5:$B$3004,F$4,Acuses!$C$5:$C$3004,F$5),F$8)&lt;Resumen!$C$4+30,"Caduca pronto","OK"))))))</f>
        <v/>
      </c>
      <c r="G95" s="26" t="str">
        <f aca="false">IF(OR($A95="",G$4=""),"",IF(NOT(OR(G$6="Toda la plantilla",ISNUMBER(SEARCH(";"&amp;SUBSTITUTE($C95," ","")&amp;";",";"&amp;SUBSTITUTE(G$7," ","")&amp;";")))),"—",IF(_xlfn.MAXIFS(Acuses!$C$5:$C$3004,Acuses!$A$5:$A$3004,$A95,Acuses!$B$5:$B$3004,G$4)&lt;G$5,"Pendiente",IF(G$8=0,"OK",IF(EDATE(_xlfn.MAXIFS(Acuses!$D$5:$D$3004,Acuses!$A$5:$A$3004,$A95,Acuses!$B$5:$B$3004,G$4,Acuses!$C$5:$C$3004,G$5),G$8)&lt;Resumen!$C$4,"Caducado",IF(EDATE(_xlfn.MAXIFS(Acuses!$D$5:$D$3004,Acuses!$A$5:$A$3004,$A95,Acuses!$B$5:$B$3004,G$4,Acuses!$C$5:$C$3004,G$5),G$8)&lt;Resumen!$C$4+30,"Caduca pronto","OK"))))))</f>
        <v/>
      </c>
      <c r="H95" s="26" t="str">
        <f aca="false">IF(OR($A95="",H$4=""),"",IF(NOT(OR(H$6="Toda la plantilla",ISNUMBER(SEARCH(";"&amp;SUBSTITUTE($C95," ","")&amp;";",";"&amp;SUBSTITUTE(H$7," ","")&amp;";")))),"—",IF(_xlfn.MAXIFS(Acuses!$C$5:$C$3004,Acuses!$A$5:$A$3004,$A95,Acuses!$B$5:$B$3004,H$4)&lt;H$5,"Pendiente",IF(H$8=0,"OK",IF(EDATE(_xlfn.MAXIFS(Acuses!$D$5:$D$3004,Acuses!$A$5:$A$3004,$A95,Acuses!$B$5:$B$3004,H$4,Acuses!$C$5:$C$3004,H$5),H$8)&lt;Resumen!$C$4,"Caducado",IF(EDATE(_xlfn.MAXIFS(Acuses!$D$5:$D$3004,Acuses!$A$5:$A$3004,$A95,Acuses!$B$5:$B$3004,H$4,Acuses!$C$5:$C$3004,H$5),H$8)&lt;Resumen!$C$4+30,"Caduca pronto","OK"))))))</f>
        <v/>
      </c>
      <c r="I95" s="26" t="str">
        <f aca="false">IF(OR($A95="",I$4=""),"",IF(NOT(OR(I$6="Toda la plantilla",ISNUMBER(SEARCH(";"&amp;SUBSTITUTE($C95," ","")&amp;";",";"&amp;SUBSTITUTE(I$7," ","")&amp;";")))),"—",IF(_xlfn.MAXIFS(Acuses!$C$5:$C$3004,Acuses!$A$5:$A$3004,$A95,Acuses!$B$5:$B$3004,I$4)&lt;I$5,"Pendiente",IF(I$8=0,"OK",IF(EDATE(_xlfn.MAXIFS(Acuses!$D$5:$D$3004,Acuses!$A$5:$A$3004,$A95,Acuses!$B$5:$B$3004,I$4,Acuses!$C$5:$C$3004,I$5),I$8)&lt;Resumen!$C$4,"Caducado",IF(EDATE(_xlfn.MAXIFS(Acuses!$D$5:$D$3004,Acuses!$A$5:$A$3004,$A95,Acuses!$B$5:$B$3004,I$4,Acuses!$C$5:$C$3004,I$5),I$8)&lt;Resumen!$C$4+30,"Caduca pronto","OK"))))))</f>
        <v/>
      </c>
      <c r="J95" s="26" t="str">
        <f aca="false">IF(OR($A95="",J$4=""),"",IF(NOT(OR(J$6="Toda la plantilla",ISNUMBER(SEARCH(";"&amp;SUBSTITUTE($C95," ","")&amp;";",";"&amp;SUBSTITUTE(J$7," ","")&amp;";")))),"—",IF(_xlfn.MAXIFS(Acuses!$C$5:$C$3004,Acuses!$A$5:$A$3004,$A95,Acuses!$B$5:$B$3004,J$4)&lt;J$5,"Pendiente",IF(J$8=0,"OK",IF(EDATE(_xlfn.MAXIFS(Acuses!$D$5:$D$3004,Acuses!$A$5:$A$3004,$A95,Acuses!$B$5:$B$3004,J$4,Acuses!$C$5:$C$3004,J$5),J$8)&lt;Resumen!$C$4,"Caducado",IF(EDATE(_xlfn.MAXIFS(Acuses!$D$5:$D$3004,Acuses!$A$5:$A$3004,$A95,Acuses!$B$5:$B$3004,J$4,Acuses!$C$5:$C$3004,J$5),J$8)&lt;Resumen!$C$4+30,"Caduca pronto","OK"))))))</f>
        <v/>
      </c>
      <c r="K95" s="26" t="str">
        <f aca="false">IF(OR($A95="",K$4=""),"",IF(NOT(OR(K$6="Toda la plantilla",ISNUMBER(SEARCH(";"&amp;SUBSTITUTE($C95," ","")&amp;";",";"&amp;SUBSTITUTE(K$7," ","")&amp;";")))),"—",IF(_xlfn.MAXIFS(Acuses!$C$5:$C$3004,Acuses!$A$5:$A$3004,$A95,Acuses!$B$5:$B$3004,K$4)&lt;K$5,"Pendiente",IF(K$8=0,"OK",IF(EDATE(_xlfn.MAXIFS(Acuses!$D$5:$D$3004,Acuses!$A$5:$A$3004,$A95,Acuses!$B$5:$B$3004,K$4,Acuses!$C$5:$C$3004,K$5),K$8)&lt;Resumen!$C$4,"Caducado",IF(EDATE(_xlfn.MAXIFS(Acuses!$D$5:$D$3004,Acuses!$A$5:$A$3004,$A95,Acuses!$B$5:$B$3004,K$4,Acuses!$C$5:$C$3004,K$5),K$8)&lt;Resumen!$C$4+30,"Caduca pronto","OK"))))))</f>
        <v/>
      </c>
      <c r="L95" s="26" t="str">
        <f aca="false">IF(OR($A95="",L$4=""),"",IF(NOT(OR(L$6="Toda la plantilla",ISNUMBER(SEARCH(";"&amp;SUBSTITUTE($C95," ","")&amp;";",";"&amp;SUBSTITUTE(L$7," ","")&amp;";")))),"—",IF(_xlfn.MAXIFS(Acuses!$C$5:$C$3004,Acuses!$A$5:$A$3004,$A95,Acuses!$B$5:$B$3004,L$4)&lt;L$5,"Pendiente",IF(L$8=0,"OK",IF(EDATE(_xlfn.MAXIFS(Acuses!$D$5:$D$3004,Acuses!$A$5:$A$3004,$A95,Acuses!$B$5:$B$3004,L$4,Acuses!$C$5:$C$3004,L$5),L$8)&lt;Resumen!$C$4,"Caducado",IF(EDATE(_xlfn.MAXIFS(Acuses!$D$5:$D$3004,Acuses!$A$5:$A$3004,$A95,Acuses!$B$5:$B$3004,L$4,Acuses!$C$5:$C$3004,L$5),L$8)&lt;Resumen!$C$4+30,"Caduca pronto","OK"))))))</f>
        <v/>
      </c>
      <c r="M95" s="26" t="str">
        <f aca="false">IF(OR($A95="",M$4=""),"",IF(NOT(OR(M$6="Toda la plantilla",ISNUMBER(SEARCH(";"&amp;SUBSTITUTE($C95," ","")&amp;";",";"&amp;SUBSTITUTE(M$7," ","")&amp;";")))),"—",IF(_xlfn.MAXIFS(Acuses!$C$5:$C$3004,Acuses!$A$5:$A$3004,$A95,Acuses!$B$5:$B$3004,M$4)&lt;M$5,"Pendiente",IF(M$8=0,"OK",IF(EDATE(_xlfn.MAXIFS(Acuses!$D$5:$D$3004,Acuses!$A$5:$A$3004,$A95,Acuses!$B$5:$B$3004,M$4,Acuses!$C$5:$C$3004,M$5),M$8)&lt;Resumen!$C$4,"Caducado",IF(EDATE(_xlfn.MAXIFS(Acuses!$D$5:$D$3004,Acuses!$A$5:$A$3004,$A95,Acuses!$B$5:$B$3004,M$4,Acuses!$C$5:$C$3004,M$5),M$8)&lt;Resumen!$C$4+30,"Caduca pronto","OK"))))))</f>
        <v/>
      </c>
      <c r="N95" s="26" t="str">
        <f aca="false">IF(OR($A95="",N$4=""),"",IF(NOT(OR(N$6="Toda la plantilla",ISNUMBER(SEARCH(";"&amp;SUBSTITUTE($C95," ","")&amp;";",";"&amp;SUBSTITUTE(N$7," ","")&amp;";")))),"—",IF(_xlfn.MAXIFS(Acuses!$C$5:$C$3004,Acuses!$A$5:$A$3004,$A95,Acuses!$B$5:$B$3004,N$4)&lt;N$5,"Pendiente",IF(N$8=0,"OK",IF(EDATE(_xlfn.MAXIFS(Acuses!$D$5:$D$3004,Acuses!$A$5:$A$3004,$A95,Acuses!$B$5:$B$3004,N$4,Acuses!$C$5:$C$3004,N$5),N$8)&lt;Resumen!$C$4,"Caducado",IF(EDATE(_xlfn.MAXIFS(Acuses!$D$5:$D$3004,Acuses!$A$5:$A$3004,$A95,Acuses!$B$5:$B$3004,N$4,Acuses!$C$5:$C$3004,N$5),N$8)&lt;Resumen!$C$4+30,"Caduca pronto","OK"))))))</f>
        <v/>
      </c>
      <c r="O95" s="26" t="str">
        <f aca="false">IF(OR($A95="",O$4=""),"",IF(NOT(OR(O$6="Toda la plantilla",ISNUMBER(SEARCH(";"&amp;SUBSTITUTE($C95," ","")&amp;";",";"&amp;SUBSTITUTE(O$7," ","")&amp;";")))),"—",IF(_xlfn.MAXIFS(Acuses!$C$5:$C$3004,Acuses!$A$5:$A$3004,$A95,Acuses!$B$5:$B$3004,O$4)&lt;O$5,"Pendiente",IF(O$8=0,"OK",IF(EDATE(_xlfn.MAXIFS(Acuses!$D$5:$D$3004,Acuses!$A$5:$A$3004,$A95,Acuses!$B$5:$B$3004,O$4,Acuses!$C$5:$C$3004,O$5),O$8)&lt;Resumen!$C$4,"Caducado",IF(EDATE(_xlfn.MAXIFS(Acuses!$D$5:$D$3004,Acuses!$A$5:$A$3004,$A95,Acuses!$B$5:$B$3004,O$4,Acuses!$C$5:$C$3004,O$5),O$8)&lt;Resumen!$C$4+30,"Caduca pronto","OK"))))))</f>
        <v/>
      </c>
      <c r="P95" s="26" t="str">
        <f aca="false">IF(OR($A95="",P$4=""),"",IF(NOT(OR(P$6="Toda la plantilla",ISNUMBER(SEARCH(";"&amp;SUBSTITUTE($C95," ","")&amp;";",";"&amp;SUBSTITUTE(P$7," ","")&amp;";")))),"—",IF(_xlfn.MAXIFS(Acuses!$C$5:$C$3004,Acuses!$A$5:$A$3004,$A95,Acuses!$B$5:$B$3004,P$4)&lt;P$5,"Pendiente",IF(P$8=0,"OK",IF(EDATE(_xlfn.MAXIFS(Acuses!$D$5:$D$3004,Acuses!$A$5:$A$3004,$A95,Acuses!$B$5:$B$3004,P$4,Acuses!$C$5:$C$3004,P$5),P$8)&lt;Resumen!$C$4,"Caducado",IF(EDATE(_xlfn.MAXIFS(Acuses!$D$5:$D$3004,Acuses!$A$5:$A$3004,$A95,Acuses!$B$5:$B$3004,P$4,Acuses!$C$5:$C$3004,P$5),P$8)&lt;Resumen!$C$4+30,"Caduca pronto","OK"))))))</f>
        <v/>
      </c>
      <c r="Q95" s="26" t="str">
        <f aca="false">IF(OR($A95="",Q$4=""),"",IF(NOT(OR(Q$6="Toda la plantilla",ISNUMBER(SEARCH(";"&amp;SUBSTITUTE($C95," ","")&amp;";",";"&amp;SUBSTITUTE(Q$7," ","")&amp;";")))),"—",IF(_xlfn.MAXIFS(Acuses!$C$5:$C$3004,Acuses!$A$5:$A$3004,$A95,Acuses!$B$5:$B$3004,Q$4)&lt;Q$5,"Pendiente",IF(Q$8=0,"OK",IF(EDATE(_xlfn.MAXIFS(Acuses!$D$5:$D$3004,Acuses!$A$5:$A$3004,$A95,Acuses!$B$5:$B$3004,Q$4,Acuses!$C$5:$C$3004,Q$5),Q$8)&lt;Resumen!$C$4,"Caducado",IF(EDATE(_xlfn.MAXIFS(Acuses!$D$5:$D$3004,Acuses!$A$5:$A$3004,$A95,Acuses!$B$5:$B$3004,Q$4,Acuses!$C$5:$C$3004,Q$5),Q$8)&lt;Resumen!$C$4+30,"Caduca pronto","OK"))))))</f>
        <v/>
      </c>
      <c r="R95" s="26" t="str">
        <f aca="false">IF(OR($A95="",R$4=""),"",IF(NOT(OR(R$6="Toda la plantilla",ISNUMBER(SEARCH(";"&amp;SUBSTITUTE($C95," ","")&amp;";",";"&amp;SUBSTITUTE(R$7," ","")&amp;";")))),"—",IF(_xlfn.MAXIFS(Acuses!$C$5:$C$3004,Acuses!$A$5:$A$3004,$A95,Acuses!$B$5:$B$3004,R$4)&lt;R$5,"Pendiente",IF(R$8=0,"OK",IF(EDATE(_xlfn.MAXIFS(Acuses!$D$5:$D$3004,Acuses!$A$5:$A$3004,$A95,Acuses!$B$5:$B$3004,R$4,Acuses!$C$5:$C$3004,R$5),R$8)&lt;Resumen!$C$4,"Caducado",IF(EDATE(_xlfn.MAXIFS(Acuses!$D$5:$D$3004,Acuses!$A$5:$A$3004,$A95,Acuses!$B$5:$B$3004,R$4,Acuses!$C$5:$C$3004,R$5),R$8)&lt;Resumen!$C$4+30,"Caduca pronto","OK"))))))</f>
        <v/>
      </c>
      <c r="S95" s="26" t="str">
        <f aca="false">IF(OR($A95="",S$4=""),"",IF(NOT(OR(S$6="Toda la plantilla",ISNUMBER(SEARCH(";"&amp;SUBSTITUTE($C95," ","")&amp;";",";"&amp;SUBSTITUTE(S$7," ","")&amp;";")))),"—",IF(_xlfn.MAXIFS(Acuses!$C$5:$C$3004,Acuses!$A$5:$A$3004,$A95,Acuses!$B$5:$B$3004,S$4)&lt;S$5,"Pendiente",IF(S$8=0,"OK",IF(EDATE(_xlfn.MAXIFS(Acuses!$D$5:$D$3004,Acuses!$A$5:$A$3004,$A95,Acuses!$B$5:$B$3004,S$4,Acuses!$C$5:$C$3004,S$5),S$8)&lt;Resumen!$C$4,"Caducado",IF(EDATE(_xlfn.MAXIFS(Acuses!$D$5:$D$3004,Acuses!$A$5:$A$3004,$A95,Acuses!$B$5:$B$3004,S$4,Acuses!$C$5:$C$3004,S$5),S$8)&lt;Resumen!$C$4+30,"Caduca pronto","OK"))))))</f>
        <v/>
      </c>
      <c r="T95" s="26" t="str">
        <f aca="false">IF(OR($A95="",T$4=""),"",IF(NOT(OR(T$6="Toda la plantilla",ISNUMBER(SEARCH(";"&amp;SUBSTITUTE($C95," ","")&amp;";",";"&amp;SUBSTITUTE(T$7," ","")&amp;";")))),"—",IF(_xlfn.MAXIFS(Acuses!$C$5:$C$3004,Acuses!$A$5:$A$3004,$A95,Acuses!$B$5:$B$3004,T$4)&lt;T$5,"Pendiente",IF(T$8=0,"OK",IF(EDATE(_xlfn.MAXIFS(Acuses!$D$5:$D$3004,Acuses!$A$5:$A$3004,$A95,Acuses!$B$5:$B$3004,T$4,Acuses!$C$5:$C$3004,T$5),T$8)&lt;Resumen!$C$4,"Caducado",IF(EDATE(_xlfn.MAXIFS(Acuses!$D$5:$D$3004,Acuses!$A$5:$A$3004,$A95,Acuses!$B$5:$B$3004,T$4,Acuses!$C$5:$C$3004,T$5),T$8)&lt;Resumen!$C$4+30,"Caduca pronto","OK"))))))</f>
        <v/>
      </c>
      <c r="U95" s="26" t="str">
        <f aca="false">IF(OR($A95="",U$4=""),"",IF(NOT(OR(U$6="Toda la plantilla",ISNUMBER(SEARCH(";"&amp;SUBSTITUTE($C95," ","")&amp;";",";"&amp;SUBSTITUTE(U$7," ","")&amp;";")))),"—",IF(_xlfn.MAXIFS(Acuses!$C$5:$C$3004,Acuses!$A$5:$A$3004,$A95,Acuses!$B$5:$B$3004,U$4)&lt;U$5,"Pendiente",IF(U$8=0,"OK",IF(EDATE(_xlfn.MAXIFS(Acuses!$D$5:$D$3004,Acuses!$A$5:$A$3004,$A95,Acuses!$B$5:$B$3004,U$4,Acuses!$C$5:$C$3004,U$5),U$8)&lt;Resumen!$C$4,"Caducado",IF(EDATE(_xlfn.MAXIFS(Acuses!$D$5:$D$3004,Acuses!$A$5:$A$3004,$A95,Acuses!$B$5:$B$3004,U$4,Acuses!$C$5:$C$3004,U$5),U$8)&lt;Resumen!$C$4+30,"Caduca pronto","OK"))))))</f>
        <v/>
      </c>
      <c r="V95" s="26" t="str">
        <f aca="false">IF(OR($A95="",V$4=""),"",IF(NOT(OR(V$6="Toda la plantilla",ISNUMBER(SEARCH(";"&amp;SUBSTITUTE($C95," ","")&amp;";",";"&amp;SUBSTITUTE(V$7," ","")&amp;";")))),"—",IF(_xlfn.MAXIFS(Acuses!$C$5:$C$3004,Acuses!$A$5:$A$3004,$A95,Acuses!$B$5:$B$3004,V$4)&lt;V$5,"Pendiente",IF(V$8=0,"OK",IF(EDATE(_xlfn.MAXIFS(Acuses!$D$5:$D$3004,Acuses!$A$5:$A$3004,$A95,Acuses!$B$5:$B$3004,V$4,Acuses!$C$5:$C$3004,V$5),V$8)&lt;Resumen!$C$4,"Caducado",IF(EDATE(_xlfn.MAXIFS(Acuses!$D$5:$D$3004,Acuses!$A$5:$A$3004,$A95,Acuses!$B$5:$B$3004,V$4,Acuses!$C$5:$C$3004,V$5),V$8)&lt;Resumen!$C$4+30,"Caduca pronto","OK"))))))</f>
        <v/>
      </c>
      <c r="W95" s="26" t="str">
        <f aca="false">IF(OR($A95="",W$4=""),"",IF(NOT(OR(W$6="Toda la plantilla",ISNUMBER(SEARCH(";"&amp;SUBSTITUTE($C95," ","")&amp;";",";"&amp;SUBSTITUTE(W$7," ","")&amp;";")))),"—",IF(_xlfn.MAXIFS(Acuses!$C$5:$C$3004,Acuses!$A$5:$A$3004,$A95,Acuses!$B$5:$B$3004,W$4)&lt;W$5,"Pendiente",IF(W$8=0,"OK",IF(EDATE(_xlfn.MAXIFS(Acuses!$D$5:$D$3004,Acuses!$A$5:$A$3004,$A95,Acuses!$B$5:$B$3004,W$4,Acuses!$C$5:$C$3004,W$5),W$8)&lt;Resumen!$C$4,"Caducado",IF(EDATE(_xlfn.MAXIFS(Acuses!$D$5:$D$3004,Acuses!$A$5:$A$3004,$A95,Acuses!$B$5:$B$3004,W$4,Acuses!$C$5:$C$3004,W$5),W$8)&lt;Resumen!$C$4+30,"Caduca pronto","OK"))))))</f>
        <v/>
      </c>
      <c r="X95" s="26" t="str">
        <f aca="false">IF(OR($A95="",X$4=""),"",IF(NOT(OR(X$6="Toda la plantilla",ISNUMBER(SEARCH(";"&amp;SUBSTITUTE($C95," ","")&amp;";",";"&amp;SUBSTITUTE(X$7," ","")&amp;";")))),"—",IF(_xlfn.MAXIFS(Acuses!$C$5:$C$3004,Acuses!$A$5:$A$3004,$A95,Acuses!$B$5:$B$3004,X$4)&lt;X$5,"Pendiente",IF(X$8=0,"OK",IF(EDATE(_xlfn.MAXIFS(Acuses!$D$5:$D$3004,Acuses!$A$5:$A$3004,$A95,Acuses!$B$5:$B$3004,X$4,Acuses!$C$5:$C$3004,X$5),X$8)&lt;Resumen!$C$4,"Caducado",IF(EDATE(_xlfn.MAXIFS(Acuses!$D$5:$D$3004,Acuses!$A$5:$A$3004,$A95,Acuses!$B$5:$B$3004,X$4,Acuses!$C$5:$C$3004,X$5),X$8)&lt;Resumen!$C$4+30,"Caduca pronto","OK"))))))</f>
        <v/>
      </c>
      <c r="Y95" s="26" t="str">
        <f aca="false">IF(OR($A95="",Y$4=""),"",IF(NOT(OR(Y$6="Toda la plantilla",ISNUMBER(SEARCH(";"&amp;SUBSTITUTE($C95," ","")&amp;";",";"&amp;SUBSTITUTE(Y$7," ","")&amp;";")))),"—",IF(_xlfn.MAXIFS(Acuses!$C$5:$C$3004,Acuses!$A$5:$A$3004,$A95,Acuses!$B$5:$B$3004,Y$4)&lt;Y$5,"Pendiente",IF(Y$8=0,"OK",IF(EDATE(_xlfn.MAXIFS(Acuses!$D$5:$D$3004,Acuses!$A$5:$A$3004,$A95,Acuses!$B$5:$B$3004,Y$4,Acuses!$C$5:$C$3004,Y$5),Y$8)&lt;Resumen!$C$4,"Caducado",IF(EDATE(_xlfn.MAXIFS(Acuses!$D$5:$D$3004,Acuses!$A$5:$A$3004,$A95,Acuses!$B$5:$B$3004,Y$4,Acuses!$C$5:$C$3004,Y$5),Y$8)&lt;Resumen!$C$4+30,"Caduca pronto","OK"))))))</f>
        <v/>
      </c>
      <c r="Z95" s="26" t="str">
        <f aca="false">IF(OR($A95="",Z$4=""),"",IF(NOT(OR(Z$6="Toda la plantilla",ISNUMBER(SEARCH(";"&amp;SUBSTITUTE($C95," ","")&amp;";",";"&amp;SUBSTITUTE(Z$7," ","")&amp;";")))),"—",IF(_xlfn.MAXIFS(Acuses!$C$5:$C$3004,Acuses!$A$5:$A$3004,$A95,Acuses!$B$5:$B$3004,Z$4)&lt;Z$5,"Pendiente",IF(Z$8=0,"OK",IF(EDATE(_xlfn.MAXIFS(Acuses!$D$5:$D$3004,Acuses!$A$5:$A$3004,$A95,Acuses!$B$5:$B$3004,Z$4,Acuses!$C$5:$C$3004,Z$5),Z$8)&lt;Resumen!$C$4,"Caducado",IF(EDATE(_xlfn.MAXIFS(Acuses!$D$5:$D$3004,Acuses!$A$5:$A$3004,$A95,Acuses!$B$5:$B$3004,Z$4,Acuses!$C$5:$C$3004,Z$5),Z$8)&lt;Resumen!$C$4+30,"Caduca pronto","OK"))))))</f>
        <v/>
      </c>
      <c r="AA95" s="26" t="str">
        <f aca="false">IF(OR($A95="",AA$4=""),"",IF(NOT(OR(AA$6="Toda la plantilla",ISNUMBER(SEARCH(";"&amp;SUBSTITUTE($C95," ","")&amp;";",";"&amp;SUBSTITUTE(AA$7," ","")&amp;";")))),"—",IF(_xlfn.MAXIFS(Acuses!$C$5:$C$3004,Acuses!$A$5:$A$3004,$A95,Acuses!$B$5:$B$3004,AA$4)&lt;AA$5,"Pendiente",IF(AA$8=0,"OK",IF(EDATE(_xlfn.MAXIFS(Acuses!$D$5:$D$3004,Acuses!$A$5:$A$3004,$A95,Acuses!$B$5:$B$3004,AA$4,Acuses!$C$5:$C$3004,AA$5),AA$8)&lt;Resumen!$C$4,"Caducado",IF(EDATE(_xlfn.MAXIFS(Acuses!$D$5:$D$3004,Acuses!$A$5:$A$3004,$A95,Acuses!$B$5:$B$3004,AA$4,Acuses!$C$5:$C$3004,AA$5),AA$8)&lt;Resumen!$C$4+30,"Caduca pronto","OK"))))))</f>
        <v/>
      </c>
      <c r="AB95" s="26" t="str">
        <f aca="false">IF(OR($A95="",AB$4=""),"",IF(NOT(OR(AB$6="Toda la plantilla",ISNUMBER(SEARCH(";"&amp;SUBSTITUTE($C95," ","")&amp;";",";"&amp;SUBSTITUTE(AB$7," ","")&amp;";")))),"—",IF(_xlfn.MAXIFS(Acuses!$C$5:$C$3004,Acuses!$A$5:$A$3004,$A95,Acuses!$B$5:$B$3004,AB$4)&lt;AB$5,"Pendiente",IF(AB$8=0,"OK",IF(EDATE(_xlfn.MAXIFS(Acuses!$D$5:$D$3004,Acuses!$A$5:$A$3004,$A95,Acuses!$B$5:$B$3004,AB$4,Acuses!$C$5:$C$3004,AB$5),AB$8)&lt;Resumen!$C$4,"Caducado",IF(EDATE(_xlfn.MAXIFS(Acuses!$D$5:$D$3004,Acuses!$A$5:$A$3004,$A95,Acuses!$B$5:$B$3004,AB$4,Acuses!$C$5:$C$3004,AB$5),AB$8)&lt;Resumen!$C$4+30,"Caduca pronto","OK"))))))</f>
        <v/>
      </c>
      <c r="AC95" s="26" t="str">
        <f aca="false">IF(OR($A95="",AC$4=""),"",IF(NOT(OR(AC$6="Toda la plantilla",ISNUMBER(SEARCH(";"&amp;SUBSTITUTE($C95," ","")&amp;";",";"&amp;SUBSTITUTE(AC$7," ","")&amp;";")))),"—",IF(_xlfn.MAXIFS(Acuses!$C$5:$C$3004,Acuses!$A$5:$A$3004,$A95,Acuses!$B$5:$B$3004,AC$4)&lt;AC$5,"Pendiente",IF(AC$8=0,"OK",IF(EDATE(_xlfn.MAXIFS(Acuses!$D$5:$D$3004,Acuses!$A$5:$A$3004,$A95,Acuses!$B$5:$B$3004,AC$4,Acuses!$C$5:$C$3004,AC$5),AC$8)&lt;Resumen!$C$4,"Caducado",IF(EDATE(_xlfn.MAXIFS(Acuses!$D$5:$D$3004,Acuses!$A$5:$A$3004,$A95,Acuses!$B$5:$B$3004,AC$4,Acuses!$C$5:$C$3004,AC$5),AC$8)&lt;Resumen!$C$4+30,"Caduca pronto","OK"))))))</f>
        <v/>
      </c>
      <c r="AD95" s="26" t="str">
        <f aca="false">IF(OR($A95="",AD$4=""),"",IF(NOT(OR(AD$6="Toda la plantilla",ISNUMBER(SEARCH(";"&amp;SUBSTITUTE($C95," ","")&amp;";",";"&amp;SUBSTITUTE(AD$7," ","")&amp;";")))),"—",IF(_xlfn.MAXIFS(Acuses!$C$5:$C$3004,Acuses!$A$5:$A$3004,$A95,Acuses!$B$5:$B$3004,AD$4)&lt;AD$5,"Pendiente",IF(AD$8=0,"OK",IF(EDATE(_xlfn.MAXIFS(Acuses!$D$5:$D$3004,Acuses!$A$5:$A$3004,$A95,Acuses!$B$5:$B$3004,AD$4,Acuses!$C$5:$C$3004,AD$5),AD$8)&lt;Resumen!$C$4,"Caducado",IF(EDATE(_xlfn.MAXIFS(Acuses!$D$5:$D$3004,Acuses!$A$5:$A$3004,$A95,Acuses!$B$5:$B$3004,AD$4,Acuses!$C$5:$C$3004,AD$5),AD$8)&lt;Resumen!$C$4+30,"Caduca pronto","OK"))))))</f>
        <v/>
      </c>
      <c r="AE95" s="26" t="str">
        <f aca="false">IF(OR($A95="",AE$4=""),"",IF(NOT(OR(AE$6="Toda la plantilla",ISNUMBER(SEARCH(";"&amp;SUBSTITUTE($C95," ","")&amp;";",";"&amp;SUBSTITUTE(AE$7," ","")&amp;";")))),"—",IF(_xlfn.MAXIFS(Acuses!$C$5:$C$3004,Acuses!$A$5:$A$3004,$A95,Acuses!$B$5:$B$3004,AE$4)&lt;AE$5,"Pendiente",IF(AE$8=0,"OK",IF(EDATE(_xlfn.MAXIFS(Acuses!$D$5:$D$3004,Acuses!$A$5:$A$3004,$A95,Acuses!$B$5:$B$3004,AE$4,Acuses!$C$5:$C$3004,AE$5),AE$8)&lt;Resumen!$C$4,"Caducado",IF(EDATE(_xlfn.MAXIFS(Acuses!$D$5:$D$3004,Acuses!$A$5:$A$3004,$A95,Acuses!$B$5:$B$3004,AE$4,Acuses!$C$5:$C$3004,AE$5),AE$8)&lt;Resumen!$C$4+30,"Caduca pronto","OK"))))))</f>
        <v/>
      </c>
      <c r="AF95" s="26" t="str">
        <f aca="false">IF(OR($A95="",AF$4=""),"",IF(NOT(OR(AF$6="Toda la plantilla",ISNUMBER(SEARCH(";"&amp;SUBSTITUTE($C95," ","")&amp;";",";"&amp;SUBSTITUTE(AF$7," ","")&amp;";")))),"—",IF(_xlfn.MAXIFS(Acuses!$C$5:$C$3004,Acuses!$A$5:$A$3004,$A95,Acuses!$B$5:$B$3004,AF$4)&lt;AF$5,"Pendiente",IF(AF$8=0,"OK",IF(EDATE(_xlfn.MAXIFS(Acuses!$D$5:$D$3004,Acuses!$A$5:$A$3004,$A95,Acuses!$B$5:$B$3004,AF$4,Acuses!$C$5:$C$3004,AF$5),AF$8)&lt;Resumen!$C$4,"Caducado",IF(EDATE(_xlfn.MAXIFS(Acuses!$D$5:$D$3004,Acuses!$A$5:$A$3004,$A95,Acuses!$B$5:$B$3004,AF$4,Acuses!$C$5:$C$3004,AF$5),AF$8)&lt;Resumen!$C$4+30,"Caduca pronto","OK"))))))</f>
        <v/>
      </c>
      <c r="AG95" s="26" t="str">
        <f aca="false">IF(OR($A95="",AG$4=""),"",IF(NOT(OR(AG$6="Toda la plantilla",ISNUMBER(SEARCH(";"&amp;SUBSTITUTE($C95," ","")&amp;";",";"&amp;SUBSTITUTE(AG$7," ","")&amp;";")))),"—",IF(_xlfn.MAXIFS(Acuses!$C$5:$C$3004,Acuses!$A$5:$A$3004,$A95,Acuses!$B$5:$B$3004,AG$4)&lt;AG$5,"Pendiente",IF(AG$8=0,"OK",IF(EDATE(_xlfn.MAXIFS(Acuses!$D$5:$D$3004,Acuses!$A$5:$A$3004,$A95,Acuses!$B$5:$B$3004,AG$4,Acuses!$C$5:$C$3004,AG$5),AG$8)&lt;Resumen!$C$4,"Caducado",IF(EDATE(_xlfn.MAXIFS(Acuses!$D$5:$D$3004,Acuses!$A$5:$A$3004,$A95,Acuses!$B$5:$B$3004,AG$4,Acuses!$C$5:$C$3004,AG$5),AG$8)&lt;Resumen!$C$4+30,"Caduca pronto","OK"))))))</f>
        <v/>
      </c>
      <c r="AH95" s="26" t="str">
        <f aca="false">IF(OR($A95="",AH$4=""),"",IF(NOT(OR(AH$6="Toda la plantilla",ISNUMBER(SEARCH(";"&amp;SUBSTITUTE($C95," ","")&amp;";",";"&amp;SUBSTITUTE(AH$7," ","")&amp;";")))),"—",IF(_xlfn.MAXIFS(Acuses!$C$5:$C$3004,Acuses!$A$5:$A$3004,$A95,Acuses!$B$5:$B$3004,AH$4)&lt;AH$5,"Pendiente",IF(AH$8=0,"OK",IF(EDATE(_xlfn.MAXIFS(Acuses!$D$5:$D$3004,Acuses!$A$5:$A$3004,$A95,Acuses!$B$5:$B$3004,AH$4,Acuses!$C$5:$C$3004,AH$5),AH$8)&lt;Resumen!$C$4,"Caducado",IF(EDATE(_xlfn.MAXIFS(Acuses!$D$5:$D$3004,Acuses!$A$5:$A$3004,$A95,Acuses!$B$5:$B$3004,AH$4,Acuses!$C$5:$C$3004,AH$5),AH$8)&lt;Resumen!$C$4+30,"Caduca pronto","OK"))))))</f>
        <v/>
      </c>
      <c r="AI95" s="26" t="str">
        <f aca="false">IF(OR($A95="",AI$4=""),"",IF(NOT(OR(AI$6="Toda la plantilla",ISNUMBER(SEARCH(";"&amp;SUBSTITUTE($C95," ","")&amp;";",";"&amp;SUBSTITUTE(AI$7," ","")&amp;";")))),"—",IF(_xlfn.MAXIFS(Acuses!$C$5:$C$3004,Acuses!$A$5:$A$3004,$A95,Acuses!$B$5:$B$3004,AI$4)&lt;AI$5,"Pendiente",IF(AI$8=0,"OK",IF(EDATE(_xlfn.MAXIFS(Acuses!$D$5:$D$3004,Acuses!$A$5:$A$3004,$A95,Acuses!$B$5:$B$3004,AI$4,Acuses!$C$5:$C$3004,AI$5),AI$8)&lt;Resumen!$C$4,"Caducado",IF(EDATE(_xlfn.MAXIFS(Acuses!$D$5:$D$3004,Acuses!$A$5:$A$3004,$A95,Acuses!$B$5:$B$3004,AI$4,Acuses!$C$5:$C$3004,AI$5),AI$8)&lt;Resumen!$C$4+30,"Caduca pronto","OK"))))))</f>
        <v/>
      </c>
      <c r="AJ95" s="26" t="str">
        <f aca="false">IF(OR($A95="",AJ$4=""),"",IF(NOT(OR(AJ$6="Toda la plantilla",ISNUMBER(SEARCH(";"&amp;SUBSTITUTE($C95," ","")&amp;";",";"&amp;SUBSTITUTE(AJ$7," ","")&amp;";")))),"—",IF(_xlfn.MAXIFS(Acuses!$C$5:$C$3004,Acuses!$A$5:$A$3004,$A95,Acuses!$B$5:$B$3004,AJ$4)&lt;AJ$5,"Pendiente",IF(AJ$8=0,"OK",IF(EDATE(_xlfn.MAXIFS(Acuses!$D$5:$D$3004,Acuses!$A$5:$A$3004,$A95,Acuses!$B$5:$B$3004,AJ$4,Acuses!$C$5:$C$3004,AJ$5),AJ$8)&lt;Resumen!$C$4,"Caducado",IF(EDATE(_xlfn.MAXIFS(Acuses!$D$5:$D$3004,Acuses!$A$5:$A$3004,$A95,Acuses!$B$5:$B$3004,AJ$4,Acuses!$C$5:$C$3004,AJ$5),AJ$8)&lt;Resumen!$C$4+30,"Caduca pronto","OK"))))))</f>
        <v/>
      </c>
      <c r="AK95" s="26" t="str">
        <f aca="false">IF(OR($A95="",AK$4=""),"",IF(NOT(OR(AK$6="Toda la plantilla",ISNUMBER(SEARCH(";"&amp;SUBSTITUTE($C95," ","")&amp;";",";"&amp;SUBSTITUTE(AK$7," ","")&amp;";")))),"—",IF(_xlfn.MAXIFS(Acuses!$C$5:$C$3004,Acuses!$A$5:$A$3004,$A95,Acuses!$B$5:$B$3004,AK$4)&lt;AK$5,"Pendiente",IF(AK$8=0,"OK",IF(EDATE(_xlfn.MAXIFS(Acuses!$D$5:$D$3004,Acuses!$A$5:$A$3004,$A95,Acuses!$B$5:$B$3004,AK$4,Acuses!$C$5:$C$3004,AK$5),AK$8)&lt;Resumen!$C$4,"Caducado",IF(EDATE(_xlfn.MAXIFS(Acuses!$D$5:$D$3004,Acuses!$A$5:$A$3004,$A95,Acuses!$B$5:$B$3004,AK$4,Acuses!$C$5:$C$3004,AK$5),AK$8)&lt;Resumen!$C$4+30,"Caduca pronto","OK"))))))</f>
        <v/>
      </c>
      <c r="AL95" s="26" t="str">
        <f aca="false">IF(OR($A95="",AL$4=""),"",IF(NOT(OR(AL$6="Toda la plantilla",ISNUMBER(SEARCH(";"&amp;SUBSTITUTE($C95," ","")&amp;";",";"&amp;SUBSTITUTE(AL$7," ","")&amp;";")))),"—",IF(_xlfn.MAXIFS(Acuses!$C$5:$C$3004,Acuses!$A$5:$A$3004,$A95,Acuses!$B$5:$B$3004,AL$4)&lt;AL$5,"Pendiente",IF(AL$8=0,"OK",IF(EDATE(_xlfn.MAXIFS(Acuses!$D$5:$D$3004,Acuses!$A$5:$A$3004,$A95,Acuses!$B$5:$B$3004,AL$4,Acuses!$C$5:$C$3004,AL$5),AL$8)&lt;Resumen!$C$4,"Caducado",IF(EDATE(_xlfn.MAXIFS(Acuses!$D$5:$D$3004,Acuses!$A$5:$A$3004,$A95,Acuses!$B$5:$B$3004,AL$4,Acuses!$C$5:$C$3004,AL$5),AL$8)&lt;Resumen!$C$4+30,"Caduca pronto","OK"))))))</f>
        <v/>
      </c>
      <c r="AM95" s="26" t="str">
        <f aca="false">IF(OR($A95="",AM$4=""),"",IF(NOT(OR(AM$6="Toda la plantilla",ISNUMBER(SEARCH(";"&amp;SUBSTITUTE($C95," ","")&amp;";",";"&amp;SUBSTITUTE(AM$7," ","")&amp;";")))),"—",IF(_xlfn.MAXIFS(Acuses!$C$5:$C$3004,Acuses!$A$5:$A$3004,$A95,Acuses!$B$5:$B$3004,AM$4)&lt;AM$5,"Pendiente",IF(AM$8=0,"OK",IF(EDATE(_xlfn.MAXIFS(Acuses!$D$5:$D$3004,Acuses!$A$5:$A$3004,$A95,Acuses!$B$5:$B$3004,AM$4,Acuses!$C$5:$C$3004,AM$5),AM$8)&lt;Resumen!$C$4,"Caducado",IF(EDATE(_xlfn.MAXIFS(Acuses!$D$5:$D$3004,Acuses!$A$5:$A$3004,$A95,Acuses!$B$5:$B$3004,AM$4,Acuses!$C$5:$C$3004,AM$5),AM$8)&lt;Resumen!$C$4+30,"Caduca pronto","OK"))))))</f>
        <v/>
      </c>
      <c r="AN95" s="26" t="str">
        <f aca="false">IF(OR($A95="",AN$4=""),"",IF(NOT(OR(AN$6="Toda la plantilla",ISNUMBER(SEARCH(";"&amp;SUBSTITUTE($C95," ","")&amp;";",";"&amp;SUBSTITUTE(AN$7," ","")&amp;";")))),"—",IF(_xlfn.MAXIFS(Acuses!$C$5:$C$3004,Acuses!$A$5:$A$3004,$A95,Acuses!$B$5:$B$3004,AN$4)&lt;AN$5,"Pendiente",IF(AN$8=0,"OK",IF(EDATE(_xlfn.MAXIFS(Acuses!$D$5:$D$3004,Acuses!$A$5:$A$3004,$A95,Acuses!$B$5:$B$3004,AN$4,Acuses!$C$5:$C$3004,AN$5),AN$8)&lt;Resumen!$C$4,"Caducado",IF(EDATE(_xlfn.MAXIFS(Acuses!$D$5:$D$3004,Acuses!$A$5:$A$3004,$A95,Acuses!$B$5:$B$3004,AN$4,Acuses!$C$5:$C$3004,AN$5),AN$8)&lt;Resumen!$C$4+30,"Caduca pronto","OK"))))))</f>
        <v/>
      </c>
      <c r="AO95" s="26" t="str">
        <f aca="false">IF(OR($A95="",AO$4=""),"",IF(NOT(OR(AO$6="Toda la plantilla",ISNUMBER(SEARCH(";"&amp;SUBSTITUTE($C95," ","")&amp;";",";"&amp;SUBSTITUTE(AO$7," ","")&amp;";")))),"—",IF(_xlfn.MAXIFS(Acuses!$C$5:$C$3004,Acuses!$A$5:$A$3004,$A95,Acuses!$B$5:$B$3004,AO$4)&lt;AO$5,"Pendiente",IF(AO$8=0,"OK",IF(EDATE(_xlfn.MAXIFS(Acuses!$D$5:$D$3004,Acuses!$A$5:$A$3004,$A95,Acuses!$B$5:$B$3004,AO$4,Acuses!$C$5:$C$3004,AO$5),AO$8)&lt;Resumen!$C$4,"Caducado",IF(EDATE(_xlfn.MAXIFS(Acuses!$D$5:$D$3004,Acuses!$A$5:$A$3004,$A95,Acuses!$B$5:$B$3004,AO$4,Acuses!$C$5:$C$3004,AO$5),AO$8)&lt;Resumen!$C$4+30,"Caduca pronto","OK"))))))</f>
        <v/>
      </c>
      <c r="AP95" s="26" t="str">
        <f aca="false">IF(OR($A95="",AP$4=""),"",IF(NOT(OR(AP$6="Toda la plantilla",ISNUMBER(SEARCH(";"&amp;SUBSTITUTE($C95," ","")&amp;";",";"&amp;SUBSTITUTE(AP$7," ","")&amp;";")))),"—",IF(_xlfn.MAXIFS(Acuses!$C$5:$C$3004,Acuses!$A$5:$A$3004,$A95,Acuses!$B$5:$B$3004,AP$4)&lt;AP$5,"Pendiente",IF(AP$8=0,"OK",IF(EDATE(_xlfn.MAXIFS(Acuses!$D$5:$D$3004,Acuses!$A$5:$A$3004,$A95,Acuses!$B$5:$B$3004,AP$4,Acuses!$C$5:$C$3004,AP$5),AP$8)&lt;Resumen!$C$4,"Caducado",IF(EDATE(_xlfn.MAXIFS(Acuses!$D$5:$D$3004,Acuses!$A$5:$A$3004,$A95,Acuses!$B$5:$B$3004,AP$4,Acuses!$C$5:$C$3004,AP$5),AP$8)&lt;Resumen!$C$4+30,"Caduca pronto","OK"))))))</f>
        <v/>
      </c>
      <c r="AQ95" s="26" t="str">
        <f aca="false">IF(OR($A95="",AQ$4=""),"",IF(NOT(OR(AQ$6="Toda la plantilla",ISNUMBER(SEARCH(";"&amp;SUBSTITUTE($C95," ","")&amp;";",";"&amp;SUBSTITUTE(AQ$7," ","")&amp;";")))),"—",IF(_xlfn.MAXIFS(Acuses!$C$5:$C$3004,Acuses!$A$5:$A$3004,$A95,Acuses!$B$5:$B$3004,AQ$4)&lt;AQ$5,"Pendiente",IF(AQ$8=0,"OK",IF(EDATE(_xlfn.MAXIFS(Acuses!$D$5:$D$3004,Acuses!$A$5:$A$3004,$A95,Acuses!$B$5:$B$3004,AQ$4,Acuses!$C$5:$C$3004,AQ$5),AQ$8)&lt;Resumen!$C$4,"Caducado",IF(EDATE(_xlfn.MAXIFS(Acuses!$D$5:$D$3004,Acuses!$A$5:$A$3004,$A95,Acuses!$B$5:$B$3004,AQ$4,Acuses!$C$5:$C$3004,AQ$5),AQ$8)&lt;Resumen!$C$4+30,"Caduca pronto","OK"))))))</f>
        <v/>
      </c>
    </row>
    <row r="96" customFormat="false" ht="15" hidden="false" customHeight="false" outlineLevel="0" collapsed="false">
      <c r="A96" s="25" t="str">
        <f aca="false">IF(AND(Trabajadores!$A$91&lt;&gt;"",Trabajadores!$G$91&lt;&gt;"No"),Trabajadores!$A$91,"")</f>
        <v/>
      </c>
      <c r="B96" s="25" t="str">
        <f aca="false">IF($A96="","",Trabajadores!$B$91)</f>
        <v/>
      </c>
      <c r="C96" s="25" t="str">
        <f aca="false">IF($A96="","",Trabajadores!$C$91)</f>
        <v/>
      </c>
      <c r="D96" s="26" t="str">
        <f aca="false">IF(OR($A96="",D$4=""),"",IF(NOT(OR(D$6="Toda la plantilla",ISNUMBER(SEARCH(";"&amp;SUBSTITUTE($C96," ","")&amp;";",";"&amp;SUBSTITUTE(D$7," ","")&amp;";")))),"—",IF(_xlfn.MAXIFS(Acuses!$C$5:$C$3004,Acuses!$A$5:$A$3004,$A96,Acuses!$B$5:$B$3004,D$4)&lt;D$5,"Pendiente",IF(D$8=0,"OK",IF(EDATE(_xlfn.MAXIFS(Acuses!$D$5:$D$3004,Acuses!$A$5:$A$3004,$A96,Acuses!$B$5:$B$3004,D$4,Acuses!$C$5:$C$3004,D$5),D$8)&lt;Resumen!$C$4,"Caducado",IF(EDATE(_xlfn.MAXIFS(Acuses!$D$5:$D$3004,Acuses!$A$5:$A$3004,$A96,Acuses!$B$5:$B$3004,D$4,Acuses!$C$5:$C$3004,D$5),D$8)&lt;Resumen!$C$4+30,"Caduca pronto","OK"))))))</f>
        <v/>
      </c>
      <c r="E96" s="26" t="str">
        <f aca="false">IF(OR($A96="",E$4=""),"",IF(NOT(OR(E$6="Toda la plantilla",ISNUMBER(SEARCH(";"&amp;SUBSTITUTE($C96," ","")&amp;";",";"&amp;SUBSTITUTE(E$7," ","")&amp;";")))),"—",IF(_xlfn.MAXIFS(Acuses!$C$5:$C$3004,Acuses!$A$5:$A$3004,$A96,Acuses!$B$5:$B$3004,E$4)&lt;E$5,"Pendiente",IF(E$8=0,"OK",IF(EDATE(_xlfn.MAXIFS(Acuses!$D$5:$D$3004,Acuses!$A$5:$A$3004,$A96,Acuses!$B$5:$B$3004,E$4,Acuses!$C$5:$C$3004,E$5),E$8)&lt;Resumen!$C$4,"Caducado",IF(EDATE(_xlfn.MAXIFS(Acuses!$D$5:$D$3004,Acuses!$A$5:$A$3004,$A96,Acuses!$B$5:$B$3004,E$4,Acuses!$C$5:$C$3004,E$5),E$8)&lt;Resumen!$C$4+30,"Caduca pronto","OK"))))))</f>
        <v/>
      </c>
      <c r="F96" s="26" t="str">
        <f aca="false">IF(OR($A96="",F$4=""),"",IF(NOT(OR(F$6="Toda la plantilla",ISNUMBER(SEARCH(";"&amp;SUBSTITUTE($C96," ","")&amp;";",";"&amp;SUBSTITUTE(F$7," ","")&amp;";")))),"—",IF(_xlfn.MAXIFS(Acuses!$C$5:$C$3004,Acuses!$A$5:$A$3004,$A96,Acuses!$B$5:$B$3004,F$4)&lt;F$5,"Pendiente",IF(F$8=0,"OK",IF(EDATE(_xlfn.MAXIFS(Acuses!$D$5:$D$3004,Acuses!$A$5:$A$3004,$A96,Acuses!$B$5:$B$3004,F$4,Acuses!$C$5:$C$3004,F$5),F$8)&lt;Resumen!$C$4,"Caducado",IF(EDATE(_xlfn.MAXIFS(Acuses!$D$5:$D$3004,Acuses!$A$5:$A$3004,$A96,Acuses!$B$5:$B$3004,F$4,Acuses!$C$5:$C$3004,F$5),F$8)&lt;Resumen!$C$4+30,"Caduca pronto","OK"))))))</f>
        <v/>
      </c>
      <c r="G96" s="26" t="str">
        <f aca="false">IF(OR($A96="",G$4=""),"",IF(NOT(OR(G$6="Toda la plantilla",ISNUMBER(SEARCH(";"&amp;SUBSTITUTE($C96," ","")&amp;";",";"&amp;SUBSTITUTE(G$7," ","")&amp;";")))),"—",IF(_xlfn.MAXIFS(Acuses!$C$5:$C$3004,Acuses!$A$5:$A$3004,$A96,Acuses!$B$5:$B$3004,G$4)&lt;G$5,"Pendiente",IF(G$8=0,"OK",IF(EDATE(_xlfn.MAXIFS(Acuses!$D$5:$D$3004,Acuses!$A$5:$A$3004,$A96,Acuses!$B$5:$B$3004,G$4,Acuses!$C$5:$C$3004,G$5),G$8)&lt;Resumen!$C$4,"Caducado",IF(EDATE(_xlfn.MAXIFS(Acuses!$D$5:$D$3004,Acuses!$A$5:$A$3004,$A96,Acuses!$B$5:$B$3004,G$4,Acuses!$C$5:$C$3004,G$5),G$8)&lt;Resumen!$C$4+30,"Caduca pronto","OK"))))))</f>
        <v/>
      </c>
      <c r="H96" s="26" t="str">
        <f aca="false">IF(OR($A96="",H$4=""),"",IF(NOT(OR(H$6="Toda la plantilla",ISNUMBER(SEARCH(";"&amp;SUBSTITUTE($C96," ","")&amp;";",";"&amp;SUBSTITUTE(H$7," ","")&amp;";")))),"—",IF(_xlfn.MAXIFS(Acuses!$C$5:$C$3004,Acuses!$A$5:$A$3004,$A96,Acuses!$B$5:$B$3004,H$4)&lt;H$5,"Pendiente",IF(H$8=0,"OK",IF(EDATE(_xlfn.MAXIFS(Acuses!$D$5:$D$3004,Acuses!$A$5:$A$3004,$A96,Acuses!$B$5:$B$3004,H$4,Acuses!$C$5:$C$3004,H$5),H$8)&lt;Resumen!$C$4,"Caducado",IF(EDATE(_xlfn.MAXIFS(Acuses!$D$5:$D$3004,Acuses!$A$5:$A$3004,$A96,Acuses!$B$5:$B$3004,H$4,Acuses!$C$5:$C$3004,H$5),H$8)&lt;Resumen!$C$4+30,"Caduca pronto","OK"))))))</f>
        <v/>
      </c>
      <c r="I96" s="26" t="str">
        <f aca="false">IF(OR($A96="",I$4=""),"",IF(NOT(OR(I$6="Toda la plantilla",ISNUMBER(SEARCH(";"&amp;SUBSTITUTE($C96," ","")&amp;";",";"&amp;SUBSTITUTE(I$7," ","")&amp;";")))),"—",IF(_xlfn.MAXIFS(Acuses!$C$5:$C$3004,Acuses!$A$5:$A$3004,$A96,Acuses!$B$5:$B$3004,I$4)&lt;I$5,"Pendiente",IF(I$8=0,"OK",IF(EDATE(_xlfn.MAXIFS(Acuses!$D$5:$D$3004,Acuses!$A$5:$A$3004,$A96,Acuses!$B$5:$B$3004,I$4,Acuses!$C$5:$C$3004,I$5),I$8)&lt;Resumen!$C$4,"Caducado",IF(EDATE(_xlfn.MAXIFS(Acuses!$D$5:$D$3004,Acuses!$A$5:$A$3004,$A96,Acuses!$B$5:$B$3004,I$4,Acuses!$C$5:$C$3004,I$5),I$8)&lt;Resumen!$C$4+30,"Caduca pronto","OK"))))))</f>
        <v/>
      </c>
      <c r="J96" s="26" t="str">
        <f aca="false">IF(OR($A96="",J$4=""),"",IF(NOT(OR(J$6="Toda la plantilla",ISNUMBER(SEARCH(";"&amp;SUBSTITUTE($C96," ","")&amp;";",";"&amp;SUBSTITUTE(J$7," ","")&amp;";")))),"—",IF(_xlfn.MAXIFS(Acuses!$C$5:$C$3004,Acuses!$A$5:$A$3004,$A96,Acuses!$B$5:$B$3004,J$4)&lt;J$5,"Pendiente",IF(J$8=0,"OK",IF(EDATE(_xlfn.MAXIFS(Acuses!$D$5:$D$3004,Acuses!$A$5:$A$3004,$A96,Acuses!$B$5:$B$3004,J$4,Acuses!$C$5:$C$3004,J$5),J$8)&lt;Resumen!$C$4,"Caducado",IF(EDATE(_xlfn.MAXIFS(Acuses!$D$5:$D$3004,Acuses!$A$5:$A$3004,$A96,Acuses!$B$5:$B$3004,J$4,Acuses!$C$5:$C$3004,J$5),J$8)&lt;Resumen!$C$4+30,"Caduca pronto","OK"))))))</f>
        <v/>
      </c>
      <c r="K96" s="26" t="str">
        <f aca="false">IF(OR($A96="",K$4=""),"",IF(NOT(OR(K$6="Toda la plantilla",ISNUMBER(SEARCH(";"&amp;SUBSTITUTE($C96," ","")&amp;";",";"&amp;SUBSTITUTE(K$7," ","")&amp;";")))),"—",IF(_xlfn.MAXIFS(Acuses!$C$5:$C$3004,Acuses!$A$5:$A$3004,$A96,Acuses!$B$5:$B$3004,K$4)&lt;K$5,"Pendiente",IF(K$8=0,"OK",IF(EDATE(_xlfn.MAXIFS(Acuses!$D$5:$D$3004,Acuses!$A$5:$A$3004,$A96,Acuses!$B$5:$B$3004,K$4,Acuses!$C$5:$C$3004,K$5),K$8)&lt;Resumen!$C$4,"Caducado",IF(EDATE(_xlfn.MAXIFS(Acuses!$D$5:$D$3004,Acuses!$A$5:$A$3004,$A96,Acuses!$B$5:$B$3004,K$4,Acuses!$C$5:$C$3004,K$5),K$8)&lt;Resumen!$C$4+30,"Caduca pronto","OK"))))))</f>
        <v/>
      </c>
      <c r="L96" s="26" t="str">
        <f aca="false">IF(OR($A96="",L$4=""),"",IF(NOT(OR(L$6="Toda la plantilla",ISNUMBER(SEARCH(";"&amp;SUBSTITUTE($C96," ","")&amp;";",";"&amp;SUBSTITUTE(L$7," ","")&amp;";")))),"—",IF(_xlfn.MAXIFS(Acuses!$C$5:$C$3004,Acuses!$A$5:$A$3004,$A96,Acuses!$B$5:$B$3004,L$4)&lt;L$5,"Pendiente",IF(L$8=0,"OK",IF(EDATE(_xlfn.MAXIFS(Acuses!$D$5:$D$3004,Acuses!$A$5:$A$3004,$A96,Acuses!$B$5:$B$3004,L$4,Acuses!$C$5:$C$3004,L$5),L$8)&lt;Resumen!$C$4,"Caducado",IF(EDATE(_xlfn.MAXIFS(Acuses!$D$5:$D$3004,Acuses!$A$5:$A$3004,$A96,Acuses!$B$5:$B$3004,L$4,Acuses!$C$5:$C$3004,L$5),L$8)&lt;Resumen!$C$4+30,"Caduca pronto","OK"))))))</f>
        <v/>
      </c>
      <c r="M96" s="26" t="str">
        <f aca="false">IF(OR($A96="",M$4=""),"",IF(NOT(OR(M$6="Toda la plantilla",ISNUMBER(SEARCH(";"&amp;SUBSTITUTE($C96," ","")&amp;";",";"&amp;SUBSTITUTE(M$7," ","")&amp;";")))),"—",IF(_xlfn.MAXIFS(Acuses!$C$5:$C$3004,Acuses!$A$5:$A$3004,$A96,Acuses!$B$5:$B$3004,M$4)&lt;M$5,"Pendiente",IF(M$8=0,"OK",IF(EDATE(_xlfn.MAXIFS(Acuses!$D$5:$D$3004,Acuses!$A$5:$A$3004,$A96,Acuses!$B$5:$B$3004,M$4,Acuses!$C$5:$C$3004,M$5),M$8)&lt;Resumen!$C$4,"Caducado",IF(EDATE(_xlfn.MAXIFS(Acuses!$D$5:$D$3004,Acuses!$A$5:$A$3004,$A96,Acuses!$B$5:$B$3004,M$4,Acuses!$C$5:$C$3004,M$5),M$8)&lt;Resumen!$C$4+30,"Caduca pronto","OK"))))))</f>
        <v/>
      </c>
      <c r="N96" s="26" t="str">
        <f aca="false">IF(OR($A96="",N$4=""),"",IF(NOT(OR(N$6="Toda la plantilla",ISNUMBER(SEARCH(";"&amp;SUBSTITUTE($C96," ","")&amp;";",";"&amp;SUBSTITUTE(N$7," ","")&amp;";")))),"—",IF(_xlfn.MAXIFS(Acuses!$C$5:$C$3004,Acuses!$A$5:$A$3004,$A96,Acuses!$B$5:$B$3004,N$4)&lt;N$5,"Pendiente",IF(N$8=0,"OK",IF(EDATE(_xlfn.MAXIFS(Acuses!$D$5:$D$3004,Acuses!$A$5:$A$3004,$A96,Acuses!$B$5:$B$3004,N$4,Acuses!$C$5:$C$3004,N$5),N$8)&lt;Resumen!$C$4,"Caducado",IF(EDATE(_xlfn.MAXIFS(Acuses!$D$5:$D$3004,Acuses!$A$5:$A$3004,$A96,Acuses!$B$5:$B$3004,N$4,Acuses!$C$5:$C$3004,N$5),N$8)&lt;Resumen!$C$4+30,"Caduca pronto","OK"))))))</f>
        <v/>
      </c>
      <c r="O96" s="26" t="str">
        <f aca="false">IF(OR($A96="",O$4=""),"",IF(NOT(OR(O$6="Toda la plantilla",ISNUMBER(SEARCH(";"&amp;SUBSTITUTE($C96," ","")&amp;";",";"&amp;SUBSTITUTE(O$7," ","")&amp;";")))),"—",IF(_xlfn.MAXIFS(Acuses!$C$5:$C$3004,Acuses!$A$5:$A$3004,$A96,Acuses!$B$5:$B$3004,O$4)&lt;O$5,"Pendiente",IF(O$8=0,"OK",IF(EDATE(_xlfn.MAXIFS(Acuses!$D$5:$D$3004,Acuses!$A$5:$A$3004,$A96,Acuses!$B$5:$B$3004,O$4,Acuses!$C$5:$C$3004,O$5),O$8)&lt;Resumen!$C$4,"Caducado",IF(EDATE(_xlfn.MAXIFS(Acuses!$D$5:$D$3004,Acuses!$A$5:$A$3004,$A96,Acuses!$B$5:$B$3004,O$4,Acuses!$C$5:$C$3004,O$5),O$8)&lt;Resumen!$C$4+30,"Caduca pronto","OK"))))))</f>
        <v/>
      </c>
      <c r="P96" s="26" t="str">
        <f aca="false">IF(OR($A96="",P$4=""),"",IF(NOT(OR(P$6="Toda la plantilla",ISNUMBER(SEARCH(";"&amp;SUBSTITUTE($C96," ","")&amp;";",";"&amp;SUBSTITUTE(P$7," ","")&amp;";")))),"—",IF(_xlfn.MAXIFS(Acuses!$C$5:$C$3004,Acuses!$A$5:$A$3004,$A96,Acuses!$B$5:$B$3004,P$4)&lt;P$5,"Pendiente",IF(P$8=0,"OK",IF(EDATE(_xlfn.MAXIFS(Acuses!$D$5:$D$3004,Acuses!$A$5:$A$3004,$A96,Acuses!$B$5:$B$3004,P$4,Acuses!$C$5:$C$3004,P$5),P$8)&lt;Resumen!$C$4,"Caducado",IF(EDATE(_xlfn.MAXIFS(Acuses!$D$5:$D$3004,Acuses!$A$5:$A$3004,$A96,Acuses!$B$5:$B$3004,P$4,Acuses!$C$5:$C$3004,P$5),P$8)&lt;Resumen!$C$4+30,"Caduca pronto","OK"))))))</f>
        <v/>
      </c>
      <c r="Q96" s="26" t="str">
        <f aca="false">IF(OR($A96="",Q$4=""),"",IF(NOT(OR(Q$6="Toda la plantilla",ISNUMBER(SEARCH(";"&amp;SUBSTITUTE($C96," ","")&amp;";",";"&amp;SUBSTITUTE(Q$7," ","")&amp;";")))),"—",IF(_xlfn.MAXIFS(Acuses!$C$5:$C$3004,Acuses!$A$5:$A$3004,$A96,Acuses!$B$5:$B$3004,Q$4)&lt;Q$5,"Pendiente",IF(Q$8=0,"OK",IF(EDATE(_xlfn.MAXIFS(Acuses!$D$5:$D$3004,Acuses!$A$5:$A$3004,$A96,Acuses!$B$5:$B$3004,Q$4,Acuses!$C$5:$C$3004,Q$5),Q$8)&lt;Resumen!$C$4,"Caducado",IF(EDATE(_xlfn.MAXIFS(Acuses!$D$5:$D$3004,Acuses!$A$5:$A$3004,$A96,Acuses!$B$5:$B$3004,Q$4,Acuses!$C$5:$C$3004,Q$5),Q$8)&lt;Resumen!$C$4+30,"Caduca pronto","OK"))))))</f>
        <v/>
      </c>
      <c r="R96" s="26" t="str">
        <f aca="false">IF(OR($A96="",R$4=""),"",IF(NOT(OR(R$6="Toda la plantilla",ISNUMBER(SEARCH(";"&amp;SUBSTITUTE($C96," ","")&amp;";",";"&amp;SUBSTITUTE(R$7," ","")&amp;";")))),"—",IF(_xlfn.MAXIFS(Acuses!$C$5:$C$3004,Acuses!$A$5:$A$3004,$A96,Acuses!$B$5:$B$3004,R$4)&lt;R$5,"Pendiente",IF(R$8=0,"OK",IF(EDATE(_xlfn.MAXIFS(Acuses!$D$5:$D$3004,Acuses!$A$5:$A$3004,$A96,Acuses!$B$5:$B$3004,R$4,Acuses!$C$5:$C$3004,R$5),R$8)&lt;Resumen!$C$4,"Caducado",IF(EDATE(_xlfn.MAXIFS(Acuses!$D$5:$D$3004,Acuses!$A$5:$A$3004,$A96,Acuses!$B$5:$B$3004,R$4,Acuses!$C$5:$C$3004,R$5),R$8)&lt;Resumen!$C$4+30,"Caduca pronto","OK"))))))</f>
        <v/>
      </c>
      <c r="S96" s="26" t="str">
        <f aca="false">IF(OR($A96="",S$4=""),"",IF(NOT(OR(S$6="Toda la plantilla",ISNUMBER(SEARCH(";"&amp;SUBSTITUTE($C96," ","")&amp;";",";"&amp;SUBSTITUTE(S$7," ","")&amp;";")))),"—",IF(_xlfn.MAXIFS(Acuses!$C$5:$C$3004,Acuses!$A$5:$A$3004,$A96,Acuses!$B$5:$B$3004,S$4)&lt;S$5,"Pendiente",IF(S$8=0,"OK",IF(EDATE(_xlfn.MAXIFS(Acuses!$D$5:$D$3004,Acuses!$A$5:$A$3004,$A96,Acuses!$B$5:$B$3004,S$4,Acuses!$C$5:$C$3004,S$5),S$8)&lt;Resumen!$C$4,"Caducado",IF(EDATE(_xlfn.MAXIFS(Acuses!$D$5:$D$3004,Acuses!$A$5:$A$3004,$A96,Acuses!$B$5:$B$3004,S$4,Acuses!$C$5:$C$3004,S$5),S$8)&lt;Resumen!$C$4+30,"Caduca pronto","OK"))))))</f>
        <v/>
      </c>
      <c r="T96" s="26" t="str">
        <f aca="false">IF(OR($A96="",T$4=""),"",IF(NOT(OR(T$6="Toda la plantilla",ISNUMBER(SEARCH(";"&amp;SUBSTITUTE($C96," ","")&amp;";",";"&amp;SUBSTITUTE(T$7," ","")&amp;";")))),"—",IF(_xlfn.MAXIFS(Acuses!$C$5:$C$3004,Acuses!$A$5:$A$3004,$A96,Acuses!$B$5:$B$3004,T$4)&lt;T$5,"Pendiente",IF(T$8=0,"OK",IF(EDATE(_xlfn.MAXIFS(Acuses!$D$5:$D$3004,Acuses!$A$5:$A$3004,$A96,Acuses!$B$5:$B$3004,T$4,Acuses!$C$5:$C$3004,T$5),T$8)&lt;Resumen!$C$4,"Caducado",IF(EDATE(_xlfn.MAXIFS(Acuses!$D$5:$D$3004,Acuses!$A$5:$A$3004,$A96,Acuses!$B$5:$B$3004,T$4,Acuses!$C$5:$C$3004,T$5),T$8)&lt;Resumen!$C$4+30,"Caduca pronto","OK"))))))</f>
        <v/>
      </c>
      <c r="U96" s="26" t="str">
        <f aca="false">IF(OR($A96="",U$4=""),"",IF(NOT(OR(U$6="Toda la plantilla",ISNUMBER(SEARCH(";"&amp;SUBSTITUTE($C96," ","")&amp;";",";"&amp;SUBSTITUTE(U$7," ","")&amp;";")))),"—",IF(_xlfn.MAXIFS(Acuses!$C$5:$C$3004,Acuses!$A$5:$A$3004,$A96,Acuses!$B$5:$B$3004,U$4)&lt;U$5,"Pendiente",IF(U$8=0,"OK",IF(EDATE(_xlfn.MAXIFS(Acuses!$D$5:$D$3004,Acuses!$A$5:$A$3004,$A96,Acuses!$B$5:$B$3004,U$4,Acuses!$C$5:$C$3004,U$5),U$8)&lt;Resumen!$C$4,"Caducado",IF(EDATE(_xlfn.MAXIFS(Acuses!$D$5:$D$3004,Acuses!$A$5:$A$3004,$A96,Acuses!$B$5:$B$3004,U$4,Acuses!$C$5:$C$3004,U$5),U$8)&lt;Resumen!$C$4+30,"Caduca pronto","OK"))))))</f>
        <v/>
      </c>
      <c r="V96" s="26" t="str">
        <f aca="false">IF(OR($A96="",V$4=""),"",IF(NOT(OR(V$6="Toda la plantilla",ISNUMBER(SEARCH(";"&amp;SUBSTITUTE($C96," ","")&amp;";",";"&amp;SUBSTITUTE(V$7," ","")&amp;";")))),"—",IF(_xlfn.MAXIFS(Acuses!$C$5:$C$3004,Acuses!$A$5:$A$3004,$A96,Acuses!$B$5:$B$3004,V$4)&lt;V$5,"Pendiente",IF(V$8=0,"OK",IF(EDATE(_xlfn.MAXIFS(Acuses!$D$5:$D$3004,Acuses!$A$5:$A$3004,$A96,Acuses!$B$5:$B$3004,V$4,Acuses!$C$5:$C$3004,V$5),V$8)&lt;Resumen!$C$4,"Caducado",IF(EDATE(_xlfn.MAXIFS(Acuses!$D$5:$D$3004,Acuses!$A$5:$A$3004,$A96,Acuses!$B$5:$B$3004,V$4,Acuses!$C$5:$C$3004,V$5),V$8)&lt;Resumen!$C$4+30,"Caduca pronto","OK"))))))</f>
        <v/>
      </c>
      <c r="W96" s="26" t="str">
        <f aca="false">IF(OR($A96="",W$4=""),"",IF(NOT(OR(W$6="Toda la plantilla",ISNUMBER(SEARCH(";"&amp;SUBSTITUTE($C96," ","")&amp;";",";"&amp;SUBSTITUTE(W$7," ","")&amp;";")))),"—",IF(_xlfn.MAXIFS(Acuses!$C$5:$C$3004,Acuses!$A$5:$A$3004,$A96,Acuses!$B$5:$B$3004,W$4)&lt;W$5,"Pendiente",IF(W$8=0,"OK",IF(EDATE(_xlfn.MAXIFS(Acuses!$D$5:$D$3004,Acuses!$A$5:$A$3004,$A96,Acuses!$B$5:$B$3004,W$4,Acuses!$C$5:$C$3004,W$5),W$8)&lt;Resumen!$C$4,"Caducado",IF(EDATE(_xlfn.MAXIFS(Acuses!$D$5:$D$3004,Acuses!$A$5:$A$3004,$A96,Acuses!$B$5:$B$3004,W$4,Acuses!$C$5:$C$3004,W$5),W$8)&lt;Resumen!$C$4+30,"Caduca pronto","OK"))))))</f>
        <v/>
      </c>
      <c r="X96" s="26" t="str">
        <f aca="false">IF(OR($A96="",X$4=""),"",IF(NOT(OR(X$6="Toda la plantilla",ISNUMBER(SEARCH(";"&amp;SUBSTITUTE($C96," ","")&amp;";",";"&amp;SUBSTITUTE(X$7," ","")&amp;";")))),"—",IF(_xlfn.MAXIFS(Acuses!$C$5:$C$3004,Acuses!$A$5:$A$3004,$A96,Acuses!$B$5:$B$3004,X$4)&lt;X$5,"Pendiente",IF(X$8=0,"OK",IF(EDATE(_xlfn.MAXIFS(Acuses!$D$5:$D$3004,Acuses!$A$5:$A$3004,$A96,Acuses!$B$5:$B$3004,X$4,Acuses!$C$5:$C$3004,X$5),X$8)&lt;Resumen!$C$4,"Caducado",IF(EDATE(_xlfn.MAXIFS(Acuses!$D$5:$D$3004,Acuses!$A$5:$A$3004,$A96,Acuses!$B$5:$B$3004,X$4,Acuses!$C$5:$C$3004,X$5),X$8)&lt;Resumen!$C$4+30,"Caduca pronto","OK"))))))</f>
        <v/>
      </c>
      <c r="Y96" s="26" t="str">
        <f aca="false">IF(OR($A96="",Y$4=""),"",IF(NOT(OR(Y$6="Toda la plantilla",ISNUMBER(SEARCH(";"&amp;SUBSTITUTE($C96," ","")&amp;";",";"&amp;SUBSTITUTE(Y$7," ","")&amp;";")))),"—",IF(_xlfn.MAXIFS(Acuses!$C$5:$C$3004,Acuses!$A$5:$A$3004,$A96,Acuses!$B$5:$B$3004,Y$4)&lt;Y$5,"Pendiente",IF(Y$8=0,"OK",IF(EDATE(_xlfn.MAXIFS(Acuses!$D$5:$D$3004,Acuses!$A$5:$A$3004,$A96,Acuses!$B$5:$B$3004,Y$4,Acuses!$C$5:$C$3004,Y$5),Y$8)&lt;Resumen!$C$4,"Caducado",IF(EDATE(_xlfn.MAXIFS(Acuses!$D$5:$D$3004,Acuses!$A$5:$A$3004,$A96,Acuses!$B$5:$B$3004,Y$4,Acuses!$C$5:$C$3004,Y$5),Y$8)&lt;Resumen!$C$4+30,"Caduca pronto","OK"))))))</f>
        <v/>
      </c>
      <c r="Z96" s="26" t="str">
        <f aca="false">IF(OR($A96="",Z$4=""),"",IF(NOT(OR(Z$6="Toda la plantilla",ISNUMBER(SEARCH(";"&amp;SUBSTITUTE($C96," ","")&amp;";",";"&amp;SUBSTITUTE(Z$7," ","")&amp;";")))),"—",IF(_xlfn.MAXIFS(Acuses!$C$5:$C$3004,Acuses!$A$5:$A$3004,$A96,Acuses!$B$5:$B$3004,Z$4)&lt;Z$5,"Pendiente",IF(Z$8=0,"OK",IF(EDATE(_xlfn.MAXIFS(Acuses!$D$5:$D$3004,Acuses!$A$5:$A$3004,$A96,Acuses!$B$5:$B$3004,Z$4,Acuses!$C$5:$C$3004,Z$5),Z$8)&lt;Resumen!$C$4,"Caducado",IF(EDATE(_xlfn.MAXIFS(Acuses!$D$5:$D$3004,Acuses!$A$5:$A$3004,$A96,Acuses!$B$5:$B$3004,Z$4,Acuses!$C$5:$C$3004,Z$5),Z$8)&lt;Resumen!$C$4+30,"Caduca pronto","OK"))))))</f>
        <v/>
      </c>
      <c r="AA96" s="26" t="str">
        <f aca="false">IF(OR($A96="",AA$4=""),"",IF(NOT(OR(AA$6="Toda la plantilla",ISNUMBER(SEARCH(";"&amp;SUBSTITUTE($C96," ","")&amp;";",";"&amp;SUBSTITUTE(AA$7," ","")&amp;";")))),"—",IF(_xlfn.MAXIFS(Acuses!$C$5:$C$3004,Acuses!$A$5:$A$3004,$A96,Acuses!$B$5:$B$3004,AA$4)&lt;AA$5,"Pendiente",IF(AA$8=0,"OK",IF(EDATE(_xlfn.MAXIFS(Acuses!$D$5:$D$3004,Acuses!$A$5:$A$3004,$A96,Acuses!$B$5:$B$3004,AA$4,Acuses!$C$5:$C$3004,AA$5),AA$8)&lt;Resumen!$C$4,"Caducado",IF(EDATE(_xlfn.MAXIFS(Acuses!$D$5:$D$3004,Acuses!$A$5:$A$3004,$A96,Acuses!$B$5:$B$3004,AA$4,Acuses!$C$5:$C$3004,AA$5),AA$8)&lt;Resumen!$C$4+30,"Caduca pronto","OK"))))))</f>
        <v/>
      </c>
      <c r="AB96" s="26" t="str">
        <f aca="false">IF(OR($A96="",AB$4=""),"",IF(NOT(OR(AB$6="Toda la plantilla",ISNUMBER(SEARCH(";"&amp;SUBSTITUTE($C96," ","")&amp;";",";"&amp;SUBSTITUTE(AB$7," ","")&amp;";")))),"—",IF(_xlfn.MAXIFS(Acuses!$C$5:$C$3004,Acuses!$A$5:$A$3004,$A96,Acuses!$B$5:$B$3004,AB$4)&lt;AB$5,"Pendiente",IF(AB$8=0,"OK",IF(EDATE(_xlfn.MAXIFS(Acuses!$D$5:$D$3004,Acuses!$A$5:$A$3004,$A96,Acuses!$B$5:$B$3004,AB$4,Acuses!$C$5:$C$3004,AB$5),AB$8)&lt;Resumen!$C$4,"Caducado",IF(EDATE(_xlfn.MAXIFS(Acuses!$D$5:$D$3004,Acuses!$A$5:$A$3004,$A96,Acuses!$B$5:$B$3004,AB$4,Acuses!$C$5:$C$3004,AB$5),AB$8)&lt;Resumen!$C$4+30,"Caduca pronto","OK"))))))</f>
        <v/>
      </c>
      <c r="AC96" s="26" t="str">
        <f aca="false">IF(OR($A96="",AC$4=""),"",IF(NOT(OR(AC$6="Toda la plantilla",ISNUMBER(SEARCH(";"&amp;SUBSTITUTE($C96," ","")&amp;";",";"&amp;SUBSTITUTE(AC$7," ","")&amp;";")))),"—",IF(_xlfn.MAXIFS(Acuses!$C$5:$C$3004,Acuses!$A$5:$A$3004,$A96,Acuses!$B$5:$B$3004,AC$4)&lt;AC$5,"Pendiente",IF(AC$8=0,"OK",IF(EDATE(_xlfn.MAXIFS(Acuses!$D$5:$D$3004,Acuses!$A$5:$A$3004,$A96,Acuses!$B$5:$B$3004,AC$4,Acuses!$C$5:$C$3004,AC$5),AC$8)&lt;Resumen!$C$4,"Caducado",IF(EDATE(_xlfn.MAXIFS(Acuses!$D$5:$D$3004,Acuses!$A$5:$A$3004,$A96,Acuses!$B$5:$B$3004,AC$4,Acuses!$C$5:$C$3004,AC$5),AC$8)&lt;Resumen!$C$4+30,"Caduca pronto","OK"))))))</f>
        <v/>
      </c>
      <c r="AD96" s="26" t="str">
        <f aca="false">IF(OR($A96="",AD$4=""),"",IF(NOT(OR(AD$6="Toda la plantilla",ISNUMBER(SEARCH(";"&amp;SUBSTITUTE($C96," ","")&amp;";",";"&amp;SUBSTITUTE(AD$7," ","")&amp;";")))),"—",IF(_xlfn.MAXIFS(Acuses!$C$5:$C$3004,Acuses!$A$5:$A$3004,$A96,Acuses!$B$5:$B$3004,AD$4)&lt;AD$5,"Pendiente",IF(AD$8=0,"OK",IF(EDATE(_xlfn.MAXIFS(Acuses!$D$5:$D$3004,Acuses!$A$5:$A$3004,$A96,Acuses!$B$5:$B$3004,AD$4,Acuses!$C$5:$C$3004,AD$5),AD$8)&lt;Resumen!$C$4,"Caducado",IF(EDATE(_xlfn.MAXIFS(Acuses!$D$5:$D$3004,Acuses!$A$5:$A$3004,$A96,Acuses!$B$5:$B$3004,AD$4,Acuses!$C$5:$C$3004,AD$5),AD$8)&lt;Resumen!$C$4+30,"Caduca pronto","OK"))))))</f>
        <v/>
      </c>
      <c r="AE96" s="26" t="str">
        <f aca="false">IF(OR($A96="",AE$4=""),"",IF(NOT(OR(AE$6="Toda la plantilla",ISNUMBER(SEARCH(";"&amp;SUBSTITUTE($C96," ","")&amp;";",";"&amp;SUBSTITUTE(AE$7," ","")&amp;";")))),"—",IF(_xlfn.MAXIFS(Acuses!$C$5:$C$3004,Acuses!$A$5:$A$3004,$A96,Acuses!$B$5:$B$3004,AE$4)&lt;AE$5,"Pendiente",IF(AE$8=0,"OK",IF(EDATE(_xlfn.MAXIFS(Acuses!$D$5:$D$3004,Acuses!$A$5:$A$3004,$A96,Acuses!$B$5:$B$3004,AE$4,Acuses!$C$5:$C$3004,AE$5),AE$8)&lt;Resumen!$C$4,"Caducado",IF(EDATE(_xlfn.MAXIFS(Acuses!$D$5:$D$3004,Acuses!$A$5:$A$3004,$A96,Acuses!$B$5:$B$3004,AE$4,Acuses!$C$5:$C$3004,AE$5),AE$8)&lt;Resumen!$C$4+30,"Caduca pronto","OK"))))))</f>
        <v/>
      </c>
      <c r="AF96" s="26" t="str">
        <f aca="false">IF(OR($A96="",AF$4=""),"",IF(NOT(OR(AF$6="Toda la plantilla",ISNUMBER(SEARCH(";"&amp;SUBSTITUTE($C96," ","")&amp;";",";"&amp;SUBSTITUTE(AF$7," ","")&amp;";")))),"—",IF(_xlfn.MAXIFS(Acuses!$C$5:$C$3004,Acuses!$A$5:$A$3004,$A96,Acuses!$B$5:$B$3004,AF$4)&lt;AF$5,"Pendiente",IF(AF$8=0,"OK",IF(EDATE(_xlfn.MAXIFS(Acuses!$D$5:$D$3004,Acuses!$A$5:$A$3004,$A96,Acuses!$B$5:$B$3004,AF$4,Acuses!$C$5:$C$3004,AF$5),AF$8)&lt;Resumen!$C$4,"Caducado",IF(EDATE(_xlfn.MAXIFS(Acuses!$D$5:$D$3004,Acuses!$A$5:$A$3004,$A96,Acuses!$B$5:$B$3004,AF$4,Acuses!$C$5:$C$3004,AF$5),AF$8)&lt;Resumen!$C$4+30,"Caduca pronto","OK"))))))</f>
        <v/>
      </c>
      <c r="AG96" s="26" t="str">
        <f aca="false">IF(OR($A96="",AG$4=""),"",IF(NOT(OR(AG$6="Toda la plantilla",ISNUMBER(SEARCH(";"&amp;SUBSTITUTE($C96," ","")&amp;";",";"&amp;SUBSTITUTE(AG$7," ","")&amp;";")))),"—",IF(_xlfn.MAXIFS(Acuses!$C$5:$C$3004,Acuses!$A$5:$A$3004,$A96,Acuses!$B$5:$B$3004,AG$4)&lt;AG$5,"Pendiente",IF(AG$8=0,"OK",IF(EDATE(_xlfn.MAXIFS(Acuses!$D$5:$D$3004,Acuses!$A$5:$A$3004,$A96,Acuses!$B$5:$B$3004,AG$4,Acuses!$C$5:$C$3004,AG$5),AG$8)&lt;Resumen!$C$4,"Caducado",IF(EDATE(_xlfn.MAXIFS(Acuses!$D$5:$D$3004,Acuses!$A$5:$A$3004,$A96,Acuses!$B$5:$B$3004,AG$4,Acuses!$C$5:$C$3004,AG$5),AG$8)&lt;Resumen!$C$4+30,"Caduca pronto","OK"))))))</f>
        <v/>
      </c>
      <c r="AH96" s="26" t="str">
        <f aca="false">IF(OR($A96="",AH$4=""),"",IF(NOT(OR(AH$6="Toda la plantilla",ISNUMBER(SEARCH(";"&amp;SUBSTITUTE($C96," ","")&amp;";",";"&amp;SUBSTITUTE(AH$7," ","")&amp;";")))),"—",IF(_xlfn.MAXIFS(Acuses!$C$5:$C$3004,Acuses!$A$5:$A$3004,$A96,Acuses!$B$5:$B$3004,AH$4)&lt;AH$5,"Pendiente",IF(AH$8=0,"OK",IF(EDATE(_xlfn.MAXIFS(Acuses!$D$5:$D$3004,Acuses!$A$5:$A$3004,$A96,Acuses!$B$5:$B$3004,AH$4,Acuses!$C$5:$C$3004,AH$5),AH$8)&lt;Resumen!$C$4,"Caducado",IF(EDATE(_xlfn.MAXIFS(Acuses!$D$5:$D$3004,Acuses!$A$5:$A$3004,$A96,Acuses!$B$5:$B$3004,AH$4,Acuses!$C$5:$C$3004,AH$5),AH$8)&lt;Resumen!$C$4+30,"Caduca pronto","OK"))))))</f>
        <v/>
      </c>
      <c r="AI96" s="26" t="str">
        <f aca="false">IF(OR($A96="",AI$4=""),"",IF(NOT(OR(AI$6="Toda la plantilla",ISNUMBER(SEARCH(";"&amp;SUBSTITUTE($C96," ","")&amp;";",";"&amp;SUBSTITUTE(AI$7," ","")&amp;";")))),"—",IF(_xlfn.MAXIFS(Acuses!$C$5:$C$3004,Acuses!$A$5:$A$3004,$A96,Acuses!$B$5:$B$3004,AI$4)&lt;AI$5,"Pendiente",IF(AI$8=0,"OK",IF(EDATE(_xlfn.MAXIFS(Acuses!$D$5:$D$3004,Acuses!$A$5:$A$3004,$A96,Acuses!$B$5:$B$3004,AI$4,Acuses!$C$5:$C$3004,AI$5),AI$8)&lt;Resumen!$C$4,"Caducado",IF(EDATE(_xlfn.MAXIFS(Acuses!$D$5:$D$3004,Acuses!$A$5:$A$3004,$A96,Acuses!$B$5:$B$3004,AI$4,Acuses!$C$5:$C$3004,AI$5),AI$8)&lt;Resumen!$C$4+30,"Caduca pronto","OK"))))))</f>
        <v/>
      </c>
      <c r="AJ96" s="26" t="str">
        <f aca="false">IF(OR($A96="",AJ$4=""),"",IF(NOT(OR(AJ$6="Toda la plantilla",ISNUMBER(SEARCH(";"&amp;SUBSTITUTE($C96," ","")&amp;";",";"&amp;SUBSTITUTE(AJ$7," ","")&amp;";")))),"—",IF(_xlfn.MAXIFS(Acuses!$C$5:$C$3004,Acuses!$A$5:$A$3004,$A96,Acuses!$B$5:$B$3004,AJ$4)&lt;AJ$5,"Pendiente",IF(AJ$8=0,"OK",IF(EDATE(_xlfn.MAXIFS(Acuses!$D$5:$D$3004,Acuses!$A$5:$A$3004,$A96,Acuses!$B$5:$B$3004,AJ$4,Acuses!$C$5:$C$3004,AJ$5),AJ$8)&lt;Resumen!$C$4,"Caducado",IF(EDATE(_xlfn.MAXIFS(Acuses!$D$5:$D$3004,Acuses!$A$5:$A$3004,$A96,Acuses!$B$5:$B$3004,AJ$4,Acuses!$C$5:$C$3004,AJ$5),AJ$8)&lt;Resumen!$C$4+30,"Caduca pronto","OK"))))))</f>
        <v/>
      </c>
      <c r="AK96" s="26" t="str">
        <f aca="false">IF(OR($A96="",AK$4=""),"",IF(NOT(OR(AK$6="Toda la plantilla",ISNUMBER(SEARCH(";"&amp;SUBSTITUTE($C96," ","")&amp;";",";"&amp;SUBSTITUTE(AK$7," ","")&amp;";")))),"—",IF(_xlfn.MAXIFS(Acuses!$C$5:$C$3004,Acuses!$A$5:$A$3004,$A96,Acuses!$B$5:$B$3004,AK$4)&lt;AK$5,"Pendiente",IF(AK$8=0,"OK",IF(EDATE(_xlfn.MAXIFS(Acuses!$D$5:$D$3004,Acuses!$A$5:$A$3004,$A96,Acuses!$B$5:$B$3004,AK$4,Acuses!$C$5:$C$3004,AK$5),AK$8)&lt;Resumen!$C$4,"Caducado",IF(EDATE(_xlfn.MAXIFS(Acuses!$D$5:$D$3004,Acuses!$A$5:$A$3004,$A96,Acuses!$B$5:$B$3004,AK$4,Acuses!$C$5:$C$3004,AK$5),AK$8)&lt;Resumen!$C$4+30,"Caduca pronto","OK"))))))</f>
        <v/>
      </c>
      <c r="AL96" s="26" t="str">
        <f aca="false">IF(OR($A96="",AL$4=""),"",IF(NOT(OR(AL$6="Toda la plantilla",ISNUMBER(SEARCH(";"&amp;SUBSTITUTE($C96," ","")&amp;";",";"&amp;SUBSTITUTE(AL$7," ","")&amp;";")))),"—",IF(_xlfn.MAXIFS(Acuses!$C$5:$C$3004,Acuses!$A$5:$A$3004,$A96,Acuses!$B$5:$B$3004,AL$4)&lt;AL$5,"Pendiente",IF(AL$8=0,"OK",IF(EDATE(_xlfn.MAXIFS(Acuses!$D$5:$D$3004,Acuses!$A$5:$A$3004,$A96,Acuses!$B$5:$B$3004,AL$4,Acuses!$C$5:$C$3004,AL$5),AL$8)&lt;Resumen!$C$4,"Caducado",IF(EDATE(_xlfn.MAXIFS(Acuses!$D$5:$D$3004,Acuses!$A$5:$A$3004,$A96,Acuses!$B$5:$B$3004,AL$4,Acuses!$C$5:$C$3004,AL$5),AL$8)&lt;Resumen!$C$4+30,"Caduca pronto","OK"))))))</f>
        <v/>
      </c>
      <c r="AM96" s="26" t="str">
        <f aca="false">IF(OR($A96="",AM$4=""),"",IF(NOT(OR(AM$6="Toda la plantilla",ISNUMBER(SEARCH(";"&amp;SUBSTITUTE($C96," ","")&amp;";",";"&amp;SUBSTITUTE(AM$7," ","")&amp;";")))),"—",IF(_xlfn.MAXIFS(Acuses!$C$5:$C$3004,Acuses!$A$5:$A$3004,$A96,Acuses!$B$5:$B$3004,AM$4)&lt;AM$5,"Pendiente",IF(AM$8=0,"OK",IF(EDATE(_xlfn.MAXIFS(Acuses!$D$5:$D$3004,Acuses!$A$5:$A$3004,$A96,Acuses!$B$5:$B$3004,AM$4,Acuses!$C$5:$C$3004,AM$5),AM$8)&lt;Resumen!$C$4,"Caducado",IF(EDATE(_xlfn.MAXIFS(Acuses!$D$5:$D$3004,Acuses!$A$5:$A$3004,$A96,Acuses!$B$5:$B$3004,AM$4,Acuses!$C$5:$C$3004,AM$5),AM$8)&lt;Resumen!$C$4+30,"Caduca pronto","OK"))))))</f>
        <v/>
      </c>
      <c r="AN96" s="26" t="str">
        <f aca="false">IF(OR($A96="",AN$4=""),"",IF(NOT(OR(AN$6="Toda la plantilla",ISNUMBER(SEARCH(";"&amp;SUBSTITUTE($C96," ","")&amp;";",";"&amp;SUBSTITUTE(AN$7," ","")&amp;";")))),"—",IF(_xlfn.MAXIFS(Acuses!$C$5:$C$3004,Acuses!$A$5:$A$3004,$A96,Acuses!$B$5:$B$3004,AN$4)&lt;AN$5,"Pendiente",IF(AN$8=0,"OK",IF(EDATE(_xlfn.MAXIFS(Acuses!$D$5:$D$3004,Acuses!$A$5:$A$3004,$A96,Acuses!$B$5:$B$3004,AN$4,Acuses!$C$5:$C$3004,AN$5),AN$8)&lt;Resumen!$C$4,"Caducado",IF(EDATE(_xlfn.MAXIFS(Acuses!$D$5:$D$3004,Acuses!$A$5:$A$3004,$A96,Acuses!$B$5:$B$3004,AN$4,Acuses!$C$5:$C$3004,AN$5),AN$8)&lt;Resumen!$C$4+30,"Caduca pronto","OK"))))))</f>
        <v/>
      </c>
      <c r="AO96" s="26" t="str">
        <f aca="false">IF(OR($A96="",AO$4=""),"",IF(NOT(OR(AO$6="Toda la plantilla",ISNUMBER(SEARCH(";"&amp;SUBSTITUTE($C96," ","")&amp;";",";"&amp;SUBSTITUTE(AO$7," ","")&amp;";")))),"—",IF(_xlfn.MAXIFS(Acuses!$C$5:$C$3004,Acuses!$A$5:$A$3004,$A96,Acuses!$B$5:$B$3004,AO$4)&lt;AO$5,"Pendiente",IF(AO$8=0,"OK",IF(EDATE(_xlfn.MAXIFS(Acuses!$D$5:$D$3004,Acuses!$A$5:$A$3004,$A96,Acuses!$B$5:$B$3004,AO$4,Acuses!$C$5:$C$3004,AO$5),AO$8)&lt;Resumen!$C$4,"Caducado",IF(EDATE(_xlfn.MAXIFS(Acuses!$D$5:$D$3004,Acuses!$A$5:$A$3004,$A96,Acuses!$B$5:$B$3004,AO$4,Acuses!$C$5:$C$3004,AO$5),AO$8)&lt;Resumen!$C$4+30,"Caduca pronto","OK"))))))</f>
        <v/>
      </c>
      <c r="AP96" s="26" t="str">
        <f aca="false">IF(OR($A96="",AP$4=""),"",IF(NOT(OR(AP$6="Toda la plantilla",ISNUMBER(SEARCH(";"&amp;SUBSTITUTE($C96," ","")&amp;";",";"&amp;SUBSTITUTE(AP$7," ","")&amp;";")))),"—",IF(_xlfn.MAXIFS(Acuses!$C$5:$C$3004,Acuses!$A$5:$A$3004,$A96,Acuses!$B$5:$B$3004,AP$4)&lt;AP$5,"Pendiente",IF(AP$8=0,"OK",IF(EDATE(_xlfn.MAXIFS(Acuses!$D$5:$D$3004,Acuses!$A$5:$A$3004,$A96,Acuses!$B$5:$B$3004,AP$4,Acuses!$C$5:$C$3004,AP$5),AP$8)&lt;Resumen!$C$4,"Caducado",IF(EDATE(_xlfn.MAXIFS(Acuses!$D$5:$D$3004,Acuses!$A$5:$A$3004,$A96,Acuses!$B$5:$B$3004,AP$4,Acuses!$C$5:$C$3004,AP$5),AP$8)&lt;Resumen!$C$4+30,"Caduca pronto","OK"))))))</f>
        <v/>
      </c>
      <c r="AQ96" s="26" t="str">
        <f aca="false">IF(OR($A96="",AQ$4=""),"",IF(NOT(OR(AQ$6="Toda la plantilla",ISNUMBER(SEARCH(";"&amp;SUBSTITUTE($C96," ","")&amp;";",";"&amp;SUBSTITUTE(AQ$7," ","")&amp;";")))),"—",IF(_xlfn.MAXIFS(Acuses!$C$5:$C$3004,Acuses!$A$5:$A$3004,$A96,Acuses!$B$5:$B$3004,AQ$4)&lt;AQ$5,"Pendiente",IF(AQ$8=0,"OK",IF(EDATE(_xlfn.MAXIFS(Acuses!$D$5:$D$3004,Acuses!$A$5:$A$3004,$A96,Acuses!$B$5:$B$3004,AQ$4,Acuses!$C$5:$C$3004,AQ$5),AQ$8)&lt;Resumen!$C$4,"Caducado",IF(EDATE(_xlfn.MAXIFS(Acuses!$D$5:$D$3004,Acuses!$A$5:$A$3004,$A96,Acuses!$B$5:$B$3004,AQ$4,Acuses!$C$5:$C$3004,AQ$5),AQ$8)&lt;Resumen!$C$4+30,"Caduca pronto","OK"))))))</f>
        <v/>
      </c>
    </row>
    <row r="97" customFormat="false" ht="15" hidden="false" customHeight="false" outlineLevel="0" collapsed="false">
      <c r="A97" s="25" t="str">
        <f aca="false">IF(AND(Trabajadores!$A$92&lt;&gt;"",Trabajadores!$G$92&lt;&gt;"No"),Trabajadores!$A$92,"")</f>
        <v/>
      </c>
      <c r="B97" s="25" t="str">
        <f aca="false">IF($A97="","",Trabajadores!$B$92)</f>
        <v/>
      </c>
      <c r="C97" s="25" t="str">
        <f aca="false">IF($A97="","",Trabajadores!$C$92)</f>
        <v/>
      </c>
      <c r="D97" s="26" t="str">
        <f aca="false">IF(OR($A97="",D$4=""),"",IF(NOT(OR(D$6="Toda la plantilla",ISNUMBER(SEARCH(";"&amp;SUBSTITUTE($C97," ","")&amp;";",";"&amp;SUBSTITUTE(D$7," ","")&amp;";")))),"—",IF(_xlfn.MAXIFS(Acuses!$C$5:$C$3004,Acuses!$A$5:$A$3004,$A97,Acuses!$B$5:$B$3004,D$4)&lt;D$5,"Pendiente",IF(D$8=0,"OK",IF(EDATE(_xlfn.MAXIFS(Acuses!$D$5:$D$3004,Acuses!$A$5:$A$3004,$A97,Acuses!$B$5:$B$3004,D$4,Acuses!$C$5:$C$3004,D$5),D$8)&lt;Resumen!$C$4,"Caducado",IF(EDATE(_xlfn.MAXIFS(Acuses!$D$5:$D$3004,Acuses!$A$5:$A$3004,$A97,Acuses!$B$5:$B$3004,D$4,Acuses!$C$5:$C$3004,D$5),D$8)&lt;Resumen!$C$4+30,"Caduca pronto","OK"))))))</f>
        <v/>
      </c>
      <c r="E97" s="26" t="str">
        <f aca="false">IF(OR($A97="",E$4=""),"",IF(NOT(OR(E$6="Toda la plantilla",ISNUMBER(SEARCH(";"&amp;SUBSTITUTE($C97," ","")&amp;";",";"&amp;SUBSTITUTE(E$7," ","")&amp;";")))),"—",IF(_xlfn.MAXIFS(Acuses!$C$5:$C$3004,Acuses!$A$5:$A$3004,$A97,Acuses!$B$5:$B$3004,E$4)&lt;E$5,"Pendiente",IF(E$8=0,"OK",IF(EDATE(_xlfn.MAXIFS(Acuses!$D$5:$D$3004,Acuses!$A$5:$A$3004,$A97,Acuses!$B$5:$B$3004,E$4,Acuses!$C$5:$C$3004,E$5),E$8)&lt;Resumen!$C$4,"Caducado",IF(EDATE(_xlfn.MAXIFS(Acuses!$D$5:$D$3004,Acuses!$A$5:$A$3004,$A97,Acuses!$B$5:$B$3004,E$4,Acuses!$C$5:$C$3004,E$5),E$8)&lt;Resumen!$C$4+30,"Caduca pronto","OK"))))))</f>
        <v/>
      </c>
      <c r="F97" s="26" t="str">
        <f aca="false">IF(OR($A97="",F$4=""),"",IF(NOT(OR(F$6="Toda la plantilla",ISNUMBER(SEARCH(";"&amp;SUBSTITUTE($C97," ","")&amp;";",";"&amp;SUBSTITUTE(F$7," ","")&amp;";")))),"—",IF(_xlfn.MAXIFS(Acuses!$C$5:$C$3004,Acuses!$A$5:$A$3004,$A97,Acuses!$B$5:$B$3004,F$4)&lt;F$5,"Pendiente",IF(F$8=0,"OK",IF(EDATE(_xlfn.MAXIFS(Acuses!$D$5:$D$3004,Acuses!$A$5:$A$3004,$A97,Acuses!$B$5:$B$3004,F$4,Acuses!$C$5:$C$3004,F$5),F$8)&lt;Resumen!$C$4,"Caducado",IF(EDATE(_xlfn.MAXIFS(Acuses!$D$5:$D$3004,Acuses!$A$5:$A$3004,$A97,Acuses!$B$5:$B$3004,F$4,Acuses!$C$5:$C$3004,F$5),F$8)&lt;Resumen!$C$4+30,"Caduca pronto","OK"))))))</f>
        <v/>
      </c>
      <c r="G97" s="26" t="str">
        <f aca="false">IF(OR($A97="",G$4=""),"",IF(NOT(OR(G$6="Toda la plantilla",ISNUMBER(SEARCH(";"&amp;SUBSTITUTE($C97," ","")&amp;";",";"&amp;SUBSTITUTE(G$7," ","")&amp;";")))),"—",IF(_xlfn.MAXIFS(Acuses!$C$5:$C$3004,Acuses!$A$5:$A$3004,$A97,Acuses!$B$5:$B$3004,G$4)&lt;G$5,"Pendiente",IF(G$8=0,"OK",IF(EDATE(_xlfn.MAXIFS(Acuses!$D$5:$D$3004,Acuses!$A$5:$A$3004,$A97,Acuses!$B$5:$B$3004,G$4,Acuses!$C$5:$C$3004,G$5),G$8)&lt;Resumen!$C$4,"Caducado",IF(EDATE(_xlfn.MAXIFS(Acuses!$D$5:$D$3004,Acuses!$A$5:$A$3004,$A97,Acuses!$B$5:$B$3004,G$4,Acuses!$C$5:$C$3004,G$5),G$8)&lt;Resumen!$C$4+30,"Caduca pronto","OK"))))))</f>
        <v/>
      </c>
      <c r="H97" s="26" t="str">
        <f aca="false">IF(OR($A97="",H$4=""),"",IF(NOT(OR(H$6="Toda la plantilla",ISNUMBER(SEARCH(";"&amp;SUBSTITUTE($C97," ","")&amp;";",";"&amp;SUBSTITUTE(H$7," ","")&amp;";")))),"—",IF(_xlfn.MAXIFS(Acuses!$C$5:$C$3004,Acuses!$A$5:$A$3004,$A97,Acuses!$B$5:$B$3004,H$4)&lt;H$5,"Pendiente",IF(H$8=0,"OK",IF(EDATE(_xlfn.MAXIFS(Acuses!$D$5:$D$3004,Acuses!$A$5:$A$3004,$A97,Acuses!$B$5:$B$3004,H$4,Acuses!$C$5:$C$3004,H$5),H$8)&lt;Resumen!$C$4,"Caducado",IF(EDATE(_xlfn.MAXIFS(Acuses!$D$5:$D$3004,Acuses!$A$5:$A$3004,$A97,Acuses!$B$5:$B$3004,H$4,Acuses!$C$5:$C$3004,H$5),H$8)&lt;Resumen!$C$4+30,"Caduca pronto","OK"))))))</f>
        <v/>
      </c>
      <c r="I97" s="26" t="str">
        <f aca="false">IF(OR($A97="",I$4=""),"",IF(NOT(OR(I$6="Toda la plantilla",ISNUMBER(SEARCH(";"&amp;SUBSTITUTE($C97," ","")&amp;";",";"&amp;SUBSTITUTE(I$7," ","")&amp;";")))),"—",IF(_xlfn.MAXIFS(Acuses!$C$5:$C$3004,Acuses!$A$5:$A$3004,$A97,Acuses!$B$5:$B$3004,I$4)&lt;I$5,"Pendiente",IF(I$8=0,"OK",IF(EDATE(_xlfn.MAXIFS(Acuses!$D$5:$D$3004,Acuses!$A$5:$A$3004,$A97,Acuses!$B$5:$B$3004,I$4,Acuses!$C$5:$C$3004,I$5),I$8)&lt;Resumen!$C$4,"Caducado",IF(EDATE(_xlfn.MAXIFS(Acuses!$D$5:$D$3004,Acuses!$A$5:$A$3004,$A97,Acuses!$B$5:$B$3004,I$4,Acuses!$C$5:$C$3004,I$5),I$8)&lt;Resumen!$C$4+30,"Caduca pronto","OK"))))))</f>
        <v/>
      </c>
      <c r="J97" s="26" t="str">
        <f aca="false">IF(OR($A97="",J$4=""),"",IF(NOT(OR(J$6="Toda la plantilla",ISNUMBER(SEARCH(";"&amp;SUBSTITUTE($C97," ","")&amp;";",";"&amp;SUBSTITUTE(J$7," ","")&amp;";")))),"—",IF(_xlfn.MAXIFS(Acuses!$C$5:$C$3004,Acuses!$A$5:$A$3004,$A97,Acuses!$B$5:$B$3004,J$4)&lt;J$5,"Pendiente",IF(J$8=0,"OK",IF(EDATE(_xlfn.MAXIFS(Acuses!$D$5:$D$3004,Acuses!$A$5:$A$3004,$A97,Acuses!$B$5:$B$3004,J$4,Acuses!$C$5:$C$3004,J$5),J$8)&lt;Resumen!$C$4,"Caducado",IF(EDATE(_xlfn.MAXIFS(Acuses!$D$5:$D$3004,Acuses!$A$5:$A$3004,$A97,Acuses!$B$5:$B$3004,J$4,Acuses!$C$5:$C$3004,J$5),J$8)&lt;Resumen!$C$4+30,"Caduca pronto","OK"))))))</f>
        <v/>
      </c>
      <c r="K97" s="26" t="str">
        <f aca="false">IF(OR($A97="",K$4=""),"",IF(NOT(OR(K$6="Toda la plantilla",ISNUMBER(SEARCH(";"&amp;SUBSTITUTE($C97," ","")&amp;";",";"&amp;SUBSTITUTE(K$7," ","")&amp;";")))),"—",IF(_xlfn.MAXIFS(Acuses!$C$5:$C$3004,Acuses!$A$5:$A$3004,$A97,Acuses!$B$5:$B$3004,K$4)&lt;K$5,"Pendiente",IF(K$8=0,"OK",IF(EDATE(_xlfn.MAXIFS(Acuses!$D$5:$D$3004,Acuses!$A$5:$A$3004,$A97,Acuses!$B$5:$B$3004,K$4,Acuses!$C$5:$C$3004,K$5),K$8)&lt;Resumen!$C$4,"Caducado",IF(EDATE(_xlfn.MAXIFS(Acuses!$D$5:$D$3004,Acuses!$A$5:$A$3004,$A97,Acuses!$B$5:$B$3004,K$4,Acuses!$C$5:$C$3004,K$5),K$8)&lt;Resumen!$C$4+30,"Caduca pronto","OK"))))))</f>
        <v/>
      </c>
      <c r="L97" s="26" t="str">
        <f aca="false">IF(OR($A97="",L$4=""),"",IF(NOT(OR(L$6="Toda la plantilla",ISNUMBER(SEARCH(";"&amp;SUBSTITUTE($C97," ","")&amp;";",";"&amp;SUBSTITUTE(L$7," ","")&amp;";")))),"—",IF(_xlfn.MAXIFS(Acuses!$C$5:$C$3004,Acuses!$A$5:$A$3004,$A97,Acuses!$B$5:$B$3004,L$4)&lt;L$5,"Pendiente",IF(L$8=0,"OK",IF(EDATE(_xlfn.MAXIFS(Acuses!$D$5:$D$3004,Acuses!$A$5:$A$3004,$A97,Acuses!$B$5:$B$3004,L$4,Acuses!$C$5:$C$3004,L$5),L$8)&lt;Resumen!$C$4,"Caducado",IF(EDATE(_xlfn.MAXIFS(Acuses!$D$5:$D$3004,Acuses!$A$5:$A$3004,$A97,Acuses!$B$5:$B$3004,L$4,Acuses!$C$5:$C$3004,L$5),L$8)&lt;Resumen!$C$4+30,"Caduca pronto","OK"))))))</f>
        <v/>
      </c>
      <c r="M97" s="26" t="str">
        <f aca="false">IF(OR($A97="",M$4=""),"",IF(NOT(OR(M$6="Toda la plantilla",ISNUMBER(SEARCH(";"&amp;SUBSTITUTE($C97," ","")&amp;";",";"&amp;SUBSTITUTE(M$7," ","")&amp;";")))),"—",IF(_xlfn.MAXIFS(Acuses!$C$5:$C$3004,Acuses!$A$5:$A$3004,$A97,Acuses!$B$5:$B$3004,M$4)&lt;M$5,"Pendiente",IF(M$8=0,"OK",IF(EDATE(_xlfn.MAXIFS(Acuses!$D$5:$D$3004,Acuses!$A$5:$A$3004,$A97,Acuses!$B$5:$B$3004,M$4,Acuses!$C$5:$C$3004,M$5),M$8)&lt;Resumen!$C$4,"Caducado",IF(EDATE(_xlfn.MAXIFS(Acuses!$D$5:$D$3004,Acuses!$A$5:$A$3004,$A97,Acuses!$B$5:$B$3004,M$4,Acuses!$C$5:$C$3004,M$5),M$8)&lt;Resumen!$C$4+30,"Caduca pronto","OK"))))))</f>
        <v/>
      </c>
      <c r="N97" s="26" t="str">
        <f aca="false">IF(OR($A97="",N$4=""),"",IF(NOT(OR(N$6="Toda la plantilla",ISNUMBER(SEARCH(";"&amp;SUBSTITUTE($C97," ","")&amp;";",";"&amp;SUBSTITUTE(N$7," ","")&amp;";")))),"—",IF(_xlfn.MAXIFS(Acuses!$C$5:$C$3004,Acuses!$A$5:$A$3004,$A97,Acuses!$B$5:$B$3004,N$4)&lt;N$5,"Pendiente",IF(N$8=0,"OK",IF(EDATE(_xlfn.MAXIFS(Acuses!$D$5:$D$3004,Acuses!$A$5:$A$3004,$A97,Acuses!$B$5:$B$3004,N$4,Acuses!$C$5:$C$3004,N$5),N$8)&lt;Resumen!$C$4,"Caducado",IF(EDATE(_xlfn.MAXIFS(Acuses!$D$5:$D$3004,Acuses!$A$5:$A$3004,$A97,Acuses!$B$5:$B$3004,N$4,Acuses!$C$5:$C$3004,N$5),N$8)&lt;Resumen!$C$4+30,"Caduca pronto","OK"))))))</f>
        <v/>
      </c>
      <c r="O97" s="26" t="str">
        <f aca="false">IF(OR($A97="",O$4=""),"",IF(NOT(OR(O$6="Toda la plantilla",ISNUMBER(SEARCH(";"&amp;SUBSTITUTE($C97," ","")&amp;";",";"&amp;SUBSTITUTE(O$7," ","")&amp;";")))),"—",IF(_xlfn.MAXIFS(Acuses!$C$5:$C$3004,Acuses!$A$5:$A$3004,$A97,Acuses!$B$5:$B$3004,O$4)&lt;O$5,"Pendiente",IF(O$8=0,"OK",IF(EDATE(_xlfn.MAXIFS(Acuses!$D$5:$D$3004,Acuses!$A$5:$A$3004,$A97,Acuses!$B$5:$B$3004,O$4,Acuses!$C$5:$C$3004,O$5),O$8)&lt;Resumen!$C$4,"Caducado",IF(EDATE(_xlfn.MAXIFS(Acuses!$D$5:$D$3004,Acuses!$A$5:$A$3004,$A97,Acuses!$B$5:$B$3004,O$4,Acuses!$C$5:$C$3004,O$5),O$8)&lt;Resumen!$C$4+30,"Caduca pronto","OK"))))))</f>
        <v/>
      </c>
      <c r="P97" s="26" t="str">
        <f aca="false">IF(OR($A97="",P$4=""),"",IF(NOT(OR(P$6="Toda la plantilla",ISNUMBER(SEARCH(";"&amp;SUBSTITUTE($C97," ","")&amp;";",";"&amp;SUBSTITUTE(P$7," ","")&amp;";")))),"—",IF(_xlfn.MAXIFS(Acuses!$C$5:$C$3004,Acuses!$A$5:$A$3004,$A97,Acuses!$B$5:$B$3004,P$4)&lt;P$5,"Pendiente",IF(P$8=0,"OK",IF(EDATE(_xlfn.MAXIFS(Acuses!$D$5:$D$3004,Acuses!$A$5:$A$3004,$A97,Acuses!$B$5:$B$3004,P$4,Acuses!$C$5:$C$3004,P$5),P$8)&lt;Resumen!$C$4,"Caducado",IF(EDATE(_xlfn.MAXIFS(Acuses!$D$5:$D$3004,Acuses!$A$5:$A$3004,$A97,Acuses!$B$5:$B$3004,P$4,Acuses!$C$5:$C$3004,P$5),P$8)&lt;Resumen!$C$4+30,"Caduca pronto","OK"))))))</f>
        <v/>
      </c>
      <c r="Q97" s="26" t="str">
        <f aca="false">IF(OR($A97="",Q$4=""),"",IF(NOT(OR(Q$6="Toda la plantilla",ISNUMBER(SEARCH(";"&amp;SUBSTITUTE($C97," ","")&amp;";",";"&amp;SUBSTITUTE(Q$7," ","")&amp;";")))),"—",IF(_xlfn.MAXIFS(Acuses!$C$5:$C$3004,Acuses!$A$5:$A$3004,$A97,Acuses!$B$5:$B$3004,Q$4)&lt;Q$5,"Pendiente",IF(Q$8=0,"OK",IF(EDATE(_xlfn.MAXIFS(Acuses!$D$5:$D$3004,Acuses!$A$5:$A$3004,$A97,Acuses!$B$5:$B$3004,Q$4,Acuses!$C$5:$C$3004,Q$5),Q$8)&lt;Resumen!$C$4,"Caducado",IF(EDATE(_xlfn.MAXIFS(Acuses!$D$5:$D$3004,Acuses!$A$5:$A$3004,$A97,Acuses!$B$5:$B$3004,Q$4,Acuses!$C$5:$C$3004,Q$5),Q$8)&lt;Resumen!$C$4+30,"Caduca pronto","OK"))))))</f>
        <v/>
      </c>
      <c r="R97" s="26" t="str">
        <f aca="false">IF(OR($A97="",R$4=""),"",IF(NOT(OR(R$6="Toda la plantilla",ISNUMBER(SEARCH(";"&amp;SUBSTITUTE($C97," ","")&amp;";",";"&amp;SUBSTITUTE(R$7," ","")&amp;";")))),"—",IF(_xlfn.MAXIFS(Acuses!$C$5:$C$3004,Acuses!$A$5:$A$3004,$A97,Acuses!$B$5:$B$3004,R$4)&lt;R$5,"Pendiente",IF(R$8=0,"OK",IF(EDATE(_xlfn.MAXIFS(Acuses!$D$5:$D$3004,Acuses!$A$5:$A$3004,$A97,Acuses!$B$5:$B$3004,R$4,Acuses!$C$5:$C$3004,R$5),R$8)&lt;Resumen!$C$4,"Caducado",IF(EDATE(_xlfn.MAXIFS(Acuses!$D$5:$D$3004,Acuses!$A$5:$A$3004,$A97,Acuses!$B$5:$B$3004,R$4,Acuses!$C$5:$C$3004,R$5),R$8)&lt;Resumen!$C$4+30,"Caduca pronto","OK"))))))</f>
        <v/>
      </c>
      <c r="S97" s="26" t="str">
        <f aca="false">IF(OR($A97="",S$4=""),"",IF(NOT(OR(S$6="Toda la plantilla",ISNUMBER(SEARCH(";"&amp;SUBSTITUTE($C97," ","")&amp;";",";"&amp;SUBSTITUTE(S$7," ","")&amp;";")))),"—",IF(_xlfn.MAXIFS(Acuses!$C$5:$C$3004,Acuses!$A$5:$A$3004,$A97,Acuses!$B$5:$B$3004,S$4)&lt;S$5,"Pendiente",IF(S$8=0,"OK",IF(EDATE(_xlfn.MAXIFS(Acuses!$D$5:$D$3004,Acuses!$A$5:$A$3004,$A97,Acuses!$B$5:$B$3004,S$4,Acuses!$C$5:$C$3004,S$5),S$8)&lt;Resumen!$C$4,"Caducado",IF(EDATE(_xlfn.MAXIFS(Acuses!$D$5:$D$3004,Acuses!$A$5:$A$3004,$A97,Acuses!$B$5:$B$3004,S$4,Acuses!$C$5:$C$3004,S$5),S$8)&lt;Resumen!$C$4+30,"Caduca pronto","OK"))))))</f>
        <v/>
      </c>
      <c r="T97" s="26" t="str">
        <f aca="false">IF(OR($A97="",T$4=""),"",IF(NOT(OR(T$6="Toda la plantilla",ISNUMBER(SEARCH(";"&amp;SUBSTITUTE($C97," ","")&amp;";",";"&amp;SUBSTITUTE(T$7," ","")&amp;";")))),"—",IF(_xlfn.MAXIFS(Acuses!$C$5:$C$3004,Acuses!$A$5:$A$3004,$A97,Acuses!$B$5:$B$3004,T$4)&lt;T$5,"Pendiente",IF(T$8=0,"OK",IF(EDATE(_xlfn.MAXIFS(Acuses!$D$5:$D$3004,Acuses!$A$5:$A$3004,$A97,Acuses!$B$5:$B$3004,T$4,Acuses!$C$5:$C$3004,T$5),T$8)&lt;Resumen!$C$4,"Caducado",IF(EDATE(_xlfn.MAXIFS(Acuses!$D$5:$D$3004,Acuses!$A$5:$A$3004,$A97,Acuses!$B$5:$B$3004,T$4,Acuses!$C$5:$C$3004,T$5),T$8)&lt;Resumen!$C$4+30,"Caduca pronto","OK"))))))</f>
        <v/>
      </c>
      <c r="U97" s="26" t="str">
        <f aca="false">IF(OR($A97="",U$4=""),"",IF(NOT(OR(U$6="Toda la plantilla",ISNUMBER(SEARCH(";"&amp;SUBSTITUTE($C97," ","")&amp;";",";"&amp;SUBSTITUTE(U$7," ","")&amp;";")))),"—",IF(_xlfn.MAXIFS(Acuses!$C$5:$C$3004,Acuses!$A$5:$A$3004,$A97,Acuses!$B$5:$B$3004,U$4)&lt;U$5,"Pendiente",IF(U$8=0,"OK",IF(EDATE(_xlfn.MAXIFS(Acuses!$D$5:$D$3004,Acuses!$A$5:$A$3004,$A97,Acuses!$B$5:$B$3004,U$4,Acuses!$C$5:$C$3004,U$5),U$8)&lt;Resumen!$C$4,"Caducado",IF(EDATE(_xlfn.MAXIFS(Acuses!$D$5:$D$3004,Acuses!$A$5:$A$3004,$A97,Acuses!$B$5:$B$3004,U$4,Acuses!$C$5:$C$3004,U$5),U$8)&lt;Resumen!$C$4+30,"Caduca pronto","OK"))))))</f>
        <v/>
      </c>
      <c r="V97" s="26" t="str">
        <f aca="false">IF(OR($A97="",V$4=""),"",IF(NOT(OR(V$6="Toda la plantilla",ISNUMBER(SEARCH(";"&amp;SUBSTITUTE($C97," ","")&amp;";",";"&amp;SUBSTITUTE(V$7," ","")&amp;";")))),"—",IF(_xlfn.MAXIFS(Acuses!$C$5:$C$3004,Acuses!$A$5:$A$3004,$A97,Acuses!$B$5:$B$3004,V$4)&lt;V$5,"Pendiente",IF(V$8=0,"OK",IF(EDATE(_xlfn.MAXIFS(Acuses!$D$5:$D$3004,Acuses!$A$5:$A$3004,$A97,Acuses!$B$5:$B$3004,V$4,Acuses!$C$5:$C$3004,V$5),V$8)&lt;Resumen!$C$4,"Caducado",IF(EDATE(_xlfn.MAXIFS(Acuses!$D$5:$D$3004,Acuses!$A$5:$A$3004,$A97,Acuses!$B$5:$B$3004,V$4,Acuses!$C$5:$C$3004,V$5),V$8)&lt;Resumen!$C$4+30,"Caduca pronto","OK"))))))</f>
        <v/>
      </c>
      <c r="W97" s="26" t="str">
        <f aca="false">IF(OR($A97="",W$4=""),"",IF(NOT(OR(W$6="Toda la plantilla",ISNUMBER(SEARCH(";"&amp;SUBSTITUTE($C97," ","")&amp;";",";"&amp;SUBSTITUTE(W$7," ","")&amp;";")))),"—",IF(_xlfn.MAXIFS(Acuses!$C$5:$C$3004,Acuses!$A$5:$A$3004,$A97,Acuses!$B$5:$B$3004,W$4)&lt;W$5,"Pendiente",IF(W$8=0,"OK",IF(EDATE(_xlfn.MAXIFS(Acuses!$D$5:$D$3004,Acuses!$A$5:$A$3004,$A97,Acuses!$B$5:$B$3004,W$4,Acuses!$C$5:$C$3004,W$5),W$8)&lt;Resumen!$C$4,"Caducado",IF(EDATE(_xlfn.MAXIFS(Acuses!$D$5:$D$3004,Acuses!$A$5:$A$3004,$A97,Acuses!$B$5:$B$3004,W$4,Acuses!$C$5:$C$3004,W$5),W$8)&lt;Resumen!$C$4+30,"Caduca pronto","OK"))))))</f>
        <v/>
      </c>
      <c r="X97" s="26" t="str">
        <f aca="false">IF(OR($A97="",X$4=""),"",IF(NOT(OR(X$6="Toda la plantilla",ISNUMBER(SEARCH(";"&amp;SUBSTITUTE($C97," ","")&amp;";",";"&amp;SUBSTITUTE(X$7," ","")&amp;";")))),"—",IF(_xlfn.MAXIFS(Acuses!$C$5:$C$3004,Acuses!$A$5:$A$3004,$A97,Acuses!$B$5:$B$3004,X$4)&lt;X$5,"Pendiente",IF(X$8=0,"OK",IF(EDATE(_xlfn.MAXIFS(Acuses!$D$5:$D$3004,Acuses!$A$5:$A$3004,$A97,Acuses!$B$5:$B$3004,X$4,Acuses!$C$5:$C$3004,X$5),X$8)&lt;Resumen!$C$4,"Caducado",IF(EDATE(_xlfn.MAXIFS(Acuses!$D$5:$D$3004,Acuses!$A$5:$A$3004,$A97,Acuses!$B$5:$B$3004,X$4,Acuses!$C$5:$C$3004,X$5),X$8)&lt;Resumen!$C$4+30,"Caduca pronto","OK"))))))</f>
        <v/>
      </c>
      <c r="Y97" s="26" t="str">
        <f aca="false">IF(OR($A97="",Y$4=""),"",IF(NOT(OR(Y$6="Toda la plantilla",ISNUMBER(SEARCH(";"&amp;SUBSTITUTE($C97," ","")&amp;";",";"&amp;SUBSTITUTE(Y$7," ","")&amp;";")))),"—",IF(_xlfn.MAXIFS(Acuses!$C$5:$C$3004,Acuses!$A$5:$A$3004,$A97,Acuses!$B$5:$B$3004,Y$4)&lt;Y$5,"Pendiente",IF(Y$8=0,"OK",IF(EDATE(_xlfn.MAXIFS(Acuses!$D$5:$D$3004,Acuses!$A$5:$A$3004,$A97,Acuses!$B$5:$B$3004,Y$4,Acuses!$C$5:$C$3004,Y$5),Y$8)&lt;Resumen!$C$4,"Caducado",IF(EDATE(_xlfn.MAXIFS(Acuses!$D$5:$D$3004,Acuses!$A$5:$A$3004,$A97,Acuses!$B$5:$B$3004,Y$4,Acuses!$C$5:$C$3004,Y$5),Y$8)&lt;Resumen!$C$4+30,"Caduca pronto","OK"))))))</f>
        <v/>
      </c>
      <c r="Z97" s="26" t="str">
        <f aca="false">IF(OR($A97="",Z$4=""),"",IF(NOT(OR(Z$6="Toda la plantilla",ISNUMBER(SEARCH(";"&amp;SUBSTITUTE($C97," ","")&amp;";",";"&amp;SUBSTITUTE(Z$7," ","")&amp;";")))),"—",IF(_xlfn.MAXIFS(Acuses!$C$5:$C$3004,Acuses!$A$5:$A$3004,$A97,Acuses!$B$5:$B$3004,Z$4)&lt;Z$5,"Pendiente",IF(Z$8=0,"OK",IF(EDATE(_xlfn.MAXIFS(Acuses!$D$5:$D$3004,Acuses!$A$5:$A$3004,$A97,Acuses!$B$5:$B$3004,Z$4,Acuses!$C$5:$C$3004,Z$5),Z$8)&lt;Resumen!$C$4,"Caducado",IF(EDATE(_xlfn.MAXIFS(Acuses!$D$5:$D$3004,Acuses!$A$5:$A$3004,$A97,Acuses!$B$5:$B$3004,Z$4,Acuses!$C$5:$C$3004,Z$5),Z$8)&lt;Resumen!$C$4+30,"Caduca pronto","OK"))))))</f>
        <v/>
      </c>
      <c r="AA97" s="26" t="str">
        <f aca="false">IF(OR($A97="",AA$4=""),"",IF(NOT(OR(AA$6="Toda la plantilla",ISNUMBER(SEARCH(";"&amp;SUBSTITUTE($C97," ","")&amp;";",";"&amp;SUBSTITUTE(AA$7," ","")&amp;";")))),"—",IF(_xlfn.MAXIFS(Acuses!$C$5:$C$3004,Acuses!$A$5:$A$3004,$A97,Acuses!$B$5:$B$3004,AA$4)&lt;AA$5,"Pendiente",IF(AA$8=0,"OK",IF(EDATE(_xlfn.MAXIFS(Acuses!$D$5:$D$3004,Acuses!$A$5:$A$3004,$A97,Acuses!$B$5:$B$3004,AA$4,Acuses!$C$5:$C$3004,AA$5),AA$8)&lt;Resumen!$C$4,"Caducado",IF(EDATE(_xlfn.MAXIFS(Acuses!$D$5:$D$3004,Acuses!$A$5:$A$3004,$A97,Acuses!$B$5:$B$3004,AA$4,Acuses!$C$5:$C$3004,AA$5),AA$8)&lt;Resumen!$C$4+30,"Caduca pronto","OK"))))))</f>
        <v/>
      </c>
      <c r="AB97" s="26" t="str">
        <f aca="false">IF(OR($A97="",AB$4=""),"",IF(NOT(OR(AB$6="Toda la plantilla",ISNUMBER(SEARCH(";"&amp;SUBSTITUTE($C97," ","")&amp;";",";"&amp;SUBSTITUTE(AB$7," ","")&amp;";")))),"—",IF(_xlfn.MAXIFS(Acuses!$C$5:$C$3004,Acuses!$A$5:$A$3004,$A97,Acuses!$B$5:$B$3004,AB$4)&lt;AB$5,"Pendiente",IF(AB$8=0,"OK",IF(EDATE(_xlfn.MAXIFS(Acuses!$D$5:$D$3004,Acuses!$A$5:$A$3004,$A97,Acuses!$B$5:$B$3004,AB$4,Acuses!$C$5:$C$3004,AB$5),AB$8)&lt;Resumen!$C$4,"Caducado",IF(EDATE(_xlfn.MAXIFS(Acuses!$D$5:$D$3004,Acuses!$A$5:$A$3004,$A97,Acuses!$B$5:$B$3004,AB$4,Acuses!$C$5:$C$3004,AB$5),AB$8)&lt;Resumen!$C$4+30,"Caduca pronto","OK"))))))</f>
        <v/>
      </c>
      <c r="AC97" s="26" t="str">
        <f aca="false">IF(OR($A97="",AC$4=""),"",IF(NOT(OR(AC$6="Toda la plantilla",ISNUMBER(SEARCH(";"&amp;SUBSTITUTE($C97," ","")&amp;";",";"&amp;SUBSTITUTE(AC$7," ","")&amp;";")))),"—",IF(_xlfn.MAXIFS(Acuses!$C$5:$C$3004,Acuses!$A$5:$A$3004,$A97,Acuses!$B$5:$B$3004,AC$4)&lt;AC$5,"Pendiente",IF(AC$8=0,"OK",IF(EDATE(_xlfn.MAXIFS(Acuses!$D$5:$D$3004,Acuses!$A$5:$A$3004,$A97,Acuses!$B$5:$B$3004,AC$4,Acuses!$C$5:$C$3004,AC$5),AC$8)&lt;Resumen!$C$4,"Caducado",IF(EDATE(_xlfn.MAXIFS(Acuses!$D$5:$D$3004,Acuses!$A$5:$A$3004,$A97,Acuses!$B$5:$B$3004,AC$4,Acuses!$C$5:$C$3004,AC$5),AC$8)&lt;Resumen!$C$4+30,"Caduca pronto","OK"))))))</f>
        <v/>
      </c>
      <c r="AD97" s="26" t="str">
        <f aca="false">IF(OR($A97="",AD$4=""),"",IF(NOT(OR(AD$6="Toda la plantilla",ISNUMBER(SEARCH(";"&amp;SUBSTITUTE($C97," ","")&amp;";",";"&amp;SUBSTITUTE(AD$7," ","")&amp;";")))),"—",IF(_xlfn.MAXIFS(Acuses!$C$5:$C$3004,Acuses!$A$5:$A$3004,$A97,Acuses!$B$5:$B$3004,AD$4)&lt;AD$5,"Pendiente",IF(AD$8=0,"OK",IF(EDATE(_xlfn.MAXIFS(Acuses!$D$5:$D$3004,Acuses!$A$5:$A$3004,$A97,Acuses!$B$5:$B$3004,AD$4,Acuses!$C$5:$C$3004,AD$5),AD$8)&lt;Resumen!$C$4,"Caducado",IF(EDATE(_xlfn.MAXIFS(Acuses!$D$5:$D$3004,Acuses!$A$5:$A$3004,$A97,Acuses!$B$5:$B$3004,AD$4,Acuses!$C$5:$C$3004,AD$5),AD$8)&lt;Resumen!$C$4+30,"Caduca pronto","OK"))))))</f>
        <v/>
      </c>
      <c r="AE97" s="26" t="str">
        <f aca="false">IF(OR($A97="",AE$4=""),"",IF(NOT(OR(AE$6="Toda la plantilla",ISNUMBER(SEARCH(";"&amp;SUBSTITUTE($C97," ","")&amp;";",";"&amp;SUBSTITUTE(AE$7," ","")&amp;";")))),"—",IF(_xlfn.MAXIFS(Acuses!$C$5:$C$3004,Acuses!$A$5:$A$3004,$A97,Acuses!$B$5:$B$3004,AE$4)&lt;AE$5,"Pendiente",IF(AE$8=0,"OK",IF(EDATE(_xlfn.MAXIFS(Acuses!$D$5:$D$3004,Acuses!$A$5:$A$3004,$A97,Acuses!$B$5:$B$3004,AE$4,Acuses!$C$5:$C$3004,AE$5),AE$8)&lt;Resumen!$C$4,"Caducado",IF(EDATE(_xlfn.MAXIFS(Acuses!$D$5:$D$3004,Acuses!$A$5:$A$3004,$A97,Acuses!$B$5:$B$3004,AE$4,Acuses!$C$5:$C$3004,AE$5),AE$8)&lt;Resumen!$C$4+30,"Caduca pronto","OK"))))))</f>
        <v/>
      </c>
      <c r="AF97" s="26" t="str">
        <f aca="false">IF(OR($A97="",AF$4=""),"",IF(NOT(OR(AF$6="Toda la plantilla",ISNUMBER(SEARCH(";"&amp;SUBSTITUTE($C97," ","")&amp;";",";"&amp;SUBSTITUTE(AF$7," ","")&amp;";")))),"—",IF(_xlfn.MAXIFS(Acuses!$C$5:$C$3004,Acuses!$A$5:$A$3004,$A97,Acuses!$B$5:$B$3004,AF$4)&lt;AF$5,"Pendiente",IF(AF$8=0,"OK",IF(EDATE(_xlfn.MAXIFS(Acuses!$D$5:$D$3004,Acuses!$A$5:$A$3004,$A97,Acuses!$B$5:$B$3004,AF$4,Acuses!$C$5:$C$3004,AF$5),AF$8)&lt;Resumen!$C$4,"Caducado",IF(EDATE(_xlfn.MAXIFS(Acuses!$D$5:$D$3004,Acuses!$A$5:$A$3004,$A97,Acuses!$B$5:$B$3004,AF$4,Acuses!$C$5:$C$3004,AF$5),AF$8)&lt;Resumen!$C$4+30,"Caduca pronto","OK"))))))</f>
        <v/>
      </c>
      <c r="AG97" s="26" t="str">
        <f aca="false">IF(OR($A97="",AG$4=""),"",IF(NOT(OR(AG$6="Toda la plantilla",ISNUMBER(SEARCH(";"&amp;SUBSTITUTE($C97," ","")&amp;";",";"&amp;SUBSTITUTE(AG$7," ","")&amp;";")))),"—",IF(_xlfn.MAXIFS(Acuses!$C$5:$C$3004,Acuses!$A$5:$A$3004,$A97,Acuses!$B$5:$B$3004,AG$4)&lt;AG$5,"Pendiente",IF(AG$8=0,"OK",IF(EDATE(_xlfn.MAXIFS(Acuses!$D$5:$D$3004,Acuses!$A$5:$A$3004,$A97,Acuses!$B$5:$B$3004,AG$4,Acuses!$C$5:$C$3004,AG$5),AG$8)&lt;Resumen!$C$4,"Caducado",IF(EDATE(_xlfn.MAXIFS(Acuses!$D$5:$D$3004,Acuses!$A$5:$A$3004,$A97,Acuses!$B$5:$B$3004,AG$4,Acuses!$C$5:$C$3004,AG$5),AG$8)&lt;Resumen!$C$4+30,"Caduca pronto","OK"))))))</f>
        <v/>
      </c>
      <c r="AH97" s="26" t="str">
        <f aca="false">IF(OR($A97="",AH$4=""),"",IF(NOT(OR(AH$6="Toda la plantilla",ISNUMBER(SEARCH(";"&amp;SUBSTITUTE($C97," ","")&amp;";",";"&amp;SUBSTITUTE(AH$7," ","")&amp;";")))),"—",IF(_xlfn.MAXIFS(Acuses!$C$5:$C$3004,Acuses!$A$5:$A$3004,$A97,Acuses!$B$5:$B$3004,AH$4)&lt;AH$5,"Pendiente",IF(AH$8=0,"OK",IF(EDATE(_xlfn.MAXIFS(Acuses!$D$5:$D$3004,Acuses!$A$5:$A$3004,$A97,Acuses!$B$5:$B$3004,AH$4,Acuses!$C$5:$C$3004,AH$5),AH$8)&lt;Resumen!$C$4,"Caducado",IF(EDATE(_xlfn.MAXIFS(Acuses!$D$5:$D$3004,Acuses!$A$5:$A$3004,$A97,Acuses!$B$5:$B$3004,AH$4,Acuses!$C$5:$C$3004,AH$5),AH$8)&lt;Resumen!$C$4+30,"Caduca pronto","OK"))))))</f>
        <v/>
      </c>
      <c r="AI97" s="26" t="str">
        <f aca="false">IF(OR($A97="",AI$4=""),"",IF(NOT(OR(AI$6="Toda la plantilla",ISNUMBER(SEARCH(";"&amp;SUBSTITUTE($C97," ","")&amp;";",";"&amp;SUBSTITUTE(AI$7," ","")&amp;";")))),"—",IF(_xlfn.MAXIFS(Acuses!$C$5:$C$3004,Acuses!$A$5:$A$3004,$A97,Acuses!$B$5:$B$3004,AI$4)&lt;AI$5,"Pendiente",IF(AI$8=0,"OK",IF(EDATE(_xlfn.MAXIFS(Acuses!$D$5:$D$3004,Acuses!$A$5:$A$3004,$A97,Acuses!$B$5:$B$3004,AI$4,Acuses!$C$5:$C$3004,AI$5),AI$8)&lt;Resumen!$C$4,"Caducado",IF(EDATE(_xlfn.MAXIFS(Acuses!$D$5:$D$3004,Acuses!$A$5:$A$3004,$A97,Acuses!$B$5:$B$3004,AI$4,Acuses!$C$5:$C$3004,AI$5),AI$8)&lt;Resumen!$C$4+30,"Caduca pronto","OK"))))))</f>
        <v/>
      </c>
      <c r="AJ97" s="26" t="str">
        <f aca="false">IF(OR($A97="",AJ$4=""),"",IF(NOT(OR(AJ$6="Toda la plantilla",ISNUMBER(SEARCH(";"&amp;SUBSTITUTE($C97," ","")&amp;";",";"&amp;SUBSTITUTE(AJ$7," ","")&amp;";")))),"—",IF(_xlfn.MAXIFS(Acuses!$C$5:$C$3004,Acuses!$A$5:$A$3004,$A97,Acuses!$B$5:$B$3004,AJ$4)&lt;AJ$5,"Pendiente",IF(AJ$8=0,"OK",IF(EDATE(_xlfn.MAXIFS(Acuses!$D$5:$D$3004,Acuses!$A$5:$A$3004,$A97,Acuses!$B$5:$B$3004,AJ$4,Acuses!$C$5:$C$3004,AJ$5),AJ$8)&lt;Resumen!$C$4,"Caducado",IF(EDATE(_xlfn.MAXIFS(Acuses!$D$5:$D$3004,Acuses!$A$5:$A$3004,$A97,Acuses!$B$5:$B$3004,AJ$4,Acuses!$C$5:$C$3004,AJ$5),AJ$8)&lt;Resumen!$C$4+30,"Caduca pronto","OK"))))))</f>
        <v/>
      </c>
      <c r="AK97" s="26" t="str">
        <f aca="false">IF(OR($A97="",AK$4=""),"",IF(NOT(OR(AK$6="Toda la plantilla",ISNUMBER(SEARCH(";"&amp;SUBSTITUTE($C97," ","")&amp;";",";"&amp;SUBSTITUTE(AK$7," ","")&amp;";")))),"—",IF(_xlfn.MAXIFS(Acuses!$C$5:$C$3004,Acuses!$A$5:$A$3004,$A97,Acuses!$B$5:$B$3004,AK$4)&lt;AK$5,"Pendiente",IF(AK$8=0,"OK",IF(EDATE(_xlfn.MAXIFS(Acuses!$D$5:$D$3004,Acuses!$A$5:$A$3004,$A97,Acuses!$B$5:$B$3004,AK$4,Acuses!$C$5:$C$3004,AK$5),AK$8)&lt;Resumen!$C$4,"Caducado",IF(EDATE(_xlfn.MAXIFS(Acuses!$D$5:$D$3004,Acuses!$A$5:$A$3004,$A97,Acuses!$B$5:$B$3004,AK$4,Acuses!$C$5:$C$3004,AK$5),AK$8)&lt;Resumen!$C$4+30,"Caduca pronto","OK"))))))</f>
        <v/>
      </c>
      <c r="AL97" s="26" t="str">
        <f aca="false">IF(OR($A97="",AL$4=""),"",IF(NOT(OR(AL$6="Toda la plantilla",ISNUMBER(SEARCH(";"&amp;SUBSTITUTE($C97," ","")&amp;";",";"&amp;SUBSTITUTE(AL$7," ","")&amp;";")))),"—",IF(_xlfn.MAXIFS(Acuses!$C$5:$C$3004,Acuses!$A$5:$A$3004,$A97,Acuses!$B$5:$B$3004,AL$4)&lt;AL$5,"Pendiente",IF(AL$8=0,"OK",IF(EDATE(_xlfn.MAXIFS(Acuses!$D$5:$D$3004,Acuses!$A$5:$A$3004,$A97,Acuses!$B$5:$B$3004,AL$4,Acuses!$C$5:$C$3004,AL$5),AL$8)&lt;Resumen!$C$4,"Caducado",IF(EDATE(_xlfn.MAXIFS(Acuses!$D$5:$D$3004,Acuses!$A$5:$A$3004,$A97,Acuses!$B$5:$B$3004,AL$4,Acuses!$C$5:$C$3004,AL$5),AL$8)&lt;Resumen!$C$4+30,"Caduca pronto","OK"))))))</f>
        <v/>
      </c>
      <c r="AM97" s="26" t="str">
        <f aca="false">IF(OR($A97="",AM$4=""),"",IF(NOT(OR(AM$6="Toda la plantilla",ISNUMBER(SEARCH(";"&amp;SUBSTITUTE($C97," ","")&amp;";",";"&amp;SUBSTITUTE(AM$7," ","")&amp;";")))),"—",IF(_xlfn.MAXIFS(Acuses!$C$5:$C$3004,Acuses!$A$5:$A$3004,$A97,Acuses!$B$5:$B$3004,AM$4)&lt;AM$5,"Pendiente",IF(AM$8=0,"OK",IF(EDATE(_xlfn.MAXIFS(Acuses!$D$5:$D$3004,Acuses!$A$5:$A$3004,$A97,Acuses!$B$5:$B$3004,AM$4,Acuses!$C$5:$C$3004,AM$5),AM$8)&lt;Resumen!$C$4,"Caducado",IF(EDATE(_xlfn.MAXIFS(Acuses!$D$5:$D$3004,Acuses!$A$5:$A$3004,$A97,Acuses!$B$5:$B$3004,AM$4,Acuses!$C$5:$C$3004,AM$5),AM$8)&lt;Resumen!$C$4+30,"Caduca pronto","OK"))))))</f>
        <v/>
      </c>
      <c r="AN97" s="26" t="str">
        <f aca="false">IF(OR($A97="",AN$4=""),"",IF(NOT(OR(AN$6="Toda la plantilla",ISNUMBER(SEARCH(";"&amp;SUBSTITUTE($C97," ","")&amp;";",";"&amp;SUBSTITUTE(AN$7," ","")&amp;";")))),"—",IF(_xlfn.MAXIFS(Acuses!$C$5:$C$3004,Acuses!$A$5:$A$3004,$A97,Acuses!$B$5:$B$3004,AN$4)&lt;AN$5,"Pendiente",IF(AN$8=0,"OK",IF(EDATE(_xlfn.MAXIFS(Acuses!$D$5:$D$3004,Acuses!$A$5:$A$3004,$A97,Acuses!$B$5:$B$3004,AN$4,Acuses!$C$5:$C$3004,AN$5),AN$8)&lt;Resumen!$C$4,"Caducado",IF(EDATE(_xlfn.MAXIFS(Acuses!$D$5:$D$3004,Acuses!$A$5:$A$3004,$A97,Acuses!$B$5:$B$3004,AN$4,Acuses!$C$5:$C$3004,AN$5),AN$8)&lt;Resumen!$C$4+30,"Caduca pronto","OK"))))))</f>
        <v/>
      </c>
      <c r="AO97" s="26" t="str">
        <f aca="false">IF(OR($A97="",AO$4=""),"",IF(NOT(OR(AO$6="Toda la plantilla",ISNUMBER(SEARCH(";"&amp;SUBSTITUTE($C97," ","")&amp;";",";"&amp;SUBSTITUTE(AO$7," ","")&amp;";")))),"—",IF(_xlfn.MAXIFS(Acuses!$C$5:$C$3004,Acuses!$A$5:$A$3004,$A97,Acuses!$B$5:$B$3004,AO$4)&lt;AO$5,"Pendiente",IF(AO$8=0,"OK",IF(EDATE(_xlfn.MAXIFS(Acuses!$D$5:$D$3004,Acuses!$A$5:$A$3004,$A97,Acuses!$B$5:$B$3004,AO$4,Acuses!$C$5:$C$3004,AO$5),AO$8)&lt;Resumen!$C$4,"Caducado",IF(EDATE(_xlfn.MAXIFS(Acuses!$D$5:$D$3004,Acuses!$A$5:$A$3004,$A97,Acuses!$B$5:$B$3004,AO$4,Acuses!$C$5:$C$3004,AO$5),AO$8)&lt;Resumen!$C$4+30,"Caduca pronto","OK"))))))</f>
        <v/>
      </c>
      <c r="AP97" s="26" t="str">
        <f aca="false">IF(OR($A97="",AP$4=""),"",IF(NOT(OR(AP$6="Toda la plantilla",ISNUMBER(SEARCH(";"&amp;SUBSTITUTE($C97," ","")&amp;";",";"&amp;SUBSTITUTE(AP$7," ","")&amp;";")))),"—",IF(_xlfn.MAXIFS(Acuses!$C$5:$C$3004,Acuses!$A$5:$A$3004,$A97,Acuses!$B$5:$B$3004,AP$4)&lt;AP$5,"Pendiente",IF(AP$8=0,"OK",IF(EDATE(_xlfn.MAXIFS(Acuses!$D$5:$D$3004,Acuses!$A$5:$A$3004,$A97,Acuses!$B$5:$B$3004,AP$4,Acuses!$C$5:$C$3004,AP$5),AP$8)&lt;Resumen!$C$4,"Caducado",IF(EDATE(_xlfn.MAXIFS(Acuses!$D$5:$D$3004,Acuses!$A$5:$A$3004,$A97,Acuses!$B$5:$B$3004,AP$4,Acuses!$C$5:$C$3004,AP$5),AP$8)&lt;Resumen!$C$4+30,"Caduca pronto","OK"))))))</f>
        <v/>
      </c>
      <c r="AQ97" s="26" t="str">
        <f aca="false">IF(OR($A97="",AQ$4=""),"",IF(NOT(OR(AQ$6="Toda la plantilla",ISNUMBER(SEARCH(";"&amp;SUBSTITUTE($C97," ","")&amp;";",";"&amp;SUBSTITUTE(AQ$7," ","")&amp;";")))),"—",IF(_xlfn.MAXIFS(Acuses!$C$5:$C$3004,Acuses!$A$5:$A$3004,$A97,Acuses!$B$5:$B$3004,AQ$4)&lt;AQ$5,"Pendiente",IF(AQ$8=0,"OK",IF(EDATE(_xlfn.MAXIFS(Acuses!$D$5:$D$3004,Acuses!$A$5:$A$3004,$A97,Acuses!$B$5:$B$3004,AQ$4,Acuses!$C$5:$C$3004,AQ$5),AQ$8)&lt;Resumen!$C$4,"Caducado",IF(EDATE(_xlfn.MAXIFS(Acuses!$D$5:$D$3004,Acuses!$A$5:$A$3004,$A97,Acuses!$B$5:$B$3004,AQ$4,Acuses!$C$5:$C$3004,AQ$5),AQ$8)&lt;Resumen!$C$4+30,"Caduca pronto","OK"))))))</f>
        <v/>
      </c>
    </row>
    <row r="98" customFormat="false" ht="15" hidden="false" customHeight="false" outlineLevel="0" collapsed="false">
      <c r="A98" s="25" t="str">
        <f aca="false">IF(AND(Trabajadores!$A$93&lt;&gt;"",Trabajadores!$G$93&lt;&gt;"No"),Trabajadores!$A$93,"")</f>
        <v/>
      </c>
      <c r="B98" s="25" t="str">
        <f aca="false">IF($A98="","",Trabajadores!$B$93)</f>
        <v/>
      </c>
      <c r="C98" s="25" t="str">
        <f aca="false">IF($A98="","",Trabajadores!$C$93)</f>
        <v/>
      </c>
      <c r="D98" s="26" t="str">
        <f aca="false">IF(OR($A98="",D$4=""),"",IF(NOT(OR(D$6="Toda la plantilla",ISNUMBER(SEARCH(";"&amp;SUBSTITUTE($C98," ","")&amp;";",";"&amp;SUBSTITUTE(D$7," ","")&amp;";")))),"—",IF(_xlfn.MAXIFS(Acuses!$C$5:$C$3004,Acuses!$A$5:$A$3004,$A98,Acuses!$B$5:$B$3004,D$4)&lt;D$5,"Pendiente",IF(D$8=0,"OK",IF(EDATE(_xlfn.MAXIFS(Acuses!$D$5:$D$3004,Acuses!$A$5:$A$3004,$A98,Acuses!$B$5:$B$3004,D$4,Acuses!$C$5:$C$3004,D$5),D$8)&lt;Resumen!$C$4,"Caducado",IF(EDATE(_xlfn.MAXIFS(Acuses!$D$5:$D$3004,Acuses!$A$5:$A$3004,$A98,Acuses!$B$5:$B$3004,D$4,Acuses!$C$5:$C$3004,D$5),D$8)&lt;Resumen!$C$4+30,"Caduca pronto","OK"))))))</f>
        <v/>
      </c>
      <c r="E98" s="26" t="str">
        <f aca="false">IF(OR($A98="",E$4=""),"",IF(NOT(OR(E$6="Toda la plantilla",ISNUMBER(SEARCH(";"&amp;SUBSTITUTE($C98," ","")&amp;";",";"&amp;SUBSTITUTE(E$7," ","")&amp;";")))),"—",IF(_xlfn.MAXIFS(Acuses!$C$5:$C$3004,Acuses!$A$5:$A$3004,$A98,Acuses!$B$5:$B$3004,E$4)&lt;E$5,"Pendiente",IF(E$8=0,"OK",IF(EDATE(_xlfn.MAXIFS(Acuses!$D$5:$D$3004,Acuses!$A$5:$A$3004,$A98,Acuses!$B$5:$B$3004,E$4,Acuses!$C$5:$C$3004,E$5),E$8)&lt;Resumen!$C$4,"Caducado",IF(EDATE(_xlfn.MAXIFS(Acuses!$D$5:$D$3004,Acuses!$A$5:$A$3004,$A98,Acuses!$B$5:$B$3004,E$4,Acuses!$C$5:$C$3004,E$5),E$8)&lt;Resumen!$C$4+30,"Caduca pronto","OK"))))))</f>
        <v/>
      </c>
      <c r="F98" s="26" t="str">
        <f aca="false">IF(OR($A98="",F$4=""),"",IF(NOT(OR(F$6="Toda la plantilla",ISNUMBER(SEARCH(";"&amp;SUBSTITUTE($C98," ","")&amp;";",";"&amp;SUBSTITUTE(F$7," ","")&amp;";")))),"—",IF(_xlfn.MAXIFS(Acuses!$C$5:$C$3004,Acuses!$A$5:$A$3004,$A98,Acuses!$B$5:$B$3004,F$4)&lt;F$5,"Pendiente",IF(F$8=0,"OK",IF(EDATE(_xlfn.MAXIFS(Acuses!$D$5:$D$3004,Acuses!$A$5:$A$3004,$A98,Acuses!$B$5:$B$3004,F$4,Acuses!$C$5:$C$3004,F$5),F$8)&lt;Resumen!$C$4,"Caducado",IF(EDATE(_xlfn.MAXIFS(Acuses!$D$5:$D$3004,Acuses!$A$5:$A$3004,$A98,Acuses!$B$5:$B$3004,F$4,Acuses!$C$5:$C$3004,F$5),F$8)&lt;Resumen!$C$4+30,"Caduca pronto","OK"))))))</f>
        <v/>
      </c>
      <c r="G98" s="26" t="str">
        <f aca="false">IF(OR($A98="",G$4=""),"",IF(NOT(OR(G$6="Toda la plantilla",ISNUMBER(SEARCH(";"&amp;SUBSTITUTE($C98," ","")&amp;";",";"&amp;SUBSTITUTE(G$7," ","")&amp;";")))),"—",IF(_xlfn.MAXIFS(Acuses!$C$5:$C$3004,Acuses!$A$5:$A$3004,$A98,Acuses!$B$5:$B$3004,G$4)&lt;G$5,"Pendiente",IF(G$8=0,"OK",IF(EDATE(_xlfn.MAXIFS(Acuses!$D$5:$D$3004,Acuses!$A$5:$A$3004,$A98,Acuses!$B$5:$B$3004,G$4,Acuses!$C$5:$C$3004,G$5),G$8)&lt;Resumen!$C$4,"Caducado",IF(EDATE(_xlfn.MAXIFS(Acuses!$D$5:$D$3004,Acuses!$A$5:$A$3004,$A98,Acuses!$B$5:$B$3004,G$4,Acuses!$C$5:$C$3004,G$5),G$8)&lt;Resumen!$C$4+30,"Caduca pronto","OK"))))))</f>
        <v/>
      </c>
      <c r="H98" s="26" t="str">
        <f aca="false">IF(OR($A98="",H$4=""),"",IF(NOT(OR(H$6="Toda la plantilla",ISNUMBER(SEARCH(";"&amp;SUBSTITUTE($C98," ","")&amp;";",";"&amp;SUBSTITUTE(H$7," ","")&amp;";")))),"—",IF(_xlfn.MAXIFS(Acuses!$C$5:$C$3004,Acuses!$A$5:$A$3004,$A98,Acuses!$B$5:$B$3004,H$4)&lt;H$5,"Pendiente",IF(H$8=0,"OK",IF(EDATE(_xlfn.MAXIFS(Acuses!$D$5:$D$3004,Acuses!$A$5:$A$3004,$A98,Acuses!$B$5:$B$3004,H$4,Acuses!$C$5:$C$3004,H$5),H$8)&lt;Resumen!$C$4,"Caducado",IF(EDATE(_xlfn.MAXIFS(Acuses!$D$5:$D$3004,Acuses!$A$5:$A$3004,$A98,Acuses!$B$5:$B$3004,H$4,Acuses!$C$5:$C$3004,H$5),H$8)&lt;Resumen!$C$4+30,"Caduca pronto","OK"))))))</f>
        <v/>
      </c>
      <c r="I98" s="26" t="str">
        <f aca="false">IF(OR($A98="",I$4=""),"",IF(NOT(OR(I$6="Toda la plantilla",ISNUMBER(SEARCH(";"&amp;SUBSTITUTE($C98," ","")&amp;";",";"&amp;SUBSTITUTE(I$7," ","")&amp;";")))),"—",IF(_xlfn.MAXIFS(Acuses!$C$5:$C$3004,Acuses!$A$5:$A$3004,$A98,Acuses!$B$5:$B$3004,I$4)&lt;I$5,"Pendiente",IF(I$8=0,"OK",IF(EDATE(_xlfn.MAXIFS(Acuses!$D$5:$D$3004,Acuses!$A$5:$A$3004,$A98,Acuses!$B$5:$B$3004,I$4,Acuses!$C$5:$C$3004,I$5),I$8)&lt;Resumen!$C$4,"Caducado",IF(EDATE(_xlfn.MAXIFS(Acuses!$D$5:$D$3004,Acuses!$A$5:$A$3004,$A98,Acuses!$B$5:$B$3004,I$4,Acuses!$C$5:$C$3004,I$5),I$8)&lt;Resumen!$C$4+30,"Caduca pronto","OK"))))))</f>
        <v/>
      </c>
      <c r="J98" s="26" t="str">
        <f aca="false">IF(OR($A98="",J$4=""),"",IF(NOT(OR(J$6="Toda la plantilla",ISNUMBER(SEARCH(";"&amp;SUBSTITUTE($C98," ","")&amp;";",";"&amp;SUBSTITUTE(J$7," ","")&amp;";")))),"—",IF(_xlfn.MAXIFS(Acuses!$C$5:$C$3004,Acuses!$A$5:$A$3004,$A98,Acuses!$B$5:$B$3004,J$4)&lt;J$5,"Pendiente",IF(J$8=0,"OK",IF(EDATE(_xlfn.MAXIFS(Acuses!$D$5:$D$3004,Acuses!$A$5:$A$3004,$A98,Acuses!$B$5:$B$3004,J$4,Acuses!$C$5:$C$3004,J$5),J$8)&lt;Resumen!$C$4,"Caducado",IF(EDATE(_xlfn.MAXIFS(Acuses!$D$5:$D$3004,Acuses!$A$5:$A$3004,$A98,Acuses!$B$5:$B$3004,J$4,Acuses!$C$5:$C$3004,J$5),J$8)&lt;Resumen!$C$4+30,"Caduca pronto","OK"))))))</f>
        <v/>
      </c>
      <c r="K98" s="26" t="str">
        <f aca="false">IF(OR($A98="",K$4=""),"",IF(NOT(OR(K$6="Toda la plantilla",ISNUMBER(SEARCH(";"&amp;SUBSTITUTE($C98," ","")&amp;";",";"&amp;SUBSTITUTE(K$7," ","")&amp;";")))),"—",IF(_xlfn.MAXIFS(Acuses!$C$5:$C$3004,Acuses!$A$5:$A$3004,$A98,Acuses!$B$5:$B$3004,K$4)&lt;K$5,"Pendiente",IF(K$8=0,"OK",IF(EDATE(_xlfn.MAXIFS(Acuses!$D$5:$D$3004,Acuses!$A$5:$A$3004,$A98,Acuses!$B$5:$B$3004,K$4,Acuses!$C$5:$C$3004,K$5),K$8)&lt;Resumen!$C$4,"Caducado",IF(EDATE(_xlfn.MAXIFS(Acuses!$D$5:$D$3004,Acuses!$A$5:$A$3004,$A98,Acuses!$B$5:$B$3004,K$4,Acuses!$C$5:$C$3004,K$5),K$8)&lt;Resumen!$C$4+30,"Caduca pronto","OK"))))))</f>
        <v/>
      </c>
      <c r="L98" s="26" t="str">
        <f aca="false">IF(OR($A98="",L$4=""),"",IF(NOT(OR(L$6="Toda la plantilla",ISNUMBER(SEARCH(";"&amp;SUBSTITUTE($C98," ","")&amp;";",";"&amp;SUBSTITUTE(L$7," ","")&amp;";")))),"—",IF(_xlfn.MAXIFS(Acuses!$C$5:$C$3004,Acuses!$A$5:$A$3004,$A98,Acuses!$B$5:$B$3004,L$4)&lt;L$5,"Pendiente",IF(L$8=0,"OK",IF(EDATE(_xlfn.MAXIFS(Acuses!$D$5:$D$3004,Acuses!$A$5:$A$3004,$A98,Acuses!$B$5:$B$3004,L$4,Acuses!$C$5:$C$3004,L$5),L$8)&lt;Resumen!$C$4,"Caducado",IF(EDATE(_xlfn.MAXIFS(Acuses!$D$5:$D$3004,Acuses!$A$5:$A$3004,$A98,Acuses!$B$5:$B$3004,L$4,Acuses!$C$5:$C$3004,L$5),L$8)&lt;Resumen!$C$4+30,"Caduca pronto","OK"))))))</f>
        <v/>
      </c>
      <c r="M98" s="26" t="str">
        <f aca="false">IF(OR($A98="",M$4=""),"",IF(NOT(OR(M$6="Toda la plantilla",ISNUMBER(SEARCH(";"&amp;SUBSTITUTE($C98," ","")&amp;";",";"&amp;SUBSTITUTE(M$7," ","")&amp;";")))),"—",IF(_xlfn.MAXIFS(Acuses!$C$5:$C$3004,Acuses!$A$5:$A$3004,$A98,Acuses!$B$5:$B$3004,M$4)&lt;M$5,"Pendiente",IF(M$8=0,"OK",IF(EDATE(_xlfn.MAXIFS(Acuses!$D$5:$D$3004,Acuses!$A$5:$A$3004,$A98,Acuses!$B$5:$B$3004,M$4,Acuses!$C$5:$C$3004,M$5),M$8)&lt;Resumen!$C$4,"Caducado",IF(EDATE(_xlfn.MAXIFS(Acuses!$D$5:$D$3004,Acuses!$A$5:$A$3004,$A98,Acuses!$B$5:$B$3004,M$4,Acuses!$C$5:$C$3004,M$5),M$8)&lt;Resumen!$C$4+30,"Caduca pronto","OK"))))))</f>
        <v/>
      </c>
      <c r="N98" s="26" t="str">
        <f aca="false">IF(OR($A98="",N$4=""),"",IF(NOT(OR(N$6="Toda la plantilla",ISNUMBER(SEARCH(";"&amp;SUBSTITUTE($C98," ","")&amp;";",";"&amp;SUBSTITUTE(N$7," ","")&amp;";")))),"—",IF(_xlfn.MAXIFS(Acuses!$C$5:$C$3004,Acuses!$A$5:$A$3004,$A98,Acuses!$B$5:$B$3004,N$4)&lt;N$5,"Pendiente",IF(N$8=0,"OK",IF(EDATE(_xlfn.MAXIFS(Acuses!$D$5:$D$3004,Acuses!$A$5:$A$3004,$A98,Acuses!$B$5:$B$3004,N$4,Acuses!$C$5:$C$3004,N$5),N$8)&lt;Resumen!$C$4,"Caducado",IF(EDATE(_xlfn.MAXIFS(Acuses!$D$5:$D$3004,Acuses!$A$5:$A$3004,$A98,Acuses!$B$5:$B$3004,N$4,Acuses!$C$5:$C$3004,N$5),N$8)&lt;Resumen!$C$4+30,"Caduca pronto","OK"))))))</f>
        <v/>
      </c>
      <c r="O98" s="26" t="str">
        <f aca="false">IF(OR($A98="",O$4=""),"",IF(NOT(OR(O$6="Toda la plantilla",ISNUMBER(SEARCH(";"&amp;SUBSTITUTE($C98," ","")&amp;";",";"&amp;SUBSTITUTE(O$7," ","")&amp;";")))),"—",IF(_xlfn.MAXIFS(Acuses!$C$5:$C$3004,Acuses!$A$5:$A$3004,$A98,Acuses!$B$5:$B$3004,O$4)&lt;O$5,"Pendiente",IF(O$8=0,"OK",IF(EDATE(_xlfn.MAXIFS(Acuses!$D$5:$D$3004,Acuses!$A$5:$A$3004,$A98,Acuses!$B$5:$B$3004,O$4,Acuses!$C$5:$C$3004,O$5),O$8)&lt;Resumen!$C$4,"Caducado",IF(EDATE(_xlfn.MAXIFS(Acuses!$D$5:$D$3004,Acuses!$A$5:$A$3004,$A98,Acuses!$B$5:$B$3004,O$4,Acuses!$C$5:$C$3004,O$5),O$8)&lt;Resumen!$C$4+30,"Caduca pronto","OK"))))))</f>
        <v/>
      </c>
      <c r="P98" s="26" t="str">
        <f aca="false">IF(OR($A98="",P$4=""),"",IF(NOT(OR(P$6="Toda la plantilla",ISNUMBER(SEARCH(";"&amp;SUBSTITUTE($C98," ","")&amp;";",";"&amp;SUBSTITUTE(P$7," ","")&amp;";")))),"—",IF(_xlfn.MAXIFS(Acuses!$C$5:$C$3004,Acuses!$A$5:$A$3004,$A98,Acuses!$B$5:$B$3004,P$4)&lt;P$5,"Pendiente",IF(P$8=0,"OK",IF(EDATE(_xlfn.MAXIFS(Acuses!$D$5:$D$3004,Acuses!$A$5:$A$3004,$A98,Acuses!$B$5:$B$3004,P$4,Acuses!$C$5:$C$3004,P$5),P$8)&lt;Resumen!$C$4,"Caducado",IF(EDATE(_xlfn.MAXIFS(Acuses!$D$5:$D$3004,Acuses!$A$5:$A$3004,$A98,Acuses!$B$5:$B$3004,P$4,Acuses!$C$5:$C$3004,P$5),P$8)&lt;Resumen!$C$4+30,"Caduca pronto","OK"))))))</f>
        <v/>
      </c>
      <c r="Q98" s="26" t="str">
        <f aca="false">IF(OR($A98="",Q$4=""),"",IF(NOT(OR(Q$6="Toda la plantilla",ISNUMBER(SEARCH(";"&amp;SUBSTITUTE($C98," ","")&amp;";",";"&amp;SUBSTITUTE(Q$7," ","")&amp;";")))),"—",IF(_xlfn.MAXIFS(Acuses!$C$5:$C$3004,Acuses!$A$5:$A$3004,$A98,Acuses!$B$5:$B$3004,Q$4)&lt;Q$5,"Pendiente",IF(Q$8=0,"OK",IF(EDATE(_xlfn.MAXIFS(Acuses!$D$5:$D$3004,Acuses!$A$5:$A$3004,$A98,Acuses!$B$5:$B$3004,Q$4,Acuses!$C$5:$C$3004,Q$5),Q$8)&lt;Resumen!$C$4,"Caducado",IF(EDATE(_xlfn.MAXIFS(Acuses!$D$5:$D$3004,Acuses!$A$5:$A$3004,$A98,Acuses!$B$5:$B$3004,Q$4,Acuses!$C$5:$C$3004,Q$5),Q$8)&lt;Resumen!$C$4+30,"Caduca pronto","OK"))))))</f>
        <v/>
      </c>
      <c r="R98" s="26" t="str">
        <f aca="false">IF(OR($A98="",R$4=""),"",IF(NOT(OR(R$6="Toda la plantilla",ISNUMBER(SEARCH(";"&amp;SUBSTITUTE($C98," ","")&amp;";",";"&amp;SUBSTITUTE(R$7," ","")&amp;";")))),"—",IF(_xlfn.MAXIFS(Acuses!$C$5:$C$3004,Acuses!$A$5:$A$3004,$A98,Acuses!$B$5:$B$3004,R$4)&lt;R$5,"Pendiente",IF(R$8=0,"OK",IF(EDATE(_xlfn.MAXIFS(Acuses!$D$5:$D$3004,Acuses!$A$5:$A$3004,$A98,Acuses!$B$5:$B$3004,R$4,Acuses!$C$5:$C$3004,R$5),R$8)&lt;Resumen!$C$4,"Caducado",IF(EDATE(_xlfn.MAXIFS(Acuses!$D$5:$D$3004,Acuses!$A$5:$A$3004,$A98,Acuses!$B$5:$B$3004,R$4,Acuses!$C$5:$C$3004,R$5),R$8)&lt;Resumen!$C$4+30,"Caduca pronto","OK"))))))</f>
        <v/>
      </c>
      <c r="S98" s="26" t="str">
        <f aca="false">IF(OR($A98="",S$4=""),"",IF(NOT(OR(S$6="Toda la plantilla",ISNUMBER(SEARCH(";"&amp;SUBSTITUTE($C98," ","")&amp;";",";"&amp;SUBSTITUTE(S$7," ","")&amp;";")))),"—",IF(_xlfn.MAXIFS(Acuses!$C$5:$C$3004,Acuses!$A$5:$A$3004,$A98,Acuses!$B$5:$B$3004,S$4)&lt;S$5,"Pendiente",IF(S$8=0,"OK",IF(EDATE(_xlfn.MAXIFS(Acuses!$D$5:$D$3004,Acuses!$A$5:$A$3004,$A98,Acuses!$B$5:$B$3004,S$4,Acuses!$C$5:$C$3004,S$5),S$8)&lt;Resumen!$C$4,"Caducado",IF(EDATE(_xlfn.MAXIFS(Acuses!$D$5:$D$3004,Acuses!$A$5:$A$3004,$A98,Acuses!$B$5:$B$3004,S$4,Acuses!$C$5:$C$3004,S$5),S$8)&lt;Resumen!$C$4+30,"Caduca pronto","OK"))))))</f>
        <v/>
      </c>
      <c r="T98" s="26" t="str">
        <f aca="false">IF(OR($A98="",T$4=""),"",IF(NOT(OR(T$6="Toda la plantilla",ISNUMBER(SEARCH(";"&amp;SUBSTITUTE($C98," ","")&amp;";",";"&amp;SUBSTITUTE(T$7," ","")&amp;";")))),"—",IF(_xlfn.MAXIFS(Acuses!$C$5:$C$3004,Acuses!$A$5:$A$3004,$A98,Acuses!$B$5:$B$3004,T$4)&lt;T$5,"Pendiente",IF(T$8=0,"OK",IF(EDATE(_xlfn.MAXIFS(Acuses!$D$5:$D$3004,Acuses!$A$5:$A$3004,$A98,Acuses!$B$5:$B$3004,T$4,Acuses!$C$5:$C$3004,T$5),T$8)&lt;Resumen!$C$4,"Caducado",IF(EDATE(_xlfn.MAXIFS(Acuses!$D$5:$D$3004,Acuses!$A$5:$A$3004,$A98,Acuses!$B$5:$B$3004,T$4,Acuses!$C$5:$C$3004,T$5),T$8)&lt;Resumen!$C$4+30,"Caduca pronto","OK"))))))</f>
        <v/>
      </c>
      <c r="U98" s="26" t="str">
        <f aca="false">IF(OR($A98="",U$4=""),"",IF(NOT(OR(U$6="Toda la plantilla",ISNUMBER(SEARCH(";"&amp;SUBSTITUTE($C98," ","")&amp;";",";"&amp;SUBSTITUTE(U$7," ","")&amp;";")))),"—",IF(_xlfn.MAXIFS(Acuses!$C$5:$C$3004,Acuses!$A$5:$A$3004,$A98,Acuses!$B$5:$B$3004,U$4)&lt;U$5,"Pendiente",IF(U$8=0,"OK",IF(EDATE(_xlfn.MAXIFS(Acuses!$D$5:$D$3004,Acuses!$A$5:$A$3004,$A98,Acuses!$B$5:$B$3004,U$4,Acuses!$C$5:$C$3004,U$5),U$8)&lt;Resumen!$C$4,"Caducado",IF(EDATE(_xlfn.MAXIFS(Acuses!$D$5:$D$3004,Acuses!$A$5:$A$3004,$A98,Acuses!$B$5:$B$3004,U$4,Acuses!$C$5:$C$3004,U$5),U$8)&lt;Resumen!$C$4+30,"Caduca pronto","OK"))))))</f>
        <v/>
      </c>
      <c r="V98" s="26" t="str">
        <f aca="false">IF(OR($A98="",V$4=""),"",IF(NOT(OR(V$6="Toda la plantilla",ISNUMBER(SEARCH(";"&amp;SUBSTITUTE($C98," ","")&amp;";",";"&amp;SUBSTITUTE(V$7," ","")&amp;";")))),"—",IF(_xlfn.MAXIFS(Acuses!$C$5:$C$3004,Acuses!$A$5:$A$3004,$A98,Acuses!$B$5:$B$3004,V$4)&lt;V$5,"Pendiente",IF(V$8=0,"OK",IF(EDATE(_xlfn.MAXIFS(Acuses!$D$5:$D$3004,Acuses!$A$5:$A$3004,$A98,Acuses!$B$5:$B$3004,V$4,Acuses!$C$5:$C$3004,V$5),V$8)&lt;Resumen!$C$4,"Caducado",IF(EDATE(_xlfn.MAXIFS(Acuses!$D$5:$D$3004,Acuses!$A$5:$A$3004,$A98,Acuses!$B$5:$B$3004,V$4,Acuses!$C$5:$C$3004,V$5),V$8)&lt;Resumen!$C$4+30,"Caduca pronto","OK"))))))</f>
        <v/>
      </c>
      <c r="W98" s="26" t="str">
        <f aca="false">IF(OR($A98="",W$4=""),"",IF(NOT(OR(W$6="Toda la plantilla",ISNUMBER(SEARCH(";"&amp;SUBSTITUTE($C98," ","")&amp;";",";"&amp;SUBSTITUTE(W$7," ","")&amp;";")))),"—",IF(_xlfn.MAXIFS(Acuses!$C$5:$C$3004,Acuses!$A$5:$A$3004,$A98,Acuses!$B$5:$B$3004,W$4)&lt;W$5,"Pendiente",IF(W$8=0,"OK",IF(EDATE(_xlfn.MAXIFS(Acuses!$D$5:$D$3004,Acuses!$A$5:$A$3004,$A98,Acuses!$B$5:$B$3004,W$4,Acuses!$C$5:$C$3004,W$5),W$8)&lt;Resumen!$C$4,"Caducado",IF(EDATE(_xlfn.MAXIFS(Acuses!$D$5:$D$3004,Acuses!$A$5:$A$3004,$A98,Acuses!$B$5:$B$3004,W$4,Acuses!$C$5:$C$3004,W$5),W$8)&lt;Resumen!$C$4+30,"Caduca pronto","OK"))))))</f>
        <v/>
      </c>
      <c r="X98" s="26" t="str">
        <f aca="false">IF(OR($A98="",X$4=""),"",IF(NOT(OR(X$6="Toda la plantilla",ISNUMBER(SEARCH(";"&amp;SUBSTITUTE($C98," ","")&amp;";",";"&amp;SUBSTITUTE(X$7," ","")&amp;";")))),"—",IF(_xlfn.MAXIFS(Acuses!$C$5:$C$3004,Acuses!$A$5:$A$3004,$A98,Acuses!$B$5:$B$3004,X$4)&lt;X$5,"Pendiente",IF(X$8=0,"OK",IF(EDATE(_xlfn.MAXIFS(Acuses!$D$5:$D$3004,Acuses!$A$5:$A$3004,$A98,Acuses!$B$5:$B$3004,X$4,Acuses!$C$5:$C$3004,X$5),X$8)&lt;Resumen!$C$4,"Caducado",IF(EDATE(_xlfn.MAXIFS(Acuses!$D$5:$D$3004,Acuses!$A$5:$A$3004,$A98,Acuses!$B$5:$B$3004,X$4,Acuses!$C$5:$C$3004,X$5),X$8)&lt;Resumen!$C$4+30,"Caduca pronto","OK"))))))</f>
        <v/>
      </c>
      <c r="Y98" s="26" t="str">
        <f aca="false">IF(OR($A98="",Y$4=""),"",IF(NOT(OR(Y$6="Toda la plantilla",ISNUMBER(SEARCH(";"&amp;SUBSTITUTE($C98," ","")&amp;";",";"&amp;SUBSTITUTE(Y$7," ","")&amp;";")))),"—",IF(_xlfn.MAXIFS(Acuses!$C$5:$C$3004,Acuses!$A$5:$A$3004,$A98,Acuses!$B$5:$B$3004,Y$4)&lt;Y$5,"Pendiente",IF(Y$8=0,"OK",IF(EDATE(_xlfn.MAXIFS(Acuses!$D$5:$D$3004,Acuses!$A$5:$A$3004,$A98,Acuses!$B$5:$B$3004,Y$4,Acuses!$C$5:$C$3004,Y$5),Y$8)&lt;Resumen!$C$4,"Caducado",IF(EDATE(_xlfn.MAXIFS(Acuses!$D$5:$D$3004,Acuses!$A$5:$A$3004,$A98,Acuses!$B$5:$B$3004,Y$4,Acuses!$C$5:$C$3004,Y$5),Y$8)&lt;Resumen!$C$4+30,"Caduca pronto","OK"))))))</f>
        <v/>
      </c>
      <c r="Z98" s="26" t="str">
        <f aca="false">IF(OR($A98="",Z$4=""),"",IF(NOT(OR(Z$6="Toda la plantilla",ISNUMBER(SEARCH(";"&amp;SUBSTITUTE($C98," ","")&amp;";",";"&amp;SUBSTITUTE(Z$7," ","")&amp;";")))),"—",IF(_xlfn.MAXIFS(Acuses!$C$5:$C$3004,Acuses!$A$5:$A$3004,$A98,Acuses!$B$5:$B$3004,Z$4)&lt;Z$5,"Pendiente",IF(Z$8=0,"OK",IF(EDATE(_xlfn.MAXIFS(Acuses!$D$5:$D$3004,Acuses!$A$5:$A$3004,$A98,Acuses!$B$5:$B$3004,Z$4,Acuses!$C$5:$C$3004,Z$5),Z$8)&lt;Resumen!$C$4,"Caducado",IF(EDATE(_xlfn.MAXIFS(Acuses!$D$5:$D$3004,Acuses!$A$5:$A$3004,$A98,Acuses!$B$5:$B$3004,Z$4,Acuses!$C$5:$C$3004,Z$5),Z$8)&lt;Resumen!$C$4+30,"Caduca pronto","OK"))))))</f>
        <v/>
      </c>
      <c r="AA98" s="26" t="str">
        <f aca="false">IF(OR($A98="",AA$4=""),"",IF(NOT(OR(AA$6="Toda la plantilla",ISNUMBER(SEARCH(";"&amp;SUBSTITUTE($C98," ","")&amp;";",";"&amp;SUBSTITUTE(AA$7," ","")&amp;";")))),"—",IF(_xlfn.MAXIFS(Acuses!$C$5:$C$3004,Acuses!$A$5:$A$3004,$A98,Acuses!$B$5:$B$3004,AA$4)&lt;AA$5,"Pendiente",IF(AA$8=0,"OK",IF(EDATE(_xlfn.MAXIFS(Acuses!$D$5:$D$3004,Acuses!$A$5:$A$3004,$A98,Acuses!$B$5:$B$3004,AA$4,Acuses!$C$5:$C$3004,AA$5),AA$8)&lt;Resumen!$C$4,"Caducado",IF(EDATE(_xlfn.MAXIFS(Acuses!$D$5:$D$3004,Acuses!$A$5:$A$3004,$A98,Acuses!$B$5:$B$3004,AA$4,Acuses!$C$5:$C$3004,AA$5),AA$8)&lt;Resumen!$C$4+30,"Caduca pronto","OK"))))))</f>
        <v/>
      </c>
      <c r="AB98" s="26" t="str">
        <f aca="false">IF(OR($A98="",AB$4=""),"",IF(NOT(OR(AB$6="Toda la plantilla",ISNUMBER(SEARCH(";"&amp;SUBSTITUTE($C98," ","")&amp;";",";"&amp;SUBSTITUTE(AB$7," ","")&amp;";")))),"—",IF(_xlfn.MAXIFS(Acuses!$C$5:$C$3004,Acuses!$A$5:$A$3004,$A98,Acuses!$B$5:$B$3004,AB$4)&lt;AB$5,"Pendiente",IF(AB$8=0,"OK",IF(EDATE(_xlfn.MAXIFS(Acuses!$D$5:$D$3004,Acuses!$A$5:$A$3004,$A98,Acuses!$B$5:$B$3004,AB$4,Acuses!$C$5:$C$3004,AB$5),AB$8)&lt;Resumen!$C$4,"Caducado",IF(EDATE(_xlfn.MAXIFS(Acuses!$D$5:$D$3004,Acuses!$A$5:$A$3004,$A98,Acuses!$B$5:$B$3004,AB$4,Acuses!$C$5:$C$3004,AB$5),AB$8)&lt;Resumen!$C$4+30,"Caduca pronto","OK"))))))</f>
        <v/>
      </c>
      <c r="AC98" s="26" t="str">
        <f aca="false">IF(OR($A98="",AC$4=""),"",IF(NOT(OR(AC$6="Toda la plantilla",ISNUMBER(SEARCH(";"&amp;SUBSTITUTE($C98," ","")&amp;";",";"&amp;SUBSTITUTE(AC$7," ","")&amp;";")))),"—",IF(_xlfn.MAXIFS(Acuses!$C$5:$C$3004,Acuses!$A$5:$A$3004,$A98,Acuses!$B$5:$B$3004,AC$4)&lt;AC$5,"Pendiente",IF(AC$8=0,"OK",IF(EDATE(_xlfn.MAXIFS(Acuses!$D$5:$D$3004,Acuses!$A$5:$A$3004,$A98,Acuses!$B$5:$B$3004,AC$4,Acuses!$C$5:$C$3004,AC$5),AC$8)&lt;Resumen!$C$4,"Caducado",IF(EDATE(_xlfn.MAXIFS(Acuses!$D$5:$D$3004,Acuses!$A$5:$A$3004,$A98,Acuses!$B$5:$B$3004,AC$4,Acuses!$C$5:$C$3004,AC$5),AC$8)&lt;Resumen!$C$4+30,"Caduca pronto","OK"))))))</f>
        <v/>
      </c>
      <c r="AD98" s="26" t="str">
        <f aca="false">IF(OR($A98="",AD$4=""),"",IF(NOT(OR(AD$6="Toda la plantilla",ISNUMBER(SEARCH(";"&amp;SUBSTITUTE($C98," ","")&amp;";",";"&amp;SUBSTITUTE(AD$7," ","")&amp;";")))),"—",IF(_xlfn.MAXIFS(Acuses!$C$5:$C$3004,Acuses!$A$5:$A$3004,$A98,Acuses!$B$5:$B$3004,AD$4)&lt;AD$5,"Pendiente",IF(AD$8=0,"OK",IF(EDATE(_xlfn.MAXIFS(Acuses!$D$5:$D$3004,Acuses!$A$5:$A$3004,$A98,Acuses!$B$5:$B$3004,AD$4,Acuses!$C$5:$C$3004,AD$5),AD$8)&lt;Resumen!$C$4,"Caducado",IF(EDATE(_xlfn.MAXIFS(Acuses!$D$5:$D$3004,Acuses!$A$5:$A$3004,$A98,Acuses!$B$5:$B$3004,AD$4,Acuses!$C$5:$C$3004,AD$5),AD$8)&lt;Resumen!$C$4+30,"Caduca pronto","OK"))))))</f>
        <v/>
      </c>
      <c r="AE98" s="26" t="str">
        <f aca="false">IF(OR($A98="",AE$4=""),"",IF(NOT(OR(AE$6="Toda la plantilla",ISNUMBER(SEARCH(";"&amp;SUBSTITUTE($C98," ","")&amp;";",";"&amp;SUBSTITUTE(AE$7," ","")&amp;";")))),"—",IF(_xlfn.MAXIFS(Acuses!$C$5:$C$3004,Acuses!$A$5:$A$3004,$A98,Acuses!$B$5:$B$3004,AE$4)&lt;AE$5,"Pendiente",IF(AE$8=0,"OK",IF(EDATE(_xlfn.MAXIFS(Acuses!$D$5:$D$3004,Acuses!$A$5:$A$3004,$A98,Acuses!$B$5:$B$3004,AE$4,Acuses!$C$5:$C$3004,AE$5),AE$8)&lt;Resumen!$C$4,"Caducado",IF(EDATE(_xlfn.MAXIFS(Acuses!$D$5:$D$3004,Acuses!$A$5:$A$3004,$A98,Acuses!$B$5:$B$3004,AE$4,Acuses!$C$5:$C$3004,AE$5),AE$8)&lt;Resumen!$C$4+30,"Caduca pronto","OK"))))))</f>
        <v/>
      </c>
      <c r="AF98" s="26" t="str">
        <f aca="false">IF(OR($A98="",AF$4=""),"",IF(NOT(OR(AF$6="Toda la plantilla",ISNUMBER(SEARCH(";"&amp;SUBSTITUTE($C98," ","")&amp;";",";"&amp;SUBSTITUTE(AF$7," ","")&amp;";")))),"—",IF(_xlfn.MAXIFS(Acuses!$C$5:$C$3004,Acuses!$A$5:$A$3004,$A98,Acuses!$B$5:$B$3004,AF$4)&lt;AF$5,"Pendiente",IF(AF$8=0,"OK",IF(EDATE(_xlfn.MAXIFS(Acuses!$D$5:$D$3004,Acuses!$A$5:$A$3004,$A98,Acuses!$B$5:$B$3004,AF$4,Acuses!$C$5:$C$3004,AF$5),AF$8)&lt;Resumen!$C$4,"Caducado",IF(EDATE(_xlfn.MAXIFS(Acuses!$D$5:$D$3004,Acuses!$A$5:$A$3004,$A98,Acuses!$B$5:$B$3004,AF$4,Acuses!$C$5:$C$3004,AF$5),AF$8)&lt;Resumen!$C$4+30,"Caduca pronto","OK"))))))</f>
        <v/>
      </c>
      <c r="AG98" s="26" t="str">
        <f aca="false">IF(OR($A98="",AG$4=""),"",IF(NOT(OR(AG$6="Toda la plantilla",ISNUMBER(SEARCH(";"&amp;SUBSTITUTE($C98," ","")&amp;";",";"&amp;SUBSTITUTE(AG$7," ","")&amp;";")))),"—",IF(_xlfn.MAXIFS(Acuses!$C$5:$C$3004,Acuses!$A$5:$A$3004,$A98,Acuses!$B$5:$B$3004,AG$4)&lt;AG$5,"Pendiente",IF(AG$8=0,"OK",IF(EDATE(_xlfn.MAXIFS(Acuses!$D$5:$D$3004,Acuses!$A$5:$A$3004,$A98,Acuses!$B$5:$B$3004,AG$4,Acuses!$C$5:$C$3004,AG$5),AG$8)&lt;Resumen!$C$4,"Caducado",IF(EDATE(_xlfn.MAXIFS(Acuses!$D$5:$D$3004,Acuses!$A$5:$A$3004,$A98,Acuses!$B$5:$B$3004,AG$4,Acuses!$C$5:$C$3004,AG$5),AG$8)&lt;Resumen!$C$4+30,"Caduca pronto","OK"))))))</f>
        <v/>
      </c>
      <c r="AH98" s="26" t="str">
        <f aca="false">IF(OR($A98="",AH$4=""),"",IF(NOT(OR(AH$6="Toda la plantilla",ISNUMBER(SEARCH(";"&amp;SUBSTITUTE($C98," ","")&amp;";",";"&amp;SUBSTITUTE(AH$7," ","")&amp;";")))),"—",IF(_xlfn.MAXIFS(Acuses!$C$5:$C$3004,Acuses!$A$5:$A$3004,$A98,Acuses!$B$5:$B$3004,AH$4)&lt;AH$5,"Pendiente",IF(AH$8=0,"OK",IF(EDATE(_xlfn.MAXIFS(Acuses!$D$5:$D$3004,Acuses!$A$5:$A$3004,$A98,Acuses!$B$5:$B$3004,AH$4,Acuses!$C$5:$C$3004,AH$5),AH$8)&lt;Resumen!$C$4,"Caducado",IF(EDATE(_xlfn.MAXIFS(Acuses!$D$5:$D$3004,Acuses!$A$5:$A$3004,$A98,Acuses!$B$5:$B$3004,AH$4,Acuses!$C$5:$C$3004,AH$5),AH$8)&lt;Resumen!$C$4+30,"Caduca pronto","OK"))))))</f>
        <v/>
      </c>
      <c r="AI98" s="26" t="str">
        <f aca="false">IF(OR($A98="",AI$4=""),"",IF(NOT(OR(AI$6="Toda la plantilla",ISNUMBER(SEARCH(";"&amp;SUBSTITUTE($C98," ","")&amp;";",";"&amp;SUBSTITUTE(AI$7," ","")&amp;";")))),"—",IF(_xlfn.MAXIFS(Acuses!$C$5:$C$3004,Acuses!$A$5:$A$3004,$A98,Acuses!$B$5:$B$3004,AI$4)&lt;AI$5,"Pendiente",IF(AI$8=0,"OK",IF(EDATE(_xlfn.MAXIFS(Acuses!$D$5:$D$3004,Acuses!$A$5:$A$3004,$A98,Acuses!$B$5:$B$3004,AI$4,Acuses!$C$5:$C$3004,AI$5),AI$8)&lt;Resumen!$C$4,"Caducado",IF(EDATE(_xlfn.MAXIFS(Acuses!$D$5:$D$3004,Acuses!$A$5:$A$3004,$A98,Acuses!$B$5:$B$3004,AI$4,Acuses!$C$5:$C$3004,AI$5),AI$8)&lt;Resumen!$C$4+30,"Caduca pronto","OK"))))))</f>
        <v/>
      </c>
      <c r="AJ98" s="26" t="str">
        <f aca="false">IF(OR($A98="",AJ$4=""),"",IF(NOT(OR(AJ$6="Toda la plantilla",ISNUMBER(SEARCH(";"&amp;SUBSTITUTE($C98," ","")&amp;";",";"&amp;SUBSTITUTE(AJ$7," ","")&amp;";")))),"—",IF(_xlfn.MAXIFS(Acuses!$C$5:$C$3004,Acuses!$A$5:$A$3004,$A98,Acuses!$B$5:$B$3004,AJ$4)&lt;AJ$5,"Pendiente",IF(AJ$8=0,"OK",IF(EDATE(_xlfn.MAXIFS(Acuses!$D$5:$D$3004,Acuses!$A$5:$A$3004,$A98,Acuses!$B$5:$B$3004,AJ$4,Acuses!$C$5:$C$3004,AJ$5),AJ$8)&lt;Resumen!$C$4,"Caducado",IF(EDATE(_xlfn.MAXIFS(Acuses!$D$5:$D$3004,Acuses!$A$5:$A$3004,$A98,Acuses!$B$5:$B$3004,AJ$4,Acuses!$C$5:$C$3004,AJ$5),AJ$8)&lt;Resumen!$C$4+30,"Caduca pronto","OK"))))))</f>
        <v/>
      </c>
      <c r="AK98" s="26" t="str">
        <f aca="false">IF(OR($A98="",AK$4=""),"",IF(NOT(OR(AK$6="Toda la plantilla",ISNUMBER(SEARCH(";"&amp;SUBSTITUTE($C98," ","")&amp;";",";"&amp;SUBSTITUTE(AK$7," ","")&amp;";")))),"—",IF(_xlfn.MAXIFS(Acuses!$C$5:$C$3004,Acuses!$A$5:$A$3004,$A98,Acuses!$B$5:$B$3004,AK$4)&lt;AK$5,"Pendiente",IF(AK$8=0,"OK",IF(EDATE(_xlfn.MAXIFS(Acuses!$D$5:$D$3004,Acuses!$A$5:$A$3004,$A98,Acuses!$B$5:$B$3004,AK$4,Acuses!$C$5:$C$3004,AK$5),AK$8)&lt;Resumen!$C$4,"Caducado",IF(EDATE(_xlfn.MAXIFS(Acuses!$D$5:$D$3004,Acuses!$A$5:$A$3004,$A98,Acuses!$B$5:$B$3004,AK$4,Acuses!$C$5:$C$3004,AK$5),AK$8)&lt;Resumen!$C$4+30,"Caduca pronto","OK"))))))</f>
        <v/>
      </c>
      <c r="AL98" s="26" t="str">
        <f aca="false">IF(OR($A98="",AL$4=""),"",IF(NOT(OR(AL$6="Toda la plantilla",ISNUMBER(SEARCH(";"&amp;SUBSTITUTE($C98," ","")&amp;";",";"&amp;SUBSTITUTE(AL$7," ","")&amp;";")))),"—",IF(_xlfn.MAXIFS(Acuses!$C$5:$C$3004,Acuses!$A$5:$A$3004,$A98,Acuses!$B$5:$B$3004,AL$4)&lt;AL$5,"Pendiente",IF(AL$8=0,"OK",IF(EDATE(_xlfn.MAXIFS(Acuses!$D$5:$D$3004,Acuses!$A$5:$A$3004,$A98,Acuses!$B$5:$B$3004,AL$4,Acuses!$C$5:$C$3004,AL$5),AL$8)&lt;Resumen!$C$4,"Caducado",IF(EDATE(_xlfn.MAXIFS(Acuses!$D$5:$D$3004,Acuses!$A$5:$A$3004,$A98,Acuses!$B$5:$B$3004,AL$4,Acuses!$C$5:$C$3004,AL$5),AL$8)&lt;Resumen!$C$4+30,"Caduca pronto","OK"))))))</f>
        <v/>
      </c>
      <c r="AM98" s="26" t="str">
        <f aca="false">IF(OR($A98="",AM$4=""),"",IF(NOT(OR(AM$6="Toda la plantilla",ISNUMBER(SEARCH(";"&amp;SUBSTITUTE($C98," ","")&amp;";",";"&amp;SUBSTITUTE(AM$7," ","")&amp;";")))),"—",IF(_xlfn.MAXIFS(Acuses!$C$5:$C$3004,Acuses!$A$5:$A$3004,$A98,Acuses!$B$5:$B$3004,AM$4)&lt;AM$5,"Pendiente",IF(AM$8=0,"OK",IF(EDATE(_xlfn.MAXIFS(Acuses!$D$5:$D$3004,Acuses!$A$5:$A$3004,$A98,Acuses!$B$5:$B$3004,AM$4,Acuses!$C$5:$C$3004,AM$5),AM$8)&lt;Resumen!$C$4,"Caducado",IF(EDATE(_xlfn.MAXIFS(Acuses!$D$5:$D$3004,Acuses!$A$5:$A$3004,$A98,Acuses!$B$5:$B$3004,AM$4,Acuses!$C$5:$C$3004,AM$5),AM$8)&lt;Resumen!$C$4+30,"Caduca pronto","OK"))))))</f>
        <v/>
      </c>
      <c r="AN98" s="26" t="str">
        <f aca="false">IF(OR($A98="",AN$4=""),"",IF(NOT(OR(AN$6="Toda la plantilla",ISNUMBER(SEARCH(";"&amp;SUBSTITUTE($C98," ","")&amp;";",";"&amp;SUBSTITUTE(AN$7," ","")&amp;";")))),"—",IF(_xlfn.MAXIFS(Acuses!$C$5:$C$3004,Acuses!$A$5:$A$3004,$A98,Acuses!$B$5:$B$3004,AN$4)&lt;AN$5,"Pendiente",IF(AN$8=0,"OK",IF(EDATE(_xlfn.MAXIFS(Acuses!$D$5:$D$3004,Acuses!$A$5:$A$3004,$A98,Acuses!$B$5:$B$3004,AN$4,Acuses!$C$5:$C$3004,AN$5),AN$8)&lt;Resumen!$C$4,"Caducado",IF(EDATE(_xlfn.MAXIFS(Acuses!$D$5:$D$3004,Acuses!$A$5:$A$3004,$A98,Acuses!$B$5:$B$3004,AN$4,Acuses!$C$5:$C$3004,AN$5),AN$8)&lt;Resumen!$C$4+30,"Caduca pronto","OK"))))))</f>
        <v/>
      </c>
      <c r="AO98" s="26" t="str">
        <f aca="false">IF(OR($A98="",AO$4=""),"",IF(NOT(OR(AO$6="Toda la plantilla",ISNUMBER(SEARCH(";"&amp;SUBSTITUTE($C98," ","")&amp;";",";"&amp;SUBSTITUTE(AO$7," ","")&amp;";")))),"—",IF(_xlfn.MAXIFS(Acuses!$C$5:$C$3004,Acuses!$A$5:$A$3004,$A98,Acuses!$B$5:$B$3004,AO$4)&lt;AO$5,"Pendiente",IF(AO$8=0,"OK",IF(EDATE(_xlfn.MAXIFS(Acuses!$D$5:$D$3004,Acuses!$A$5:$A$3004,$A98,Acuses!$B$5:$B$3004,AO$4,Acuses!$C$5:$C$3004,AO$5),AO$8)&lt;Resumen!$C$4,"Caducado",IF(EDATE(_xlfn.MAXIFS(Acuses!$D$5:$D$3004,Acuses!$A$5:$A$3004,$A98,Acuses!$B$5:$B$3004,AO$4,Acuses!$C$5:$C$3004,AO$5),AO$8)&lt;Resumen!$C$4+30,"Caduca pronto","OK"))))))</f>
        <v/>
      </c>
      <c r="AP98" s="26" t="str">
        <f aca="false">IF(OR($A98="",AP$4=""),"",IF(NOT(OR(AP$6="Toda la plantilla",ISNUMBER(SEARCH(";"&amp;SUBSTITUTE($C98," ","")&amp;";",";"&amp;SUBSTITUTE(AP$7," ","")&amp;";")))),"—",IF(_xlfn.MAXIFS(Acuses!$C$5:$C$3004,Acuses!$A$5:$A$3004,$A98,Acuses!$B$5:$B$3004,AP$4)&lt;AP$5,"Pendiente",IF(AP$8=0,"OK",IF(EDATE(_xlfn.MAXIFS(Acuses!$D$5:$D$3004,Acuses!$A$5:$A$3004,$A98,Acuses!$B$5:$B$3004,AP$4,Acuses!$C$5:$C$3004,AP$5),AP$8)&lt;Resumen!$C$4,"Caducado",IF(EDATE(_xlfn.MAXIFS(Acuses!$D$5:$D$3004,Acuses!$A$5:$A$3004,$A98,Acuses!$B$5:$B$3004,AP$4,Acuses!$C$5:$C$3004,AP$5),AP$8)&lt;Resumen!$C$4+30,"Caduca pronto","OK"))))))</f>
        <v/>
      </c>
      <c r="AQ98" s="26" t="str">
        <f aca="false">IF(OR($A98="",AQ$4=""),"",IF(NOT(OR(AQ$6="Toda la plantilla",ISNUMBER(SEARCH(";"&amp;SUBSTITUTE($C98," ","")&amp;";",";"&amp;SUBSTITUTE(AQ$7," ","")&amp;";")))),"—",IF(_xlfn.MAXIFS(Acuses!$C$5:$C$3004,Acuses!$A$5:$A$3004,$A98,Acuses!$B$5:$B$3004,AQ$4)&lt;AQ$5,"Pendiente",IF(AQ$8=0,"OK",IF(EDATE(_xlfn.MAXIFS(Acuses!$D$5:$D$3004,Acuses!$A$5:$A$3004,$A98,Acuses!$B$5:$B$3004,AQ$4,Acuses!$C$5:$C$3004,AQ$5),AQ$8)&lt;Resumen!$C$4,"Caducado",IF(EDATE(_xlfn.MAXIFS(Acuses!$D$5:$D$3004,Acuses!$A$5:$A$3004,$A98,Acuses!$B$5:$B$3004,AQ$4,Acuses!$C$5:$C$3004,AQ$5),AQ$8)&lt;Resumen!$C$4+30,"Caduca pronto","OK"))))))</f>
        <v/>
      </c>
    </row>
    <row r="99" customFormat="false" ht="15" hidden="false" customHeight="false" outlineLevel="0" collapsed="false">
      <c r="A99" s="25" t="str">
        <f aca="false">IF(AND(Trabajadores!$A$94&lt;&gt;"",Trabajadores!$G$94&lt;&gt;"No"),Trabajadores!$A$94,"")</f>
        <v/>
      </c>
      <c r="B99" s="25" t="str">
        <f aca="false">IF($A99="","",Trabajadores!$B$94)</f>
        <v/>
      </c>
      <c r="C99" s="25" t="str">
        <f aca="false">IF($A99="","",Trabajadores!$C$94)</f>
        <v/>
      </c>
      <c r="D99" s="26" t="str">
        <f aca="false">IF(OR($A99="",D$4=""),"",IF(NOT(OR(D$6="Toda la plantilla",ISNUMBER(SEARCH(";"&amp;SUBSTITUTE($C99," ","")&amp;";",";"&amp;SUBSTITUTE(D$7," ","")&amp;";")))),"—",IF(_xlfn.MAXIFS(Acuses!$C$5:$C$3004,Acuses!$A$5:$A$3004,$A99,Acuses!$B$5:$B$3004,D$4)&lt;D$5,"Pendiente",IF(D$8=0,"OK",IF(EDATE(_xlfn.MAXIFS(Acuses!$D$5:$D$3004,Acuses!$A$5:$A$3004,$A99,Acuses!$B$5:$B$3004,D$4,Acuses!$C$5:$C$3004,D$5),D$8)&lt;Resumen!$C$4,"Caducado",IF(EDATE(_xlfn.MAXIFS(Acuses!$D$5:$D$3004,Acuses!$A$5:$A$3004,$A99,Acuses!$B$5:$B$3004,D$4,Acuses!$C$5:$C$3004,D$5),D$8)&lt;Resumen!$C$4+30,"Caduca pronto","OK"))))))</f>
        <v/>
      </c>
      <c r="E99" s="26" t="str">
        <f aca="false">IF(OR($A99="",E$4=""),"",IF(NOT(OR(E$6="Toda la plantilla",ISNUMBER(SEARCH(";"&amp;SUBSTITUTE($C99," ","")&amp;";",";"&amp;SUBSTITUTE(E$7," ","")&amp;";")))),"—",IF(_xlfn.MAXIFS(Acuses!$C$5:$C$3004,Acuses!$A$5:$A$3004,$A99,Acuses!$B$5:$B$3004,E$4)&lt;E$5,"Pendiente",IF(E$8=0,"OK",IF(EDATE(_xlfn.MAXIFS(Acuses!$D$5:$D$3004,Acuses!$A$5:$A$3004,$A99,Acuses!$B$5:$B$3004,E$4,Acuses!$C$5:$C$3004,E$5),E$8)&lt;Resumen!$C$4,"Caducado",IF(EDATE(_xlfn.MAXIFS(Acuses!$D$5:$D$3004,Acuses!$A$5:$A$3004,$A99,Acuses!$B$5:$B$3004,E$4,Acuses!$C$5:$C$3004,E$5),E$8)&lt;Resumen!$C$4+30,"Caduca pronto","OK"))))))</f>
        <v/>
      </c>
      <c r="F99" s="26" t="str">
        <f aca="false">IF(OR($A99="",F$4=""),"",IF(NOT(OR(F$6="Toda la plantilla",ISNUMBER(SEARCH(";"&amp;SUBSTITUTE($C99," ","")&amp;";",";"&amp;SUBSTITUTE(F$7," ","")&amp;";")))),"—",IF(_xlfn.MAXIFS(Acuses!$C$5:$C$3004,Acuses!$A$5:$A$3004,$A99,Acuses!$B$5:$B$3004,F$4)&lt;F$5,"Pendiente",IF(F$8=0,"OK",IF(EDATE(_xlfn.MAXIFS(Acuses!$D$5:$D$3004,Acuses!$A$5:$A$3004,$A99,Acuses!$B$5:$B$3004,F$4,Acuses!$C$5:$C$3004,F$5),F$8)&lt;Resumen!$C$4,"Caducado",IF(EDATE(_xlfn.MAXIFS(Acuses!$D$5:$D$3004,Acuses!$A$5:$A$3004,$A99,Acuses!$B$5:$B$3004,F$4,Acuses!$C$5:$C$3004,F$5),F$8)&lt;Resumen!$C$4+30,"Caduca pronto","OK"))))))</f>
        <v/>
      </c>
      <c r="G99" s="26" t="str">
        <f aca="false">IF(OR($A99="",G$4=""),"",IF(NOT(OR(G$6="Toda la plantilla",ISNUMBER(SEARCH(";"&amp;SUBSTITUTE($C99," ","")&amp;";",";"&amp;SUBSTITUTE(G$7," ","")&amp;";")))),"—",IF(_xlfn.MAXIFS(Acuses!$C$5:$C$3004,Acuses!$A$5:$A$3004,$A99,Acuses!$B$5:$B$3004,G$4)&lt;G$5,"Pendiente",IF(G$8=0,"OK",IF(EDATE(_xlfn.MAXIFS(Acuses!$D$5:$D$3004,Acuses!$A$5:$A$3004,$A99,Acuses!$B$5:$B$3004,G$4,Acuses!$C$5:$C$3004,G$5),G$8)&lt;Resumen!$C$4,"Caducado",IF(EDATE(_xlfn.MAXIFS(Acuses!$D$5:$D$3004,Acuses!$A$5:$A$3004,$A99,Acuses!$B$5:$B$3004,G$4,Acuses!$C$5:$C$3004,G$5),G$8)&lt;Resumen!$C$4+30,"Caduca pronto","OK"))))))</f>
        <v/>
      </c>
      <c r="H99" s="26" t="str">
        <f aca="false">IF(OR($A99="",H$4=""),"",IF(NOT(OR(H$6="Toda la plantilla",ISNUMBER(SEARCH(";"&amp;SUBSTITUTE($C99," ","")&amp;";",";"&amp;SUBSTITUTE(H$7," ","")&amp;";")))),"—",IF(_xlfn.MAXIFS(Acuses!$C$5:$C$3004,Acuses!$A$5:$A$3004,$A99,Acuses!$B$5:$B$3004,H$4)&lt;H$5,"Pendiente",IF(H$8=0,"OK",IF(EDATE(_xlfn.MAXIFS(Acuses!$D$5:$D$3004,Acuses!$A$5:$A$3004,$A99,Acuses!$B$5:$B$3004,H$4,Acuses!$C$5:$C$3004,H$5),H$8)&lt;Resumen!$C$4,"Caducado",IF(EDATE(_xlfn.MAXIFS(Acuses!$D$5:$D$3004,Acuses!$A$5:$A$3004,$A99,Acuses!$B$5:$B$3004,H$4,Acuses!$C$5:$C$3004,H$5),H$8)&lt;Resumen!$C$4+30,"Caduca pronto","OK"))))))</f>
        <v/>
      </c>
      <c r="I99" s="26" t="str">
        <f aca="false">IF(OR($A99="",I$4=""),"",IF(NOT(OR(I$6="Toda la plantilla",ISNUMBER(SEARCH(";"&amp;SUBSTITUTE($C99," ","")&amp;";",";"&amp;SUBSTITUTE(I$7," ","")&amp;";")))),"—",IF(_xlfn.MAXIFS(Acuses!$C$5:$C$3004,Acuses!$A$5:$A$3004,$A99,Acuses!$B$5:$B$3004,I$4)&lt;I$5,"Pendiente",IF(I$8=0,"OK",IF(EDATE(_xlfn.MAXIFS(Acuses!$D$5:$D$3004,Acuses!$A$5:$A$3004,$A99,Acuses!$B$5:$B$3004,I$4,Acuses!$C$5:$C$3004,I$5),I$8)&lt;Resumen!$C$4,"Caducado",IF(EDATE(_xlfn.MAXIFS(Acuses!$D$5:$D$3004,Acuses!$A$5:$A$3004,$A99,Acuses!$B$5:$B$3004,I$4,Acuses!$C$5:$C$3004,I$5),I$8)&lt;Resumen!$C$4+30,"Caduca pronto","OK"))))))</f>
        <v/>
      </c>
      <c r="J99" s="26" t="str">
        <f aca="false">IF(OR($A99="",J$4=""),"",IF(NOT(OR(J$6="Toda la plantilla",ISNUMBER(SEARCH(";"&amp;SUBSTITUTE($C99," ","")&amp;";",";"&amp;SUBSTITUTE(J$7," ","")&amp;";")))),"—",IF(_xlfn.MAXIFS(Acuses!$C$5:$C$3004,Acuses!$A$5:$A$3004,$A99,Acuses!$B$5:$B$3004,J$4)&lt;J$5,"Pendiente",IF(J$8=0,"OK",IF(EDATE(_xlfn.MAXIFS(Acuses!$D$5:$D$3004,Acuses!$A$5:$A$3004,$A99,Acuses!$B$5:$B$3004,J$4,Acuses!$C$5:$C$3004,J$5),J$8)&lt;Resumen!$C$4,"Caducado",IF(EDATE(_xlfn.MAXIFS(Acuses!$D$5:$D$3004,Acuses!$A$5:$A$3004,$A99,Acuses!$B$5:$B$3004,J$4,Acuses!$C$5:$C$3004,J$5),J$8)&lt;Resumen!$C$4+30,"Caduca pronto","OK"))))))</f>
        <v/>
      </c>
      <c r="K99" s="26" t="str">
        <f aca="false">IF(OR($A99="",K$4=""),"",IF(NOT(OR(K$6="Toda la plantilla",ISNUMBER(SEARCH(";"&amp;SUBSTITUTE($C99," ","")&amp;";",";"&amp;SUBSTITUTE(K$7," ","")&amp;";")))),"—",IF(_xlfn.MAXIFS(Acuses!$C$5:$C$3004,Acuses!$A$5:$A$3004,$A99,Acuses!$B$5:$B$3004,K$4)&lt;K$5,"Pendiente",IF(K$8=0,"OK",IF(EDATE(_xlfn.MAXIFS(Acuses!$D$5:$D$3004,Acuses!$A$5:$A$3004,$A99,Acuses!$B$5:$B$3004,K$4,Acuses!$C$5:$C$3004,K$5),K$8)&lt;Resumen!$C$4,"Caducado",IF(EDATE(_xlfn.MAXIFS(Acuses!$D$5:$D$3004,Acuses!$A$5:$A$3004,$A99,Acuses!$B$5:$B$3004,K$4,Acuses!$C$5:$C$3004,K$5),K$8)&lt;Resumen!$C$4+30,"Caduca pronto","OK"))))))</f>
        <v/>
      </c>
      <c r="L99" s="26" t="str">
        <f aca="false">IF(OR($A99="",L$4=""),"",IF(NOT(OR(L$6="Toda la plantilla",ISNUMBER(SEARCH(";"&amp;SUBSTITUTE($C99," ","")&amp;";",";"&amp;SUBSTITUTE(L$7," ","")&amp;";")))),"—",IF(_xlfn.MAXIFS(Acuses!$C$5:$C$3004,Acuses!$A$5:$A$3004,$A99,Acuses!$B$5:$B$3004,L$4)&lt;L$5,"Pendiente",IF(L$8=0,"OK",IF(EDATE(_xlfn.MAXIFS(Acuses!$D$5:$D$3004,Acuses!$A$5:$A$3004,$A99,Acuses!$B$5:$B$3004,L$4,Acuses!$C$5:$C$3004,L$5),L$8)&lt;Resumen!$C$4,"Caducado",IF(EDATE(_xlfn.MAXIFS(Acuses!$D$5:$D$3004,Acuses!$A$5:$A$3004,$A99,Acuses!$B$5:$B$3004,L$4,Acuses!$C$5:$C$3004,L$5),L$8)&lt;Resumen!$C$4+30,"Caduca pronto","OK"))))))</f>
        <v/>
      </c>
      <c r="M99" s="26" t="str">
        <f aca="false">IF(OR($A99="",M$4=""),"",IF(NOT(OR(M$6="Toda la plantilla",ISNUMBER(SEARCH(";"&amp;SUBSTITUTE($C99," ","")&amp;";",";"&amp;SUBSTITUTE(M$7," ","")&amp;";")))),"—",IF(_xlfn.MAXIFS(Acuses!$C$5:$C$3004,Acuses!$A$5:$A$3004,$A99,Acuses!$B$5:$B$3004,M$4)&lt;M$5,"Pendiente",IF(M$8=0,"OK",IF(EDATE(_xlfn.MAXIFS(Acuses!$D$5:$D$3004,Acuses!$A$5:$A$3004,$A99,Acuses!$B$5:$B$3004,M$4,Acuses!$C$5:$C$3004,M$5),M$8)&lt;Resumen!$C$4,"Caducado",IF(EDATE(_xlfn.MAXIFS(Acuses!$D$5:$D$3004,Acuses!$A$5:$A$3004,$A99,Acuses!$B$5:$B$3004,M$4,Acuses!$C$5:$C$3004,M$5),M$8)&lt;Resumen!$C$4+30,"Caduca pronto","OK"))))))</f>
        <v/>
      </c>
      <c r="N99" s="26" t="str">
        <f aca="false">IF(OR($A99="",N$4=""),"",IF(NOT(OR(N$6="Toda la plantilla",ISNUMBER(SEARCH(";"&amp;SUBSTITUTE($C99," ","")&amp;";",";"&amp;SUBSTITUTE(N$7," ","")&amp;";")))),"—",IF(_xlfn.MAXIFS(Acuses!$C$5:$C$3004,Acuses!$A$5:$A$3004,$A99,Acuses!$B$5:$B$3004,N$4)&lt;N$5,"Pendiente",IF(N$8=0,"OK",IF(EDATE(_xlfn.MAXIFS(Acuses!$D$5:$D$3004,Acuses!$A$5:$A$3004,$A99,Acuses!$B$5:$B$3004,N$4,Acuses!$C$5:$C$3004,N$5),N$8)&lt;Resumen!$C$4,"Caducado",IF(EDATE(_xlfn.MAXIFS(Acuses!$D$5:$D$3004,Acuses!$A$5:$A$3004,$A99,Acuses!$B$5:$B$3004,N$4,Acuses!$C$5:$C$3004,N$5),N$8)&lt;Resumen!$C$4+30,"Caduca pronto","OK"))))))</f>
        <v/>
      </c>
      <c r="O99" s="26" t="str">
        <f aca="false">IF(OR($A99="",O$4=""),"",IF(NOT(OR(O$6="Toda la plantilla",ISNUMBER(SEARCH(";"&amp;SUBSTITUTE($C99," ","")&amp;";",";"&amp;SUBSTITUTE(O$7," ","")&amp;";")))),"—",IF(_xlfn.MAXIFS(Acuses!$C$5:$C$3004,Acuses!$A$5:$A$3004,$A99,Acuses!$B$5:$B$3004,O$4)&lt;O$5,"Pendiente",IF(O$8=0,"OK",IF(EDATE(_xlfn.MAXIFS(Acuses!$D$5:$D$3004,Acuses!$A$5:$A$3004,$A99,Acuses!$B$5:$B$3004,O$4,Acuses!$C$5:$C$3004,O$5),O$8)&lt;Resumen!$C$4,"Caducado",IF(EDATE(_xlfn.MAXIFS(Acuses!$D$5:$D$3004,Acuses!$A$5:$A$3004,$A99,Acuses!$B$5:$B$3004,O$4,Acuses!$C$5:$C$3004,O$5),O$8)&lt;Resumen!$C$4+30,"Caduca pronto","OK"))))))</f>
        <v/>
      </c>
      <c r="P99" s="26" t="str">
        <f aca="false">IF(OR($A99="",P$4=""),"",IF(NOT(OR(P$6="Toda la plantilla",ISNUMBER(SEARCH(";"&amp;SUBSTITUTE($C99," ","")&amp;";",";"&amp;SUBSTITUTE(P$7," ","")&amp;";")))),"—",IF(_xlfn.MAXIFS(Acuses!$C$5:$C$3004,Acuses!$A$5:$A$3004,$A99,Acuses!$B$5:$B$3004,P$4)&lt;P$5,"Pendiente",IF(P$8=0,"OK",IF(EDATE(_xlfn.MAXIFS(Acuses!$D$5:$D$3004,Acuses!$A$5:$A$3004,$A99,Acuses!$B$5:$B$3004,P$4,Acuses!$C$5:$C$3004,P$5),P$8)&lt;Resumen!$C$4,"Caducado",IF(EDATE(_xlfn.MAXIFS(Acuses!$D$5:$D$3004,Acuses!$A$5:$A$3004,$A99,Acuses!$B$5:$B$3004,P$4,Acuses!$C$5:$C$3004,P$5),P$8)&lt;Resumen!$C$4+30,"Caduca pronto","OK"))))))</f>
        <v/>
      </c>
      <c r="Q99" s="26" t="str">
        <f aca="false">IF(OR($A99="",Q$4=""),"",IF(NOT(OR(Q$6="Toda la plantilla",ISNUMBER(SEARCH(";"&amp;SUBSTITUTE($C99," ","")&amp;";",";"&amp;SUBSTITUTE(Q$7," ","")&amp;";")))),"—",IF(_xlfn.MAXIFS(Acuses!$C$5:$C$3004,Acuses!$A$5:$A$3004,$A99,Acuses!$B$5:$B$3004,Q$4)&lt;Q$5,"Pendiente",IF(Q$8=0,"OK",IF(EDATE(_xlfn.MAXIFS(Acuses!$D$5:$D$3004,Acuses!$A$5:$A$3004,$A99,Acuses!$B$5:$B$3004,Q$4,Acuses!$C$5:$C$3004,Q$5),Q$8)&lt;Resumen!$C$4,"Caducado",IF(EDATE(_xlfn.MAXIFS(Acuses!$D$5:$D$3004,Acuses!$A$5:$A$3004,$A99,Acuses!$B$5:$B$3004,Q$4,Acuses!$C$5:$C$3004,Q$5),Q$8)&lt;Resumen!$C$4+30,"Caduca pronto","OK"))))))</f>
        <v/>
      </c>
      <c r="R99" s="26" t="str">
        <f aca="false">IF(OR($A99="",R$4=""),"",IF(NOT(OR(R$6="Toda la plantilla",ISNUMBER(SEARCH(";"&amp;SUBSTITUTE($C99," ","")&amp;";",";"&amp;SUBSTITUTE(R$7," ","")&amp;";")))),"—",IF(_xlfn.MAXIFS(Acuses!$C$5:$C$3004,Acuses!$A$5:$A$3004,$A99,Acuses!$B$5:$B$3004,R$4)&lt;R$5,"Pendiente",IF(R$8=0,"OK",IF(EDATE(_xlfn.MAXIFS(Acuses!$D$5:$D$3004,Acuses!$A$5:$A$3004,$A99,Acuses!$B$5:$B$3004,R$4,Acuses!$C$5:$C$3004,R$5),R$8)&lt;Resumen!$C$4,"Caducado",IF(EDATE(_xlfn.MAXIFS(Acuses!$D$5:$D$3004,Acuses!$A$5:$A$3004,$A99,Acuses!$B$5:$B$3004,R$4,Acuses!$C$5:$C$3004,R$5),R$8)&lt;Resumen!$C$4+30,"Caduca pronto","OK"))))))</f>
        <v/>
      </c>
      <c r="S99" s="26" t="str">
        <f aca="false">IF(OR($A99="",S$4=""),"",IF(NOT(OR(S$6="Toda la plantilla",ISNUMBER(SEARCH(";"&amp;SUBSTITUTE($C99," ","")&amp;";",";"&amp;SUBSTITUTE(S$7," ","")&amp;";")))),"—",IF(_xlfn.MAXIFS(Acuses!$C$5:$C$3004,Acuses!$A$5:$A$3004,$A99,Acuses!$B$5:$B$3004,S$4)&lt;S$5,"Pendiente",IF(S$8=0,"OK",IF(EDATE(_xlfn.MAXIFS(Acuses!$D$5:$D$3004,Acuses!$A$5:$A$3004,$A99,Acuses!$B$5:$B$3004,S$4,Acuses!$C$5:$C$3004,S$5),S$8)&lt;Resumen!$C$4,"Caducado",IF(EDATE(_xlfn.MAXIFS(Acuses!$D$5:$D$3004,Acuses!$A$5:$A$3004,$A99,Acuses!$B$5:$B$3004,S$4,Acuses!$C$5:$C$3004,S$5),S$8)&lt;Resumen!$C$4+30,"Caduca pronto","OK"))))))</f>
        <v/>
      </c>
      <c r="T99" s="26" t="str">
        <f aca="false">IF(OR($A99="",T$4=""),"",IF(NOT(OR(T$6="Toda la plantilla",ISNUMBER(SEARCH(";"&amp;SUBSTITUTE($C99," ","")&amp;";",";"&amp;SUBSTITUTE(T$7," ","")&amp;";")))),"—",IF(_xlfn.MAXIFS(Acuses!$C$5:$C$3004,Acuses!$A$5:$A$3004,$A99,Acuses!$B$5:$B$3004,T$4)&lt;T$5,"Pendiente",IF(T$8=0,"OK",IF(EDATE(_xlfn.MAXIFS(Acuses!$D$5:$D$3004,Acuses!$A$5:$A$3004,$A99,Acuses!$B$5:$B$3004,T$4,Acuses!$C$5:$C$3004,T$5),T$8)&lt;Resumen!$C$4,"Caducado",IF(EDATE(_xlfn.MAXIFS(Acuses!$D$5:$D$3004,Acuses!$A$5:$A$3004,$A99,Acuses!$B$5:$B$3004,T$4,Acuses!$C$5:$C$3004,T$5),T$8)&lt;Resumen!$C$4+30,"Caduca pronto","OK"))))))</f>
        <v/>
      </c>
      <c r="U99" s="26" t="str">
        <f aca="false">IF(OR($A99="",U$4=""),"",IF(NOT(OR(U$6="Toda la plantilla",ISNUMBER(SEARCH(";"&amp;SUBSTITUTE($C99," ","")&amp;";",";"&amp;SUBSTITUTE(U$7," ","")&amp;";")))),"—",IF(_xlfn.MAXIFS(Acuses!$C$5:$C$3004,Acuses!$A$5:$A$3004,$A99,Acuses!$B$5:$B$3004,U$4)&lt;U$5,"Pendiente",IF(U$8=0,"OK",IF(EDATE(_xlfn.MAXIFS(Acuses!$D$5:$D$3004,Acuses!$A$5:$A$3004,$A99,Acuses!$B$5:$B$3004,U$4,Acuses!$C$5:$C$3004,U$5),U$8)&lt;Resumen!$C$4,"Caducado",IF(EDATE(_xlfn.MAXIFS(Acuses!$D$5:$D$3004,Acuses!$A$5:$A$3004,$A99,Acuses!$B$5:$B$3004,U$4,Acuses!$C$5:$C$3004,U$5),U$8)&lt;Resumen!$C$4+30,"Caduca pronto","OK"))))))</f>
        <v/>
      </c>
      <c r="V99" s="26" t="str">
        <f aca="false">IF(OR($A99="",V$4=""),"",IF(NOT(OR(V$6="Toda la plantilla",ISNUMBER(SEARCH(";"&amp;SUBSTITUTE($C99," ","")&amp;";",";"&amp;SUBSTITUTE(V$7," ","")&amp;";")))),"—",IF(_xlfn.MAXIFS(Acuses!$C$5:$C$3004,Acuses!$A$5:$A$3004,$A99,Acuses!$B$5:$B$3004,V$4)&lt;V$5,"Pendiente",IF(V$8=0,"OK",IF(EDATE(_xlfn.MAXIFS(Acuses!$D$5:$D$3004,Acuses!$A$5:$A$3004,$A99,Acuses!$B$5:$B$3004,V$4,Acuses!$C$5:$C$3004,V$5),V$8)&lt;Resumen!$C$4,"Caducado",IF(EDATE(_xlfn.MAXIFS(Acuses!$D$5:$D$3004,Acuses!$A$5:$A$3004,$A99,Acuses!$B$5:$B$3004,V$4,Acuses!$C$5:$C$3004,V$5),V$8)&lt;Resumen!$C$4+30,"Caduca pronto","OK"))))))</f>
        <v/>
      </c>
      <c r="W99" s="26" t="str">
        <f aca="false">IF(OR($A99="",W$4=""),"",IF(NOT(OR(W$6="Toda la plantilla",ISNUMBER(SEARCH(";"&amp;SUBSTITUTE($C99," ","")&amp;";",";"&amp;SUBSTITUTE(W$7," ","")&amp;";")))),"—",IF(_xlfn.MAXIFS(Acuses!$C$5:$C$3004,Acuses!$A$5:$A$3004,$A99,Acuses!$B$5:$B$3004,W$4)&lt;W$5,"Pendiente",IF(W$8=0,"OK",IF(EDATE(_xlfn.MAXIFS(Acuses!$D$5:$D$3004,Acuses!$A$5:$A$3004,$A99,Acuses!$B$5:$B$3004,W$4,Acuses!$C$5:$C$3004,W$5),W$8)&lt;Resumen!$C$4,"Caducado",IF(EDATE(_xlfn.MAXIFS(Acuses!$D$5:$D$3004,Acuses!$A$5:$A$3004,$A99,Acuses!$B$5:$B$3004,W$4,Acuses!$C$5:$C$3004,W$5),W$8)&lt;Resumen!$C$4+30,"Caduca pronto","OK"))))))</f>
        <v/>
      </c>
      <c r="X99" s="26" t="str">
        <f aca="false">IF(OR($A99="",X$4=""),"",IF(NOT(OR(X$6="Toda la plantilla",ISNUMBER(SEARCH(";"&amp;SUBSTITUTE($C99," ","")&amp;";",";"&amp;SUBSTITUTE(X$7," ","")&amp;";")))),"—",IF(_xlfn.MAXIFS(Acuses!$C$5:$C$3004,Acuses!$A$5:$A$3004,$A99,Acuses!$B$5:$B$3004,X$4)&lt;X$5,"Pendiente",IF(X$8=0,"OK",IF(EDATE(_xlfn.MAXIFS(Acuses!$D$5:$D$3004,Acuses!$A$5:$A$3004,$A99,Acuses!$B$5:$B$3004,X$4,Acuses!$C$5:$C$3004,X$5),X$8)&lt;Resumen!$C$4,"Caducado",IF(EDATE(_xlfn.MAXIFS(Acuses!$D$5:$D$3004,Acuses!$A$5:$A$3004,$A99,Acuses!$B$5:$B$3004,X$4,Acuses!$C$5:$C$3004,X$5),X$8)&lt;Resumen!$C$4+30,"Caduca pronto","OK"))))))</f>
        <v/>
      </c>
      <c r="Y99" s="26" t="str">
        <f aca="false">IF(OR($A99="",Y$4=""),"",IF(NOT(OR(Y$6="Toda la plantilla",ISNUMBER(SEARCH(";"&amp;SUBSTITUTE($C99," ","")&amp;";",";"&amp;SUBSTITUTE(Y$7," ","")&amp;";")))),"—",IF(_xlfn.MAXIFS(Acuses!$C$5:$C$3004,Acuses!$A$5:$A$3004,$A99,Acuses!$B$5:$B$3004,Y$4)&lt;Y$5,"Pendiente",IF(Y$8=0,"OK",IF(EDATE(_xlfn.MAXIFS(Acuses!$D$5:$D$3004,Acuses!$A$5:$A$3004,$A99,Acuses!$B$5:$B$3004,Y$4,Acuses!$C$5:$C$3004,Y$5),Y$8)&lt;Resumen!$C$4,"Caducado",IF(EDATE(_xlfn.MAXIFS(Acuses!$D$5:$D$3004,Acuses!$A$5:$A$3004,$A99,Acuses!$B$5:$B$3004,Y$4,Acuses!$C$5:$C$3004,Y$5),Y$8)&lt;Resumen!$C$4+30,"Caduca pronto","OK"))))))</f>
        <v/>
      </c>
      <c r="Z99" s="26" t="str">
        <f aca="false">IF(OR($A99="",Z$4=""),"",IF(NOT(OR(Z$6="Toda la plantilla",ISNUMBER(SEARCH(";"&amp;SUBSTITUTE($C99," ","")&amp;";",";"&amp;SUBSTITUTE(Z$7," ","")&amp;";")))),"—",IF(_xlfn.MAXIFS(Acuses!$C$5:$C$3004,Acuses!$A$5:$A$3004,$A99,Acuses!$B$5:$B$3004,Z$4)&lt;Z$5,"Pendiente",IF(Z$8=0,"OK",IF(EDATE(_xlfn.MAXIFS(Acuses!$D$5:$D$3004,Acuses!$A$5:$A$3004,$A99,Acuses!$B$5:$B$3004,Z$4,Acuses!$C$5:$C$3004,Z$5),Z$8)&lt;Resumen!$C$4,"Caducado",IF(EDATE(_xlfn.MAXIFS(Acuses!$D$5:$D$3004,Acuses!$A$5:$A$3004,$A99,Acuses!$B$5:$B$3004,Z$4,Acuses!$C$5:$C$3004,Z$5),Z$8)&lt;Resumen!$C$4+30,"Caduca pronto","OK"))))))</f>
        <v/>
      </c>
      <c r="AA99" s="26" t="str">
        <f aca="false">IF(OR($A99="",AA$4=""),"",IF(NOT(OR(AA$6="Toda la plantilla",ISNUMBER(SEARCH(";"&amp;SUBSTITUTE($C99," ","")&amp;";",";"&amp;SUBSTITUTE(AA$7," ","")&amp;";")))),"—",IF(_xlfn.MAXIFS(Acuses!$C$5:$C$3004,Acuses!$A$5:$A$3004,$A99,Acuses!$B$5:$B$3004,AA$4)&lt;AA$5,"Pendiente",IF(AA$8=0,"OK",IF(EDATE(_xlfn.MAXIFS(Acuses!$D$5:$D$3004,Acuses!$A$5:$A$3004,$A99,Acuses!$B$5:$B$3004,AA$4,Acuses!$C$5:$C$3004,AA$5),AA$8)&lt;Resumen!$C$4,"Caducado",IF(EDATE(_xlfn.MAXIFS(Acuses!$D$5:$D$3004,Acuses!$A$5:$A$3004,$A99,Acuses!$B$5:$B$3004,AA$4,Acuses!$C$5:$C$3004,AA$5),AA$8)&lt;Resumen!$C$4+30,"Caduca pronto","OK"))))))</f>
        <v/>
      </c>
      <c r="AB99" s="26" t="str">
        <f aca="false">IF(OR($A99="",AB$4=""),"",IF(NOT(OR(AB$6="Toda la plantilla",ISNUMBER(SEARCH(";"&amp;SUBSTITUTE($C99," ","")&amp;";",";"&amp;SUBSTITUTE(AB$7," ","")&amp;";")))),"—",IF(_xlfn.MAXIFS(Acuses!$C$5:$C$3004,Acuses!$A$5:$A$3004,$A99,Acuses!$B$5:$B$3004,AB$4)&lt;AB$5,"Pendiente",IF(AB$8=0,"OK",IF(EDATE(_xlfn.MAXIFS(Acuses!$D$5:$D$3004,Acuses!$A$5:$A$3004,$A99,Acuses!$B$5:$B$3004,AB$4,Acuses!$C$5:$C$3004,AB$5),AB$8)&lt;Resumen!$C$4,"Caducado",IF(EDATE(_xlfn.MAXIFS(Acuses!$D$5:$D$3004,Acuses!$A$5:$A$3004,$A99,Acuses!$B$5:$B$3004,AB$4,Acuses!$C$5:$C$3004,AB$5),AB$8)&lt;Resumen!$C$4+30,"Caduca pronto","OK"))))))</f>
        <v/>
      </c>
      <c r="AC99" s="26" t="str">
        <f aca="false">IF(OR($A99="",AC$4=""),"",IF(NOT(OR(AC$6="Toda la plantilla",ISNUMBER(SEARCH(";"&amp;SUBSTITUTE($C99," ","")&amp;";",";"&amp;SUBSTITUTE(AC$7," ","")&amp;";")))),"—",IF(_xlfn.MAXIFS(Acuses!$C$5:$C$3004,Acuses!$A$5:$A$3004,$A99,Acuses!$B$5:$B$3004,AC$4)&lt;AC$5,"Pendiente",IF(AC$8=0,"OK",IF(EDATE(_xlfn.MAXIFS(Acuses!$D$5:$D$3004,Acuses!$A$5:$A$3004,$A99,Acuses!$B$5:$B$3004,AC$4,Acuses!$C$5:$C$3004,AC$5),AC$8)&lt;Resumen!$C$4,"Caducado",IF(EDATE(_xlfn.MAXIFS(Acuses!$D$5:$D$3004,Acuses!$A$5:$A$3004,$A99,Acuses!$B$5:$B$3004,AC$4,Acuses!$C$5:$C$3004,AC$5),AC$8)&lt;Resumen!$C$4+30,"Caduca pronto","OK"))))))</f>
        <v/>
      </c>
      <c r="AD99" s="26" t="str">
        <f aca="false">IF(OR($A99="",AD$4=""),"",IF(NOT(OR(AD$6="Toda la plantilla",ISNUMBER(SEARCH(";"&amp;SUBSTITUTE($C99," ","")&amp;";",";"&amp;SUBSTITUTE(AD$7," ","")&amp;";")))),"—",IF(_xlfn.MAXIFS(Acuses!$C$5:$C$3004,Acuses!$A$5:$A$3004,$A99,Acuses!$B$5:$B$3004,AD$4)&lt;AD$5,"Pendiente",IF(AD$8=0,"OK",IF(EDATE(_xlfn.MAXIFS(Acuses!$D$5:$D$3004,Acuses!$A$5:$A$3004,$A99,Acuses!$B$5:$B$3004,AD$4,Acuses!$C$5:$C$3004,AD$5),AD$8)&lt;Resumen!$C$4,"Caducado",IF(EDATE(_xlfn.MAXIFS(Acuses!$D$5:$D$3004,Acuses!$A$5:$A$3004,$A99,Acuses!$B$5:$B$3004,AD$4,Acuses!$C$5:$C$3004,AD$5),AD$8)&lt;Resumen!$C$4+30,"Caduca pronto","OK"))))))</f>
        <v/>
      </c>
      <c r="AE99" s="26" t="str">
        <f aca="false">IF(OR($A99="",AE$4=""),"",IF(NOT(OR(AE$6="Toda la plantilla",ISNUMBER(SEARCH(";"&amp;SUBSTITUTE($C99," ","")&amp;";",";"&amp;SUBSTITUTE(AE$7," ","")&amp;";")))),"—",IF(_xlfn.MAXIFS(Acuses!$C$5:$C$3004,Acuses!$A$5:$A$3004,$A99,Acuses!$B$5:$B$3004,AE$4)&lt;AE$5,"Pendiente",IF(AE$8=0,"OK",IF(EDATE(_xlfn.MAXIFS(Acuses!$D$5:$D$3004,Acuses!$A$5:$A$3004,$A99,Acuses!$B$5:$B$3004,AE$4,Acuses!$C$5:$C$3004,AE$5),AE$8)&lt;Resumen!$C$4,"Caducado",IF(EDATE(_xlfn.MAXIFS(Acuses!$D$5:$D$3004,Acuses!$A$5:$A$3004,$A99,Acuses!$B$5:$B$3004,AE$4,Acuses!$C$5:$C$3004,AE$5),AE$8)&lt;Resumen!$C$4+30,"Caduca pronto","OK"))))))</f>
        <v/>
      </c>
      <c r="AF99" s="26" t="str">
        <f aca="false">IF(OR($A99="",AF$4=""),"",IF(NOT(OR(AF$6="Toda la plantilla",ISNUMBER(SEARCH(";"&amp;SUBSTITUTE($C99," ","")&amp;";",";"&amp;SUBSTITUTE(AF$7," ","")&amp;";")))),"—",IF(_xlfn.MAXIFS(Acuses!$C$5:$C$3004,Acuses!$A$5:$A$3004,$A99,Acuses!$B$5:$B$3004,AF$4)&lt;AF$5,"Pendiente",IF(AF$8=0,"OK",IF(EDATE(_xlfn.MAXIFS(Acuses!$D$5:$D$3004,Acuses!$A$5:$A$3004,$A99,Acuses!$B$5:$B$3004,AF$4,Acuses!$C$5:$C$3004,AF$5),AF$8)&lt;Resumen!$C$4,"Caducado",IF(EDATE(_xlfn.MAXIFS(Acuses!$D$5:$D$3004,Acuses!$A$5:$A$3004,$A99,Acuses!$B$5:$B$3004,AF$4,Acuses!$C$5:$C$3004,AF$5),AF$8)&lt;Resumen!$C$4+30,"Caduca pronto","OK"))))))</f>
        <v/>
      </c>
      <c r="AG99" s="26" t="str">
        <f aca="false">IF(OR($A99="",AG$4=""),"",IF(NOT(OR(AG$6="Toda la plantilla",ISNUMBER(SEARCH(";"&amp;SUBSTITUTE($C99," ","")&amp;";",";"&amp;SUBSTITUTE(AG$7," ","")&amp;";")))),"—",IF(_xlfn.MAXIFS(Acuses!$C$5:$C$3004,Acuses!$A$5:$A$3004,$A99,Acuses!$B$5:$B$3004,AG$4)&lt;AG$5,"Pendiente",IF(AG$8=0,"OK",IF(EDATE(_xlfn.MAXIFS(Acuses!$D$5:$D$3004,Acuses!$A$5:$A$3004,$A99,Acuses!$B$5:$B$3004,AG$4,Acuses!$C$5:$C$3004,AG$5),AG$8)&lt;Resumen!$C$4,"Caducado",IF(EDATE(_xlfn.MAXIFS(Acuses!$D$5:$D$3004,Acuses!$A$5:$A$3004,$A99,Acuses!$B$5:$B$3004,AG$4,Acuses!$C$5:$C$3004,AG$5),AG$8)&lt;Resumen!$C$4+30,"Caduca pronto","OK"))))))</f>
        <v/>
      </c>
      <c r="AH99" s="26" t="str">
        <f aca="false">IF(OR($A99="",AH$4=""),"",IF(NOT(OR(AH$6="Toda la plantilla",ISNUMBER(SEARCH(";"&amp;SUBSTITUTE($C99," ","")&amp;";",";"&amp;SUBSTITUTE(AH$7," ","")&amp;";")))),"—",IF(_xlfn.MAXIFS(Acuses!$C$5:$C$3004,Acuses!$A$5:$A$3004,$A99,Acuses!$B$5:$B$3004,AH$4)&lt;AH$5,"Pendiente",IF(AH$8=0,"OK",IF(EDATE(_xlfn.MAXIFS(Acuses!$D$5:$D$3004,Acuses!$A$5:$A$3004,$A99,Acuses!$B$5:$B$3004,AH$4,Acuses!$C$5:$C$3004,AH$5),AH$8)&lt;Resumen!$C$4,"Caducado",IF(EDATE(_xlfn.MAXIFS(Acuses!$D$5:$D$3004,Acuses!$A$5:$A$3004,$A99,Acuses!$B$5:$B$3004,AH$4,Acuses!$C$5:$C$3004,AH$5),AH$8)&lt;Resumen!$C$4+30,"Caduca pronto","OK"))))))</f>
        <v/>
      </c>
      <c r="AI99" s="26" t="str">
        <f aca="false">IF(OR($A99="",AI$4=""),"",IF(NOT(OR(AI$6="Toda la plantilla",ISNUMBER(SEARCH(";"&amp;SUBSTITUTE($C99," ","")&amp;";",";"&amp;SUBSTITUTE(AI$7," ","")&amp;";")))),"—",IF(_xlfn.MAXIFS(Acuses!$C$5:$C$3004,Acuses!$A$5:$A$3004,$A99,Acuses!$B$5:$B$3004,AI$4)&lt;AI$5,"Pendiente",IF(AI$8=0,"OK",IF(EDATE(_xlfn.MAXIFS(Acuses!$D$5:$D$3004,Acuses!$A$5:$A$3004,$A99,Acuses!$B$5:$B$3004,AI$4,Acuses!$C$5:$C$3004,AI$5),AI$8)&lt;Resumen!$C$4,"Caducado",IF(EDATE(_xlfn.MAXIFS(Acuses!$D$5:$D$3004,Acuses!$A$5:$A$3004,$A99,Acuses!$B$5:$B$3004,AI$4,Acuses!$C$5:$C$3004,AI$5),AI$8)&lt;Resumen!$C$4+30,"Caduca pronto","OK"))))))</f>
        <v/>
      </c>
      <c r="AJ99" s="26" t="str">
        <f aca="false">IF(OR($A99="",AJ$4=""),"",IF(NOT(OR(AJ$6="Toda la plantilla",ISNUMBER(SEARCH(";"&amp;SUBSTITUTE($C99," ","")&amp;";",";"&amp;SUBSTITUTE(AJ$7," ","")&amp;";")))),"—",IF(_xlfn.MAXIFS(Acuses!$C$5:$C$3004,Acuses!$A$5:$A$3004,$A99,Acuses!$B$5:$B$3004,AJ$4)&lt;AJ$5,"Pendiente",IF(AJ$8=0,"OK",IF(EDATE(_xlfn.MAXIFS(Acuses!$D$5:$D$3004,Acuses!$A$5:$A$3004,$A99,Acuses!$B$5:$B$3004,AJ$4,Acuses!$C$5:$C$3004,AJ$5),AJ$8)&lt;Resumen!$C$4,"Caducado",IF(EDATE(_xlfn.MAXIFS(Acuses!$D$5:$D$3004,Acuses!$A$5:$A$3004,$A99,Acuses!$B$5:$B$3004,AJ$4,Acuses!$C$5:$C$3004,AJ$5),AJ$8)&lt;Resumen!$C$4+30,"Caduca pronto","OK"))))))</f>
        <v/>
      </c>
      <c r="AK99" s="26" t="str">
        <f aca="false">IF(OR($A99="",AK$4=""),"",IF(NOT(OR(AK$6="Toda la plantilla",ISNUMBER(SEARCH(";"&amp;SUBSTITUTE($C99," ","")&amp;";",";"&amp;SUBSTITUTE(AK$7," ","")&amp;";")))),"—",IF(_xlfn.MAXIFS(Acuses!$C$5:$C$3004,Acuses!$A$5:$A$3004,$A99,Acuses!$B$5:$B$3004,AK$4)&lt;AK$5,"Pendiente",IF(AK$8=0,"OK",IF(EDATE(_xlfn.MAXIFS(Acuses!$D$5:$D$3004,Acuses!$A$5:$A$3004,$A99,Acuses!$B$5:$B$3004,AK$4,Acuses!$C$5:$C$3004,AK$5),AK$8)&lt;Resumen!$C$4,"Caducado",IF(EDATE(_xlfn.MAXIFS(Acuses!$D$5:$D$3004,Acuses!$A$5:$A$3004,$A99,Acuses!$B$5:$B$3004,AK$4,Acuses!$C$5:$C$3004,AK$5),AK$8)&lt;Resumen!$C$4+30,"Caduca pronto","OK"))))))</f>
        <v/>
      </c>
      <c r="AL99" s="26" t="str">
        <f aca="false">IF(OR($A99="",AL$4=""),"",IF(NOT(OR(AL$6="Toda la plantilla",ISNUMBER(SEARCH(";"&amp;SUBSTITUTE($C99," ","")&amp;";",";"&amp;SUBSTITUTE(AL$7," ","")&amp;";")))),"—",IF(_xlfn.MAXIFS(Acuses!$C$5:$C$3004,Acuses!$A$5:$A$3004,$A99,Acuses!$B$5:$B$3004,AL$4)&lt;AL$5,"Pendiente",IF(AL$8=0,"OK",IF(EDATE(_xlfn.MAXIFS(Acuses!$D$5:$D$3004,Acuses!$A$5:$A$3004,$A99,Acuses!$B$5:$B$3004,AL$4,Acuses!$C$5:$C$3004,AL$5),AL$8)&lt;Resumen!$C$4,"Caducado",IF(EDATE(_xlfn.MAXIFS(Acuses!$D$5:$D$3004,Acuses!$A$5:$A$3004,$A99,Acuses!$B$5:$B$3004,AL$4,Acuses!$C$5:$C$3004,AL$5),AL$8)&lt;Resumen!$C$4+30,"Caduca pronto","OK"))))))</f>
        <v/>
      </c>
      <c r="AM99" s="26" t="str">
        <f aca="false">IF(OR($A99="",AM$4=""),"",IF(NOT(OR(AM$6="Toda la plantilla",ISNUMBER(SEARCH(";"&amp;SUBSTITUTE($C99," ","")&amp;";",";"&amp;SUBSTITUTE(AM$7," ","")&amp;";")))),"—",IF(_xlfn.MAXIFS(Acuses!$C$5:$C$3004,Acuses!$A$5:$A$3004,$A99,Acuses!$B$5:$B$3004,AM$4)&lt;AM$5,"Pendiente",IF(AM$8=0,"OK",IF(EDATE(_xlfn.MAXIFS(Acuses!$D$5:$D$3004,Acuses!$A$5:$A$3004,$A99,Acuses!$B$5:$B$3004,AM$4,Acuses!$C$5:$C$3004,AM$5),AM$8)&lt;Resumen!$C$4,"Caducado",IF(EDATE(_xlfn.MAXIFS(Acuses!$D$5:$D$3004,Acuses!$A$5:$A$3004,$A99,Acuses!$B$5:$B$3004,AM$4,Acuses!$C$5:$C$3004,AM$5),AM$8)&lt;Resumen!$C$4+30,"Caduca pronto","OK"))))))</f>
        <v/>
      </c>
      <c r="AN99" s="26" t="str">
        <f aca="false">IF(OR($A99="",AN$4=""),"",IF(NOT(OR(AN$6="Toda la plantilla",ISNUMBER(SEARCH(";"&amp;SUBSTITUTE($C99," ","")&amp;";",";"&amp;SUBSTITUTE(AN$7," ","")&amp;";")))),"—",IF(_xlfn.MAXIFS(Acuses!$C$5:$C$3004,Acuses!$A$5:$A$3004,$A99,Acuses!$B$5:$B$3004,AN$4)&lt;AN$5,"Pendiente",IF(AN$8=0,"OK",IF(EDATE(_xlfn.MAXIFS(Acuses!$D$5:$D$3004,Acuses!$A$5:$A$3004,$A99,Acuses!$B$5:$B$3004,AN$4,Acuses!$C$5:$C$3004,AN$5),AN$8)&lt;Resumen!$C$4,"Caducado",IF(EDATE(_xlfn.MAXIFS(Acuses!$D$5:$D$3004,Acuses!$A$5:$A$3004,$A99,Acuses!$B$5:$B$3004,AN$4,Acuses!$C$5:$C$3004,AN$5),AN$8)&lt;Resumen!$C$4+30,"Caduca pronto","OK"))))))</f>
        <v/>
      </c>
      <c r="AO99" s="26" t="str">
        <f aca="false">IF(OR($A99="",AO$4=""),"",IF(NOT(OR(AO$6="Toda la plantilla",ISNUMBER(SEARCH(";"&amp;SUBSTITUTE($C99," ","")&amp;";",";"&amp;SUBSTITUTE(AO$7," ","")&amp;";")))),"—",IF(_xlfn.MAXIFS(Acuses!$C$5:$C$3004,Acuses!$A$5:$A$3004,$A99,Acuses!$B$5:$B$3004,AO$4)&lt;AO$5,"Pendiente",IF(AO$8=0,"OK",IF(EDATE(_xlfn.MAXIFS(Acuses!$D$5:$D$3004,Acuses!$A$5:$A$3004,$A99,Acuses!$B$5:$B$3004,AO$4,Acuses!$C$5:$C$3004,AO$5),AO$8)&lt;Resumen!$C$4,"Caducado",IF(EDATE(_xlfn.MAXIFS(Acuses!$D$5:$D$3004,Acuses!$A$5:$A$3004,$A99,Acuses!$B$5:$B$3004,AO$4,Acuses!$C$5:$C$3004,AO$5),AO$8)&lt;Resumen!$C$4+30,"Caduca pronto","OK"))))))</f>
        <v/>
      </c>
      <c r="AP99" s="26" t="str">
        <f aca="false">IF(OR($A99="",AP$4=""),"",IF(NOT(OR(AP$6="Toda la plantilla",ISNUMBER(SEARCH(";"&amp;SUBSTITUTE($C99," ","")&amp;";",";"&amp;SUBSTITUTE(AP$7," ","")&amp;";")))),"—",IF(_xlfn.MAXIFS(Acuses!$C$5:$C$3004,Acuses!$A$5:$A$3004,$A99,Acuses!$B$5:$B$3004,AP$4)&lt;AP$5,"Pendiente",IF(AP$8=0,"OK",IF(EDATE(_xlfn.MAXIFS(Acuses!$D$5:$D$3004,Acuses!$A$5:$A$3004,$A99,Acuses!$B$5:$B$3004,AP$4,Acuses!$C$5:$C$3004,AP$5),AP$8)&lt;Resumen!$C$4,"Caducado",IF(EDATE(_xlfn.MAXIFS(Acuses!$D$5:$D$3004,Acuses!$A$5:$A$3004,$A99,Acuses!$B$5:$B$3004,AP$4,Acuses!$C$5:$C$3004,AP$5),AP$8)&lt;Resumen!$C$4+30,"Caduca pronto","OK"))))))</f>
        <v/>
      </c>
      <c r="AQ99" s="26" t="str">
        <f aca="false">IF(OR($A99="",AQ$4=""),"",IF(NOT(OR(AQ$6="Toda la plantilla",ISNUMBER(SEARCH(";"&amp;SUBSTITUTE($C99," ","")&amp;";",";"&amp;SUBSTITUTE(AQ$7," ","")&amp;";")))),"—",IF(_xlfn.MAXIFS(Acuses!$C$5:$C$3004,Acuses!$A$5:$A$3004,$A99,Acuses!$B$5:$B$3004,AQ$4)&lt;AQ$5,"Pendiente",IF(AQ$8=0,"OK",IF(EDATE(_xlfn.MAXIFS(Acuses!$D$5:$D$3004,Acuses!$A$5:$A$3004,$A99,Acuses!$B$5:$B$3004,AQ$4,Acuses!$C$5:$C$3004,AQ$5),AQ$8)&lt;Resumen!$C$4,"Caducado",IF(EDATE(_xlfn.MAXIFS(Acuses!$D$5:$D$3004,Acuses!$A$5:$A$3004,$A99,Acuses!$B$5:$B$3004,AQ$4,Acuses!$C$5:$C$3004,AQ$5),AQ$8)&lt;Resumen!$C$4+30,"Caduca pronto","OK"))))))</f>
        <v/>
      </c>
    </row>
    <row r="100" customFormat="false" ht="15" hidden="false" customHeight="false" outlineLevel="0" collapsed="false">
      <c r="A100" s="25" t="str">
        <f aca="false">IF(AND(Trabajadores!$A$95&lt;&gt;"",Trabajadores!$G$95&lt;&gt;"No"),Trabajadores!$A$95,"")</f>
        <v/>
      </c>
      <c r="B100" s="25" t="str">
        <f aca="false">IF($A100="","",Trabajadores!$B$95)</f>
        <v/>
      </c>
      <c r="C100" s="25" t="str">
        <f aca="false">IF($A100="","",Trabajadores!$C$95)</f>
        <v/>
      </c>
      <c r="D100" s="26" t="str">
        <f aca="false">IF(OR($A100="",D$4=""),"",IF(NOT(OR(D$6="Toda la plantilla",ISNUMBER(SEARCH(";"&amp;SUBSTITUTE($C100," ","")&amp;";",";"&amp;SUBSTITUTE(D$7," ","")&amp;";")))),"—",IF(_xlfn.MAXIFS(Acuses!$C$5:$C$3004,Acuses!$A$5:$A$3004,$A100,Acuses!$B$5:$B$3004,D$4)&lt;D$5,"Pendiente",IF(D$8=0,"OK",IF(EDATE(_xlfn.MAXIFS(Acuses!$D$5:$D$3004,Acuses!$A$5:$A$3004,$A100,Acuses!$B$5:$B$3004,D$4,Acuses!$C$5:$C$3004,D$5),D$8)&lt;Resumen!$C$4,"Caducado",IF(EDATE(_xlfn.MAXIFS(Acuses!$D$5:$D$3004,Acuses!$A$5:$A$3004,$A100,Acuses!$B$5:$B$3004,D$4,Acuses!$C$5:$C$3004,D$5),D$8)&lt;Resumen!$C$4+30,"Caduca pronto","OK"))))))</f>
        <v/>
      </c>
      <c r="E100" s="26" t="str">
        <f aca="false">IF(OR($A100="",E$4=""),"",IF(NOT(OR(E$6="Toda la plantilla",ISNUMBER(SEARCH(";"&amp;SUBSTITUTE($C100," ","")&amp;";",";"&amp;SUBSTITUTE(E$7," ","")&amp;";")))),"—",IF(_xlfn.MAXIFS(Acuses!$C$5:$C$3004,Acuses!$A$5:$A$3004,$A100,Acuses!$B$5:$B$3004,E$4)&lt;E$5,"Pendiente",IF(E$8=0,"OK",IF(EDATE(_xlfn.MAXIFS(Acuses!$D$5:$D$3004,Acuses!$A$5:$A$3004,$A100,Acuses!$B$5:$B$3004,E$4,Acuses!$C$5:$C$3004,E$5),E$8)&lt;Resumen!$C$4,"Caducado",IF(EDATE(_xlfn.MAXIFS(Acuses!$D$5:$D$3004,Acuses!$A$5:$A$3004,$A100,Acuses!$B$5:$B$3004,E$4,Acuses!$C$5:$C$3004,E$5),E$8)&lt;Resumen!$C$4+30,"Caduca pronto","OK"))))))</f>
        <v/>
      </c>
      <c r="F100" s="26" t="str">
        <f aca="false">IF(OR($A100="",F$4=""),"",IF(NOT(OR(F$6="Toda la plantilla",ISNUMBER(SEARCH(";"&amp;SUBSTITUTE($C100," ","")&amp;";",";"&amp;SUBSTITUTE(F$7," ","")&amp;";")))),"—",IF(_xlfn.MAXIFS(Acuses!$C$5:$C$3004,Acuses!$A$5:$A$3004,$A100,Acuses!$B$5:$B$3004,F$4)&lt;F$5,"Pendiente",IF(F$8=0,"OK",IF(EDATE(_xlfn.MAXIFS(Acuses!$D$5:$D$3004,Acuses!$A$5:$A$3004,$A100,Acuses!$B$5:$B$3004,F$4,Acuses!$C$5:$C$3004,F$5),F$8)&lt;Resumen!$C$4,"Caducado",IF(EDATE(_xlfn.MAXIFS(Acuses!$D$5:$D$3004,Acuses!$A$5:$A$3004,$A100,Acuses!$B$5:$B$3004,F$4,Acuses!$C$5:$C$3004,F$5),F$8)&lt;Resumen!$C$4+30,"Caduca pronto","OK"))))))</f>
        <v/>
      </c>
      <c r="G100" s="26" t="str">
        <f aca="false">IF(OR($A100="",G$4=""),"",IF(NOT(OR(G$6="Toda la plantilla",ISNUMBER(SEARCH(";"&amp;SUBSTITUTE($C100," ","")&amp;";",";"&amp;SUBSTITUTE(G$7," ","")&amp;";")))),"—",IF(_xlfn.MAXIFS(Acuses!$C$5:$C$3004,Acuses!$A$5:$A$3004,$A100,Acuses!$B$5:$B$3004,G$4)&lt;G$5,"Pendiente",IF(G$8=0,"OK",IF(EDATE(_xlfn.MAXIFS(Acuses!$D$5:$D$3004,Acuses!$A$5:$A$3004,$A100,Acuses!$B$5:$B$3004,G$4,Acuses!$C$5:$C$3004,G$5),G$8)&lt;Resumen!$C$4,"Caducado",IF(EDATE(_xlfn.MAXIFS(Acuses!$D$5:$D$3004,Acuses!$A$5:$A$3004,$A100,Acuses!$B$5:$B$3004,G$4,Acuses!$C$5:$C$3004,G$5),G$8)&lt;Resumen!$C$4+30,"Caduca pronto","OK"))))))</f>
        <v/>
      </c>
      <c r="H100" s="26" t="str">
        <f aca="false">IF(OR($A100="",H$4=""),"",IF(NOT(OR(H$6="Toda la plantilla",ISNUMBER(SEARCH(";"&amp;SUBSTITUTE($C100," ","")&amp;";",";"&amp;SUBSTITUTE(H$7," ","")&amp;";")))),"—",IF(_xlfn.MAXIFS(Acuses!$C$5:$C$3004,Acuses!$A$5:$A$3004,$A100,Acuses!$B$5:$B$3004,H$4)&lt;H$5,"Pendiente",IF(H$8=0,"OK",IF(EDATE(_xlfn.MAXIFS(Acuses!$D$5:$D$3004,Acuses!$A$5:$A$3004,$A100,Acuses!$B$5:$B$3004,H$4,Acuses!$C$5:$C$3004,H$5),H$8)&lt;Resumen!$C$4,"Caducado",IF(EDATE(_xlfn.MAXIFS(Acuses!$D$5:$D$3004,Acuses!$A$5:$A$3004,$A100,Acuses!$B$5:$B$3004,H$4,Acuses!$C$5:$C$3004,H$5),H$8)&lt;Resumen!$C$4+30,"Caduca pronto","OK"))))))</f>
        <v/>
      </c>
      <c r="I100" s="26" t="str">
        <f aca="false">IF(OR($A100="",I$4=""),"",IF(NOT(OR(I$6="Toda la plantilla",ISNUMBER(SEARCH(";"&amp;SUBSTITUTE($C100," ","")&amp;";",";"&amp;SUBSTITUTE(I$7," ","")&amp;";")))),"—",IF(_xlfn.MAXIFS(Acuses!$C$5:$C$3004,Acuses!$A$5:$A$3004,$A100,Acuses!$B$5:$B$3004,I$4)&lt;I$5,"Pendiente",IF(I$8=0,"OK",IF(EDATE(_xlfn.MAXIFS(Acuses!$D$5:$D$3004,Acuses!$A$5:$A$3004,$A100,Acuses!$B$5:$B$3004,I$4,Acuses!$C$5:$C$3004,I$5),I$8)&lt;Resumen!$C$4,"Caducado",IF(EDATE(_xlfn.MAXIFS(Acuses!$D$5:$D$3004,Acuses!$A$5:$A$3004,$A100,Acuses!$B$5:$B$3004,I$4,Acuses!$C$5:$C$3004,I$5),I$8)&lt;Resumen!$C$4+30,"Caduca pronto","OK"))))))</f>
        <v/>
      </c>
      <c r="J100" s="26" t="str">
        <f aca="false">IF(OR($A100="",J$4=""),"",IF(NOT(OR(J$6="Toda la plantilla",ISNUMBER(SEARCH(";"&amp;SUBSTITUTE($C100," ","")&amp;";",";"&amp;SUBSTITUTE(J$7," ","")&amp;";")))),"—",IF(_xlfn.MAXIFS(Acuses!$C$5:$C$3004,Acuses!$A$5:$A$3004,$A100,Acuses!$B$5:$B$3004,J$4)&lt;J$5,"Pendiente",IF(J$8=0,"OK",IF(EDATE(_xlfn.MAXIFS(Acuses!$D$5:$D$3004,Acuses!$A$5:$A$3004,$A100,Acuses!$B$5:$B$3004,J$4,Acuses!$C$5:$C$3004,J$5),J$8)&lt;Resumen!$C$4,"Caducado",IF(EDATE(_xlfn.MAXIFS(Acuses!$D$5:$D$3004,Acuses!$A$5:$A$3004,$A100,Acuses!$B$5:$B$3004,J$4,Acuses!$C$5:$C$3004,J$5),J$8)&lt;Resumen!$C$4+30,"Caduca pronto","OK"))))))</f>
        <v/>
      </c>
      <c r="K100" s="26" t="str">
        <f aca="false">IF(OR($A100="",K$4=""),"",IF(NOT(OR(K$6="Toda la plantilla",ISNUMBER(SEARCH(";"&amp;SUBSTITUTE($C100," ","")&amp;";",";"&amp;SUBSTITUTE(K$7," ","")&amp;";")))),"—",IF(_xlfn.MAXIFS(Acuses!$C$5:$C$3004,Acuses!$A$5:$A$3004,$A100,Acuses!$B$5:$B$3004,K$4)&lt;K$5,"Pendiente",IF(K$8=0,"OK",IF(EDATE(_xlfn.MAXIFS(Acuses!$D$5:$D$3004,Acuses!$A$5:$A$3004,$A100,Acuses!$B$5:$B$3004,K$4,Acuses!$C$5:$C$3004,K$5),K$8)&lt;Resumen!$C$4,"Caducado",IF(EDATE(_xlfn.MAXIFS(Acuses!$D$5:$D$3004,Acuses!$A$5:$A$3004,$A100,Acuses!$B$5:$B$3004,K$4,Acuses!$C$5:$C$3004,K$5),K$8)&lt;Resumen!$C$4+30,"Caduca pronto","OK"))))))</f>
        <v/>
      </c>
      <c r="L100" s="26" t="str">
        <f aca="false">IF(OR($A100="",L$4=""),"",IF(NOT(OR(L$6="Toda la plantilla",ISNUMBER(SEARCH(";"&amp;SUBSTITUTE($C100," ","")&amp;";",";"&amp;SUBSTITUTE(L$7," ","")&amp;";")))),"—",IF(_xlfn.MAXIFS(Acuses!$C$5:$C$3004,Acuses!$A$5:$A$3004,$A100,Acuses!$B$5:$B$3004,L$4)&lt;L$5,"Pendiente",IF(L$8=0,"OK",IF(EDATE(_xlfn.MAXIFS(Acuses!$D$5:$D$3004,Acuses!$A$5:$A$3004,$A100,Acuses!$B$5:$B$3004,L$4,Acuses!$C$5:$C$3004,L$5),L$8)&lt;Resumen!$C$4,"Caducado",IF(EDATE(_xlfn.MAXIFS(Acuses!$D$5:$D$3004,Acuses!$A$5:$A$3004,$A100,Acuses!$B$5:$B$3004,L$4,Acuses!$C$5:$C$3004,L$5),L$8)&lt;Resumen!$C$4+30,"Caduca pronto","OK"))))))</f>
        <v/>
      </c>
      <c r="M100" s="26" t="str">
        <f aca="false">IF(OR($A100="",M$4=""),"",IF(NOT(OR(M$6="Toda la plantilla",ISNUMBER(SEARCH(";"&amp;SUBSTITUTE($C100," ","")&amp;";",";"&amp;SUBSTITUTE(M$7," ","")&amp;";")))),"—",IF(_xlfn.MAXIFS(Acuses!$C$5:$C$3004,Acuses!$A$5:$A$3004,$A100,Acuses!$B$5:$B$3004,M$4)&lt;M$5,"Pendiente",IF(M$8=0,"OK",IF(EDATE(_xlfn.MAXIFS(Acuses!$D$5:$D$3004,Acuses!$A$5:$A$3004,$A100,Acuses!$B$5:$B$3004,M$4,Acuses!$C$5:$C$3004,M$5),M$8)&lt;Resumen!$C$4,"Caducado",IF(EDATE(_xlfn.MAXIFS(Acuses!$D$5:$D$3004,Acuses!$A$5:$A$3004,$A100,Acuses!$B$5:$B$3004,M$4,Acuses!$C$5:$C$3004,M$5),M$8)&lt;Resumen!$C$4+30,"Caduca pronto","OK"))))))</f>
        <v/>
      </c>
      <c r="N100" s="26" t="str">
        <f aca="false">IF(OR($A100="",N$4=""),"",IF(NOT(OR(N$6="Toda la plantilla",ISNUMBER(SEARCH(";"&amp;SUBSTITUTE($C100," ","")&amp;";",";"&amp;SUBSTITUTE(N$7," ","")&amp;";")))),"—",IF(_xlfn.MAXIFS(Acuses!$C$5:$C$3004,Acuses!$A$5:$A$3004,$A100,Acuses!$B$5:$B$3004,N$4)&lt;N$5,"Pendiente",IF(N$8=0,"OK",IF(EDATE(_xlfn.MAXIFS(Acuses!$D$5:$D$3004,Acuses!$A$5:$A$3004,$A100,Acuses!$B$5:$B$3004,N$4,Acuses!$C$5:$C$3004,N$5),N$8)&lt;Resumen!$C$4,"Caducado",IF(EDATE(_xlfn.MAXIFS(Acuses!$D$5:$D$3004,Acuses!$A$5:$A$3004,$A100,Acuses!$B$5:$B$3004,N$4,Acuses!$C$5:$C$3004,N$5),N$8)&lt;Resumen!$C$4+30,"Caduca pronto","OK"))))))</f>
        <v/>
      </c>
      <c r="O100" s="26" t="str">
        <f aca="false">IF(OR($A100="",O$4=""),"",IF(NOT(OR(O$6="Toda la plantilla",ISNUMBER(SEARCH(";"&amp;SUBSTITUTE($C100," ","")&amp;";",";"&amp;SUBSTITUTE(O$7," ","")&amp;";")))),"—",IF(_xlfn.MAXIFS(Acuses!$C$5:$C$3004,Acuses!$A$5:$A$3004,$A100,Acuses!$B$5:$B$3004,O$4)&lt;O$5,"Pendiente",IF(O$8=0,"OK",IF(EDATE(_xlfn.MAXIFS(Acuses!$D$5:$D$3004,Acuses!$A$5:$A$3004,$A100,Acuses!$B$5:$B$3004,O$4,Acuses!$C$5:$C$3004,O$5),O$8)&lt;Resumen!$C$4,"Caducado",IF(EDATE(_xlfn.MAXIFS(Acuses!$D$5:$D$3004,Acuses!$A$5:$A$3004,$A100,Acuses!$B$5:$B$3004,O$4,Acuses!$C$5:$C$3004,O$5),O$8)&lt;Resumen!$C$4+30,"Caduca pronto","OK"))))))</f>
        <v/>
      </c>
      <c r="P100" s="26" t="str">
        <f aca="false">IF(OR($A100="",P$4=""),"",IF(NOT(OR(P$6="Toda la plantilla",ISNUMBER(SEARCH(";"&amp;SUBSTITUTE($C100," ","")&amp;";",";"&amp;SUBSTITUTE(P$7," ","")&amp;";")))),"—",IF(_xlfn.MAXIFS(Acuses!$C$5:$C$3004,Acuses!$A$5:$A$3004,$A100,Acuses!$B$5:$B$3004,P$4)&lt;P$5,"Pendiente",IF(P$8=0,"OK",IF(EDATE(_xlfn.MAXIFS(Acuses!$D$5:$D$3004,Acuses!$A$5:$A$3004,$A100,Acuses!$B$5:$B$3004,P$4,Acuses!$C$5:$C$3004,P$5),P$8)&lt;Resumen!$C$4,"Caducado",IF(EDATE(_xlfn.MAXIFS(Acuses!$D$5:$D$3004,Acuses!$A$5:$A$3004,$A100,Acuses!$B$5:$B$3004,P$4,Acuses!$C$5:$C$3004,P$5),P$8)&lt;Resumen!$C$4+30,"Caduca pronto","OK"))))))</f>
        <v/>
      </c>
      <c r="Q100" s="26" t="str">
        <f aca="false">IF(OR($A100="",Q$4=""),"",IF(NOT(OR(Q$6="Toda la plantilla",ISNUMBER(SEARCH(";"&amp;SUBSTITUTE($C100," ","")&amp;";",";"&amp;SUBSTITUTE(Q$7," ","")&amp;";")))),"—",IF(_xlfn.MAXIFS(Acuses!$C$5:$C$3004,Acuses!$A$5:$A$3004,$A100,Acuses!$B$5:$B$3004,Q$4)&lt;Q$5,"Pendiente",IF(Q$8=0,"OK",IF(EDATE(_xlfn.MAXIFS(Acuses!$D$5:$D$3004,Acuses!$A$5:$A$3004,$A100,Acuses!$B$5:$B$3004,Q$4,Acuses!$C$5:$C$3004,Q$5),Q$8)&lt;Resumen!$C$4,"Caducado",IF(EDATE(_xlfn.MAXIFS(Acuses!$D$5:$D$3004,Acuses!$A$5:$A$3004,$A100,Acuses!$B$5:$B$3004,Q$4,Acuses!$C$5:$C$3004,Q$5),Q$8)&lt;Resumen!$C$4+30,"Caduca pronto","OK"))))))</f>
        <v/>
      </c>
      <c r="R100" s="26" t="str">
        <f aca="false">IF(OR($A100="",R$4=""),"",IF(NOT(OR(R$6="Toda la plantilla",ISNUMBER(SEARCH(";"&amp;SUBSTITUTE($C100," ","")&amp;";",";"&amp;SUBSTITUTE(R$7," ","")&amp;";")))),"—",IF(_xlfn.MAXIFS(Acuses!$C$5:$C$3004,Acuses!$A$5:$A$3004,$A100,Acuses!$B$5:$B$3004,R$4)&lt;R$5,"Pendiente",IF(R$8=0,"OK",IF(EDATE(_xlfn.MAXIFS(Acuses!$D$5:$D$3004,Acuses!$A$5:$A$3004,$A100,Acuses!$B$5:$B$3004,R$4,Acuses!$C$5:$C$3004,R$5),R$8)&lt;Resumen!$C$4,"Caducado",IF(EDATE(_xlfn.MAXIFS(Acuses!$D$5:$D$3004,Acuses!$A$5:$A$3004,$A100,Acuses!$B$5:$B$3004,R$4,Acuses!$C$5:$C$3004,R$5),R$8)&lt;Resumen!$C$4+30,"Caduca pronto","OK"))))))</f>
        <v/>
      </c>
      <c r="S100" s="26" t="str">
        <f aca="false">IF(OR($A100="",S$4=""),"",IF(NOT(OR(S$6="Toda la plantilla",ISNUMBER(SEARCH(";"&amp;SUBSTITUTE($C100," ","")&amp;";",";"&amp;SUBSTITUTE(S$7," ","")&amp;";")))),"—",IF(_xlfn.MAXIFS(Acuses!$C$5:$C$3004,Acuses!$A$5:$A$3004,$A100,Acuses!$B$5:$B$3004,S$4)&lt;S$5,"Pendiente",IF(S$8=0,"OK",IF(EDATE(_xlfn.MAXIFS(Acuses!$D$5:$D$3004,Acuses!$A$5:$A$3004,$A100,Acuses!$B$5:$B$3004,S$4,Acuses!$C$5:$C$3004,S$5),S$8)&lt;Resumen!$C$4,"Caducado",IF(EDATE(_xlfn.MAXIFS(Acuses!$D$5:$D$3004,Acuses!$A$5:$A$3004,$A100,Acuses!$B$5:$B$3004,S$4,Acuses!$C$5:$C$3004,S$5),S$8)&lt;Resumen!$C$4+30,"Caduca pronto","OK"))))))</f>
        <v/>
      </c>
      <c r="T100" s="26" t="str">
        <f aca="false">IF(OR($A100="",T$4=""),"",IF(NOT(OR(T$6="Toda la plantilla",ISNUMBER(SEARCH(";"&amp;SUBSTITUTE($C100," ","")&amp;";",";"&amp;SUBSTITUTE(T$7," ","")&amp;";")))),"—",IF(_xlfn.MAXIFS(Acuses!$C$5:$C$3004,Acuses!$A$5:$A$3004,$A100,Acuses!$B$5:$B$3004,T$4)&lt;T$5,"Pendiente",IF(T$8=0,"OK",IF(EDATE(_xlfn.MAXIFS(Acuses!$D$5:$D$3004,Acuses!$A$5:$A$3004,$A100,Acuses!$B$5:$B$3004,T$4,Acuses!$C$5:$C$3004,T$5),T$8)&lt;Resumen!$C$4,"Caducado",IF(EDATE(_xlfn.MAXIFS(Acuses!$D$5:$D$3004,Acuses!$A$5:$A$3004,$A100,Acuses!$B$5:$B$3004,T$4,Acuses!$C$5:$C$3004,T$5),T$8)&lt;Resumen!$C$4+30,"Caduca pronto","OK"))))))</f>
        <v/>
      </c>
      <c r="U100" s="26" t="str">
        <f aca="false">IF(OR($A100="",U$4=""),"",IF(NOT(OR(U$6="Toda la plantilla",ISNUMBER(SEARCH(";"&amp;SUBSTITUTE($C100," ","")&amp;";",";"&amp;SUBSTITUTE(U$7," ","")&amp;";")))),"—",IF(_xlfn.MAXIFS(Acuses!$C$5:$C$3004,Acuses!$A$5:$A$3004,$A100,Acuses!$B$5:$B$3004,U$4)&lt;U$5,"Pendiente",IF(U$8=0,"OK",IF(EDATE(_xlfn.MAXIFS(Acuses!$D$5:$D$3004,Acuses!$A$5:$A$3004,$A100,Acuses!$B$5:$B$3004,U$4,Acuses!$C$5:$C$3004,U$5),U$8)&lt;Resumen!$C$4,"Caducado",IF(EDATE(_xlfn.MAXIFS(Acuses!$D$5:$D$3004,Acuses!$A$5:$A$3004,$A100,Acuses!$B$5:$B$3004,U$4,Acuses!$C$5:$C$3004,U$5),U$8)&lt;Resumen!$C$4+30,"Caduca pronto","OK"))))))</f>
        <v/>
      </c>
      <c r="V100" s="26" t="str">
        <f aca="false">IF(OR($A100="",V$4=""),"",IF(NOT(OR(V$6="Toda la plantilla",ISNUMBER(SEARCH(";"&amp;SUBSTITUTE($C100," ","")&amp;";",";"&amp;SUBSTITUTE(V$7," ","")&amp;";")))),"—",IF(_xlfn.MAXIFS(Acuses!$C$5:$C$3004,Acuses!$A$5:$A$3004,$A100,Acuses!$B$5:$B$3004,V$4)&lt;V$5,"Pendiente",IF(V$8=0,"OK",IF(EDATE(_xlfn.MAXIFS(Acuses!$D$5:$D$3004,Acuses!$A$5:$A$3004,$A100,Acuses!$B$5:$B$3004,V$4,Acuses!$C$5:$C$3004,V$5),V$8)&lt;Resumen!$C$4,"Caducado",IF(EDATE(_xlfn.MAXIFS(Acuses!$D$5:$D$3004,Acuses!$A$5:$A$3004,$A100,Acuses!$B$5:$B$3004,V$4,Acuses!$C$5:$C$3004,V$5),V$8)&lt;Resumen!$C$4+30,"Caduca pronto","OK"))))))</f>
        <v/>
      </c>
      <c r="W100" s="26" t="str">
        <f aca="false">IF(OR($A100="",W$4=""),"",IF(NOT(OR(W$6="Toda la plantilla",ISNUMBER(SEARCH(";"&amp;SUBSTITUTE($C100," ","")&amp;";",";"&amp;SUBSTITUTE(W$7," ","")&amp;";")))),"—",IF(_xlfn.MAXIFS(Acuses!$C$5:$C$3004,Acuses!$A$5:$A$3004,$A100,Acuses!$B$5:$B$3004,W$4)&lt;W$5,"Pendiente",IF(W$8=0,"OK",IF(EDATE(_xlfn.MAXIFS(Acuses!$D$5:$D$3004,Acuses!$A$5:$A$3004,$A100,Acuses!$B$5:$B$3004,W$4,Acuses!$C$5:$C$3004,W$5),W$8)&lt;Resumen!$C$4,"Caducado",IF(EDATE(_xlfn.MAXIFS(Acuses!$D$5:$D$3004,Acuses!$A$5:$A$3004,$A100,Acuses!$B$5:$B$3004,W$4,Acuses!$C$5:$C$3004,W$5),W$8)&lt;Resumen!$C$4+30,"Caduca pronto","OK"))))))</f>
        <v/>
      </c>
      <c r="X100" s="26" t="str">
        <f aca="false">IF(OR($A100="",X$4=""),"",IF(NOT(OR(X$6="Toda la plantilla",ISNUMBER(SEARCH(";"&amp;SUBSTITUTE($C100," ","")&amp;";",";"&amp;SUBSTITUTE(X$7," ","")&amp;";")))),"—",IF(_xlfn.MAXIFS(Acuses!$C$5:$C$3004,Acuses!$A$5:$A$3004,$A100,Acuses!$B$5:$B$3004,X$4)&lt;X$5,"Pendiente",IF(X$8=0,"OK",IF(EDATE(_xlfn.MAXIFS(Acuses!$D$5:$D$3004,Acuses!$A$5:$A$3004,$A100,Acuses!$B$5:$B$3004,X$4,Acuses!$C$5:$C$3004,X$5),X$8)&lt;Resumen!$C$4,"Caducado",IF(EDATE(_xlfn.MAXIFS(Acuses!$D$5:$D$3004,Acuses!$A$5:$A$3004,$A100,Acuses!$B$5:$B$3004,X$4,Acuses!$C$5:$C$3004,X$5),X$8)&lt;Resumen!$C$4+30,"Caduca pronto","OK"))))))</f>
        <v/>
      </c>
      <c r="Y100" s="26" t="str">
        <f aca="false">IF(OR($A100="",Y$4=""),"",IF(NOT(OR(Y$6="Toda la plantilla",ISNUMBER(SEARCH(";"&amp;SUBSTITUTE($C100," ","")&amp;";",";"&amp;SUBSTITUTE(Y$7," ","")&amp;";")))),"—",IF(_xlfn.MAXIFS(Acuses!$C$5:$C$3004,Acuses!$A$5:$A$3004,$A100,Acuses!$B$5:$B$3004,Y$4)&lt;Y$5,"Pendiente",IF(Y$8=0,"OK",IF(EDATE(_xlfn.MAXIFS(Acuses!$D$5:$D$3004,Acuses!$A$5:$A$3004,$A100,Acuses!$B$5:$B$3004,Y$4,Acuses!$C$5:$C$3004,Y$5),Y$8)&lt;Resumen!$C$4,"Caducado",IF(EDATE(_xlfn.MAXIFS(Acuses!$D$5:$D$3004,Acuses!$A$5:$A$3004,$A100,Acuses!$B$5:$B$3004,Y$4,Acuses!$C$5:$C$3004,Y$5),Y$8)&lt;Resumen!$C$4+30,"Caduca pronto","OK"))))))</f>
        <v/>
      </c>
      <c r="Z100" s="26" t="str">
        <f aca="false">IF(OR($A100="",Z$4=""),"",IF(NOT(OR(Z$6="Toda la plantilla",ISNUMBER(SEARCH(";"&amp;SUBSTITUTE($C100," ","")&amp;";",";"&amp;SUBSTITUTE(Z$7," ","")&amp;";")))),"—",IF(_xlfn.MAXIFS(Acuses!$C$5:$C$3004,Acuses!$A$5:$A$3004,$A100,Acuses!$B$5:$B$3004,Z$4)&lt;Z$5,"Pendiente",IF(Z$8=0,"OK",IF(EDATE(_xlfn.MAXIFS(Acuses!$D$5:$D$3004,Acuses!$A$5:$A$3004,$A100,Acuses!$B$5:$B$3004,Z$4,Acuses!$C$5:$C$3004,Z$5),Z$8)&lt;Resumen!$C$4,"Caducado",IF(EDATE(_xlfn.MAXIFS(Acuses!$D$5:$D$3004,Acuses!$A$5:$A$3004,$A100,Acuses!$B$5:$B$3004,Z$4,Acuses!$C$5:$C$3004,Z$5),Z$8)&lt;Resumen!$C$4+30,"Caduca pronto","OK"))))))</f>
        <v/>
      </c>
      <c r="AA100" s="26" t="str">
        <f aca="false">IF(OR($A100="",AA$4=""),"",IF(NOT(OR(AA$6="Toda la plantilla",ISNUMBER(SEARCH(";"&amp;SUBSTITUTE($C100," ","")&amp;";",";"&amp;SUBSTITUTE(AA$7," ","")&amp;";")))),"—",IF(_xlfn.MAXIFS(Acuses!$C$5:$C$3004,Acuses!$A$5:$A$3004,$A100,Acuses!$B$5:$B$3004,AA$4)&lt;AA$5,"Pendiente",IF(AA$8=0,"OK",IF(EDATE(_xlfn.MAXIFS(Acuses!$D$5:$D$3004,Acuses!$A$5:$A$3004,$A100,Acuses!$B$5:$B$3004,AA$4,Acuses!$C$5:$C$3004,AA$5),AA$8)&lt;Resumen!$C$4,"Caducado",IF(EDATE(_xlfn.MAXIFS(Acuses!$D$5:$D$3004,Acuses!$A$5:$A$3004,$A100,Acuses!$B$5:$B$3004,AA$4,Acuses!$C$5:$C$3004,AA$5),AA$8)&lt;Resumen!$C$4+30,"Caduca pronto","OK"))))))</f>
        <v/>
      </c>
      <c r="AB100" s="26" t="str">
        <f aca="false">IF(OR($A100="",AB$4=""),"",IF(NOT(OR(AB$6="Toda la plantilla",ISNUMBER(SEARCH(";"&amp;SUBSTITUTE($C100," ","")&amp;";",";"&amp;SUBSTITUTE(AB$7," ","")&amp;";")))),"—",IF(_xlfn.MAXIFS(Acuses!$C$5:$C$3004,Acuses!$A$5:$A$3004,$A100,Acuses!$B$5:$B$3004,AB$4)&lt;AB$5,"Pendiente",IF(AB$8=0,"OK",IF(EDATE(_xlfn.MAXIFS(Acuses!$D$5:$D$3004,Acuses!$A$5:$A$3004,$A100,Acuses!$B$5:$B$3004,AB$4,Acuses!$C$5:$C$3004,AB$5),AB$8)&lt;Resumen!$C$4,"Caducado",IF(EDATE(_xlfn.MAXIFS(Acuses!$D$5:$D$3004,Acuses!$A$5:$A$3004,$A100,Acuses!$B$5:$B$3004,AB$4,Acuses!$C$5:$C$3004,AB$5),AB$8)&lt;Resumen!$C$4+30,"Caduca pronto","OK"))))))</f>
        <v/>
      </c>
      <c r="AC100" s="26" t="str">
        <f aca="false">IF(OR($A100="",AC$4=""),"",IF(NOT(OR(AC$6="Toda la plantilla",ISNUMBER(SEARCH(";"&amp;SUBSTITUTE($C100," ","")&amp;";",";"&amp;SUBSTITUTE(AC$7," ","")&amp;";")))),"—",IF(_xlfn.MAXIFS(Acuses!$C$5:$C$3004,Acuses!$A$5:$A$3004,$A100,Acuses!$B$5:$B$3004,AC$4)&lt;AC$5,"Pendiente",IF(AC$8=0,"OK",IF(EDATE(_xlfn.MAXIFS(Acuses!$D$5:$D$3004,Acuses!$A$5:$A$3004,$A100,Acuses!$B$5:$B$3004,AC$4,Acuses!$C$5:$C$3004,AC$5),AC$8)&lt;Resumen!$C$4,"Caducado",IF(EDATE(_xlfn.MAXIFS(Acuses!$D$5:$D$3004,Acuses!$A$5:$A$3004,$A100,Acuses!$B$5:$B$3004,AC$4,Acuses!$C$5:$C$3004,AC$5),AC$8)&lt;Resumen!$C$4+30,"Caduca pronto","OK"))))))</f>
        <v/>
      </c>
      <c r="AD100" s="26" t="str">
        <f aca="false">IF(OR($A100="",AD$4=""),"",IF(NOT(OR(AD$6="Toda la plantilla",ISNUMBER(SEARCH(";"&amp;SUBSTITUTE($C100," ","")&amp;";",";"&amp;SUBSTITUTE(AD$7," ","")&amp;";")))),"—",IF(_xlfn.MAXIFS(Acuses!$C$5:$C$3004,Acuses!$A$5:$A$3004,$A100,Acuses!$B$5:$B$3004,AD$4)&lt;AD$5,"Pendiente",IF(AD$8=0,"OK",IF(EDATE(_xlfn.MAXIFS(Acuses!$D$5:$D$3004,Acuses!$A$5:$A$3004,$A100,Acuses!$B$5:$B$3004,AD$4,Acuses!$C$5:$C$3004,AD$5),AD$8)&lt;Resumen!$C$4,"Caducado",IF(EDATE(_xlfn.MAXIFS(Acuses!$D$5:$D$3004,Acuses!$A$5:$A$3004,$A100,Acuses!$B$5:$B$3004,AD$4,Acuses!$C$5:$C$3004,AD$5),AD$8)&lt;Resumen!$C$4+30,"Caduca pronto","OK"))))))</f>
        <v/>
      </c>
      <c r="AE100" s="26" t="str">
        <f aca="false">IF(OR($A100="",AE$4=""),"",IF(NOT(OR(AE$6="Toda la plantilla",ISNUMBER(SEARCH(";"&amp;SUBSTITUTE($C100," ","")&amp;";",";"&amp;SUBSTITUTE(AE$7," ","")&amp;";")))),"—",IF(_xlfn.MAXIFS(Acuses!$C$5:$C$3004,Acuses!$A$5:$A$3004,$A100,Acuses!$B$5:$B$3004,AE$4)&lt;AE$5,"Pendiente",IF(AE$8=0,"OK",IF(EDATE(_xlfn.MAXIFS(Acuses!$D$5:$D$3004,Acuses!$A$5:$A$3004,$A100,Acuses!$B$5:$B$3004,AE$4,Acuses!$C$5:$C$3004,AE$5),AE$8)&lt;Resumen!$C$4,"Caducado",IF(EDATE(_xlfn.MAXIFS(Acuses!$D$5:$D$3004,Acuses!$A$5:$A$3004,$A100,Acuses!$B$5:$B$3004,AE$4,Acuses!$C$5:$C$3004,AE$5),AE$8)&lt;Resumen!$C$4+30,"Caduca pronto","OK"))))))</f>
        <v/>
      </c>
      <c r="AF100" s="26" t="str">
        <f aca="false">IF(OR($A100="",AF$4=""),"",IF(NOT(OR(AF$6="Toda la plantilla",ISNUMBER(SEARCH(";"&amp;SUBSTITUTE($C100," ","")&amp;";",";"&amp;SUBSTITUTE(AF$7," ","")&amp;";")))),"—",IF(_xlfn.MAXIFS(Acuses!$C$5:$C$3004,Acuses!$A$5:$A$3004,$A100,Acuses!$B$5:$B$3004,AF$4)&lt;AF$5,"Pendiente",IF(AF$8=0,"OK",IF(EDATE(_xlfn.MAXIFS(Acuses!$D$5:$D$3004,Acuses!$A$5:$A$3004,$A100,Acuses!$B$5:$B$3004,AF$4,Acuses!$C$5:$C$3004,AF$5),AF$8)&lt;Resumen!$C$4,"Caducado",IF(EDATE(_xlfn.MAXIFS(Acuses!$D$5:$D$3004,Acuses!$A$5:$A$3004,$A100,Acuses!$B$5:$B$3004,AF$4,Acuses!$C$5:$C$3004,AF$5),AF$8)&lt;Resumen!$C$4+30,"Caduca pronto","OK"))))))</f>
        <v/>
      </c>
      <c r="AG100" s="26" t="str">
        <f aca="false">IF(OR($A100="",AG$4=""),"",IF(NOT(OR(AG$6="Toda la plantilla",ISNUMBER(SEARCH(";"&amp;SUBSTITUTE($C100," ","")&amp;";",";"&amp;SUBSTITUTE(AG$7," ","")&amp;";")))),"—",IF(_xlfn.MAXIFS(Acuses!$C$5:$C$3004,Acuses!$A$5:$A$3004,$A100,Acuses!$B$5:$B$3004,AG$4)&lt;AG$5,"Pendiente",IF(AG$8=0,"OK",IF(EDATE(_xlfn.MAXIFS(Acuses!$D$5:$D$3004,Acuses!$A$5:$A$3004,$A100,Acuses!$B$5:$B$3004,AG$4,Acuses!$C$5:$C$3004,AG$5),AG$8)&lt;Resumen!$C$4,"Caducado",IF(EDATE(_xlfn.MAXIFS(Acuses!$D$5:$D$3004,Acuses!$A$5:$A$3004,$A100,Acuses!$B$5:$B$3004,AG$4,Acuses!$C$5:$C$3004,AG$5),AG$8)&lt;Resumen!$C$4+30,"Caduca pronto","OK"))))))</f>
        <v/>
      </c>
      <c r="AH100" s="26" t="str">
        <f aca="false">IF(OR($A100="",AH$4=""),"",IF(NOT(OR(AH$6="Toda la plantilla",ISNUMBER(SEARCH(";"&amp;SUBSTITUTE($C100," ","")&amp;";",";"&amp;SUBSTITUTE(AH$7," ","")&amp;";")))),"—",IF(_xlfn.MAXIFS(Acuses!$C$5:$C$3004,Acuses!$A$5:$A$3004,$A100,Acuses!$B$5:$B$3004,AH$4)&lt;AH$5,"Pendiente",IF(AH$8=0,"OK",IF(EDATE(_xlfn.MAXIFS(Acuses!$D$5:$D$3004,Acuses!$A$5:$A$3004,$A100,Acuses!$B$5:$B$3004,AH$4,Acuses!$C$5:$C$3004,AH$5),AH$8)&lt;Resumen!$C$4,"Caducado",IF(EDATE(_xlfn.MAXIFS(Acuses!$D$5:$D$3004,Acuses!$A$5:$A$3004,$A100,Acuses!$B$5:$B$3004,AH$4,Acuses!$C$5:$C$3004,AH$5),AH$8)&lt;Resumen!$C$4+30,"Caduca pronto","OK"))))))</f>
        <v/>
      </c>
      <c r="AI100" s="26" t="str">
        <f aca="false">IF(OR($A100="",AI$4=""),"",IF(NOT(OR(AI$6="Toda la plantilla",ISNUMBER(SEARCH(";"&amp;SUBSTITUTE($C100," ","")&amp;";",";"&amp;SUBSTITUTE(AI$7," ","")&amp;";")))),"—",IF(_xlfn.MAXIFS(Acuses!$C$5:$C$3004,Acuses!$A$5:$A$3004,$A100,Acuses!$B$5:$B$3004,AI$4)&lt;AI$5,"Pendiente",IF(AI$8=0,"OK",IF(EDATE(_xlfn.MAXIFS(Acuses!$D$5:$D$3004,Acuses!$A$5:$A$3004,$A100,Acuses!$B$5:$B$3004,AI$4,Acuses!$C$5:$C$3004,AI$5),AI$8)&lt;Resumen!$C$4,"Caducado",IF(EDATE(_xlfn.MAXIFS(Acuses!$D$5:$D$3004,Acuses!$A$5:$A$3004,$A100,Acuses!$B$5:$B$3004,AI$4,Acuses!$C$5:$C$3004,AI$5),AI$8)&lt;Resumen!$C$4+30,"Caduca pronto","OK"))))))</f>
        <v/>
      </c>
      <c r="AJ100" s="26" t="str">
        <f aca="false">IF(OR($A100="",AJ$4=""),"",IF(NOT(OR(AJ$6="Toda la plantilla",ISNUMBER(SEARCH(";"&amp;SUBSTITUTE($C100," ","")&amp;";",";"&amp;SUBSTITUTE(AJ$7," ","")&amp;";")))),"—",IF(_xlfn.MAXIFS(Acuses!$C$5:$C$3004,Acuses!$A$5:$A$3004,$A100,Acuses!$B$5:$B$3004,AJ$4)&lt;AJ$5,"Pendiente",IF(AJ$8=0,"OK",IF(EDATE(_xlfn.MAXIFS(Acuses!$D$5:$D$3004,Acuses!$A$5:$A$3004,$A100,Acuses!$B$5:$B$3004,AJ$4,Acuses!$C$5:$C$3004,AJ$5),AJ$8)&lt;Resumen!$C$4,"Caducado",IF(EDATE(_xlfn.MAXIFS(Acuses!$D$5:$D$3004,Acuses!$A$5:$A$3004,$A100,Acuses!$B$5:$B$3004,AJ$4,Acuses!$C$5:$C$3004,AJ$5),AJ$8)&lt;Resumen!$C$4+30,"Caduca pronto","OK"))))))</f>
        <v/>
      </c>
      <c r="AK100" s="26" t="str">
        <f aca="false">IF(OR($A100="",AK$4=""),"",IF(NOT(OR(AK$6="Toda la plantilla",ISNUMBER(SEARCH(";"&amp;SUBSTITUTE($C100," ","")&amp;";",";"&amp;SUBSTITUTE(AK$7," ","")&amp;";")))),"—",IF(_xlfn.MAXIFS(Acuses!$C$5:$C$3004,Acuses!$A$5:$A$3004,$A100,Acuses!$B$5:$B$3004,AK$4)&lt;AK$5,"Pendiente",IF(AK$8=0,"OK",IF(EDATE(_xlfn.MAXIFS(Acuses!$D$5:$D$3004,Acuses!$A$5:$A$3004,$A100,Acuses!$B$5:$B$3004,AK$4,Acuses!$C$5:$C$3004,AK$5),AK$8)&lt;Resumen!$C$4,"Caducado",IF(EDATE(_xlfn.MAXIFS(Acuses!$D$5:$D$3004,Acuses!$A$5:$A$3004,$A100,Acuses!$B$5:$B$3004,AK$4,Acuses!$C$5:$C$3004,AK$5),AK$8)&lt;Resumen!$C$4+30,"Caduca pronto","OK"))))))</f>
        <v/>
      </c>
      <c r="AL100" s="26" t="str">
        <f aca="false">IF(OR($A100="",AL$4=""),"",IF(NOT(OR(AL$6="Toda la plantilla",ISNUMBER(SEARCH(";"&amp;SUBSTITUTE($C100," ","")&amp;";",";"&amp;SUBSTITUTE(AL$7," ","")&amp;";")))),"—",IF(_xlfn.MAXIFS(Acuses!$C$5:$C$3004,Acuses!$A$5:$A$3004,$A100,Acuses!$B$5:$B$3004,AL$4)&lt;AL$5,"Pendiente",IF(AL$8=0,"OK",IF(EDATE(_xlfn.MAXIFS(Acuses!$D$5:$D$3004,Acuses!$A$5:$A$3004,$A100,Acuses!$B$5:$B$3004,AL$4,Acuses!$C$5:$C$3004,AL$5),AL$8)&lt;Resumen!$C$4,"Caducado",IF(EDATE(_xlfn.MAXIFS(Acuses!$D$5:$D$3004,Acuses!$A$5:$A$3004,$A100,Acuses!$B$5:$B$3004,AL$4,Acuses!$C$5:$C$3004,AL$5),AL$8)&lt;Resumen!$C$4+30,"Caduca pronto","OK"))))))</f>
        <v/>
      </c>
      <c r="AM100" s="26" t="str">
        <f aca="false">IF(OR($A100="",AM$4=""),"",IF(NOT(OR(AM$6="Toda la plantilla",ISNUMBER(SEARCH(";"&amp;SUBSTITUTE($C100," ","")&amp;";",";"&amp;SUBSTITUTE(AM$7," ","")&amp;";")))),"—",IF(_xlfn.MAXIFS(Acuses!$C$5:$C$3004,Acuses!$A$5:$A$3004,$A100,Acuses!$B$5:$B$3004,AM$4)&lt;AM$5,"Pendiente",IF(AM$8=0,"OK",IF(EDATE(_xlfn.MAXIFS(Acuses!$D$5:$D$3004,Acuses!$A$5:$A$3004,$A100,Acuses!$B$5:$B$3004,AM$4,Acuses!$C$5:$C$3004,AM$5),AM$8)&lt;Resumen!$C$4,"Caducado",IF(EDATE(_xlfn.MAXIFS(Acuses!$D$5:$D$3004,Acuses!$A$5:$A$3004,$A100,Acuses!$B$5:$B$3004,AM$4,Acuses!$C$5:$C$3004,AM$5),AM$8)&lt;Resumen!$C$4+30,"Caduca pronto","OK"))))))</f>
        <v/>
      </c>
      <c r="AN100" s="26" t="str">
        <f aca="false">IF(OR($A100="",AN$4=""),"",IF(NOT(OR(AN$6="Toda la plantilla",ISNUMBER(SEARCH(";"&amp;SUBSTITUTE($C100," ","")&amp;";",";"&amp;SUBSTITUTE(AN$7," ","")&amp;";")))),"—",IF(_xlfn.MAXIFS(Acuses!$C$5:$C$3004,Acuses!$A$5:$A$3004,$A100,Acuses!$B$5:$B$3004,AN$4)&lt;AN$5,"Pendiente",IF(AN$8=0,"OK",IF(EDATE(_xlfn.MAXIFS(Acuses!$D$5:$D$3004,Acuses!$A$5:$A$3004,$A100,Acuses!$B$5:$B$3004,AN$4,Acuses!$C$5:$C$3004,AN$5),AN$8)&lt;Resumen!$C$4,"Caducado",IF(EDATE(_xlfn.MAXIFS(Acuses!$D$5:$D$3004,Acuses!$A$5:$A$3004,$A100,Acuses!$B$5:$B$3004,AN$4,Acuses!$C$5:$C$3004,AN$5),AN$8)&lt;Resumen!$C$4+30,"Caduca pronto","OK"))))))</f>
        <v/>
      </c>
      <c r="AO100" s="26" t="str">
        <f aca="false">IF(OR($A100="",AO$4=""),"",IF(NOT(OR(AO$6="Toda la plantilla",ISNUMBER(SEARCH(";"&amp;SUBSTITUTE($C100," ","")&amp;";",";"&amp;SUBSTITUTE(AO$7," ","")&amp;";")))),"—",IF(_xlfn.MAXIFS(Acuses!$C$5:$C$3004,Acuses!$A$5:$A$3004,$A100,Acuses!$B$5:$B$3004,AO$4)&lt;AO$5,"Pendiente",IF(AO$8=0,"OK",IF(EDATE(_xlfn.MAXIFS(Acuses!$D$5:$D$3004,Acuses!$A$5:$A$3004,$A100,Acuses!$B$5:$B$3004,AO$4,Acuses!$C$5:$C$3004,AO$5),AO$8)&lt;Resumen!$C$4,"Caducado",IF(EDATE(_xlfn.MAXIFS(Acuses!$D$5:$D$3004,Acuses!$A$5:$A$3004,$A100,Acuses!$B$5:$B$3004,AO$4,Acuses!$C$5:$C$3004,AO$5),AO$8)&lt;Resumen!$C$4+30,"Caduca pronto","OK"))))))</f>
        <v/>
      </c>
      <c r="AP100" s="26" t="str">
        <f aca="false">IF(OR($A100="",AP$4=""),"",IF(NOT(OR(AP$6="Toda la plantilla",ISNUMBER(SEARCH(";"&amp;SUBSTITUTE($C100," ","")&amp;";",";"&amp;SUBSTITUTE(AP$7," ","")&amp;";")))),"—",IF(_xlfn.MAXIFS(Acuses!$C$5:$C$3004,Acuses!$A$5:$A$3004,$A100,Acuses!$B$5:$B$3004,AP$4)&lt;AP$5,"Pendiente",IF(AP$8=0,"OK",IF(EDATE(_xlfn.MAXIFS(Acuses!$D$5:$D$3004,Acuses!$A$5:$A$3004,$A100,Acuses!$B$5:$B$3004,AP$4,Acuses!$C$5:$C$3004,AP$5),AP$8)&lt;Resumen!$C$4,"Caducado",IF(EDATE(_xlfn.MAXIFS(Acuses!$D$5:$D$3004,Acuses!$A$5:$A$3004,$A100,Acuses!$B$5:$B$3004,AP$4,Acuses!$C$5:$C$3004,AP$5),AP$8)&lt;Resumen!$C$4+30,"Caduca pronto","OK"))))))</f>
        <v/>
      </c>
      <c r="AQ100" s="26" t="str">
        <f aca="false">IF(OR($A100="",AQ$4=""),"",IF(NOT(OR(AQ$6="Toda la plantilla",ISNUMBER(SEARCH(";"&amp;SUBSTITUTE($C100," ","")&amp;";",";"&amp;SUBSTITUTE(AQ$7," ","")&amp;";")))),"—",IF(_xlfn.MAXIFS(Acuses!$C$5:$C$3004,Acuses!$A$5:$A$3004,$A100,Acuses!$B$5:$B$3004,AQ$4)&lt;AQ$5,"Pendiente",IF(AQ$8=0,"OK",IF(EDATE(_xlfn.MAXIFS(Acuses!$D$5:$D$3004,Acuses!$A$5:$A$3004,$A100,Acuses!$B$5:$B$3004,AQ$4,Acuses!$C$5:$C$3004,AQ$5),AQ$8)&lt;Resumen!$C$4,"Caducado",IF(EDATE(_xlfn.MAXIFS(Acuses!$D$5:$D$3004,Acuses!$A$5:$A$3004,$A100,Acuses!$B$5:$B$3004,AQ$4,Acuses!$C$5:$C$3004,AQ$5),AQ$8)&lt;Resumen!$C$4+30,"Caduca pronto","OK"))))))</f>
        <v/>
      </c>
    </row>
    <row r="101" customFormat="false" ht="15" hidden="false" customHeight="false" outlineLevel="0" collapsed="false">
      <c r="A101" s="25" t="str">
        <f aca="false">IF(AND(Trabajadores!$A$96&lt;&gt;"",Trabajadores!$G$96&lt;&gt;"No"),Trabajadores!$A$96,"")</f>
        <v/>
      </c>
      <c r="B101" s="25" t="str">
        <f aca="false">IF($A101="","",Trabajadores!$B$96)</f>
        <v/>
      </c>
      <c r="C101" s="25" t="str">
        <f aca="false">IF($A101="","",Trabajadores!$C$96)</f>
        <v/>
      </c>
      <c r="D101" s="26" t="str">
        <f aca="false">IF(OR($A101="",D$4=""),"",IF(NOT(OR(D$6="Toda la plantilla",ISNUMBER(SEARCH(";"&amp;SUBSTITUTE($C101," ","")&amp;";",";"&amp;SUBSTITUTE(D$7," ","")&amp;";")))),"—",IF(_xlfn.MAXIFS(Acuses!$C$5:$C$3004,Acuses!$A$5:$A$3004,$A101,Acuses!$B$5:$B$3004,D$4)&lt;D$5,"Pendiente",IF(D$8=0,"OK",IF(EDATE(_xlfn.MAXIFS(Acuses!$D$5:$D$3004,Acuses!$A$5:$A$3004,$A101,Acuses!$B$5:$B$3004,D$4,Acuses!$C$5:$C$3004,D$5),D$8)&lt;Resumen!$C$4,"Caducado",IF(EDATE(_xlfn.MAXIFS(Acuses!$D$5:$D$3004,Acuses!$A$5:$A$3004,$A101,Acuses!$B$5:$B$3004,D$4,Acuses!$C$5:$C$3004,D$5),D$8)&lt;Resumen!$C$4+30,"Caduca pronto","OK"))))))</f>
        <v/>
      </c>
      <c r="E101" s="26" t="str">
        <f aca="false">IF(OR($A101="",E$4=""),"",IF(NOT(OR(E$6="Toda la plantilla",ISNUMBER(SEARCH(";"&amp;SUBSTITUTE($C101," ","")&amp;";",";"&amp;SUBSTITUTE(E$7," ","")&amp;";")))),"—",IF(_xlfn.MAXIFS(Acuses!$C$5:$C$3004,Acuses!$A$5:$A$3004,$A101,Acuses!$B$5:$B$3004,E$4)&lt;E$5,"Pendiente",IF(E$8=0,"OK",IF(EDATE(_xlfn.MAXIFS(Acuses!$D$5:$D$3004,Acuses!$A$5:$A$3004,$A101,Acuses!$B$5:$B$3004,E$4,Acuses!$C$5:$C$3004,E$5),E$8)&lt;Resumen!$C$4,"Caducado",IF(EDATE(_xlfn.MAXIFS(Acuses!$D$5:$D$3004,Acuses!$A$5:$A$3004,$A101,Acuses!$B$5:$B$3004,E$4,Acuses!$C$5:$C$3004,E$5),E$8)&lt;Resumen!$C$4+30,"Caduca pronto","OK"))))))</f>
        <v/>
      </c>
      <c r="F101" s="26" t="str">
        <f aca="false">IF(OR($A101="",F$4=""),"",IF(NOT(OR(F$6="Toda la plantilla",ISNUMBER(SEARCH(";"&amp;SUBSTITUTE($C101," ","")&amp;";",";"&amp;SUBSTITUTE(F$7," ","")&amp;";")))),"—",IF(_xlfn.MAXIFS(Acuses!$C$5:$C$3004,Acuses!$A$5:$A$3004,$A101,Acuses!$B$5:$B$3004,F$4)&lt;F$5,"Pendiente",IF(F$8=0,"OK",IF(EDATE(_xlfn.MAXIFS(Acuses!$D$5:$D$3004,Acuses!$A$5:$A$3004,$A101,Acuses!$B$5:$B$3004,F$4,Acuses!$C$5:$C$3004,F$5),F$8)&lt;Resumen!$C$4,"Caducado",IF(EDATE(_xlfn.MAXIFS(Acuses!$D$5:$D$3004,Acuses!$A$5:$A$3004,$A101,Acuses!$B$5:$B$3004,F$4,Acuses!$C$5:$C$3004,F$5),F$8)&lt;Resumen!$C$4+30,"Caduca pronto","OK"))))))</f>
        <v/>
      </c>
      <c r="G101" s="26" t="str">
        <f aca="false">IF(OR($A101="",G$4=""),"",IF(NOT(OR(G$6="Toda la plantilla",ISNUMBER(SEARCH(";"&amp;SUBSTITUTE($C101," ","")&amp;";",";"&amp;SUBSTITUTE(G$7," ","")&amp;";")))),"—",IF(_xlfn.MAXIFS(Acuses!$C$5:$C$3004,Acuses!$A$5:$A$3004,$A101,Acuses!$B$5:$B$3004,G$4)&lt;G$5,"Pendiente",IF(G$8=0,"OK",IF(EDATE(_xlfn.MAXIFS(Acuses!$D$5:$D$3004,Acuses!$A$5:$A$3004,$A101,Acuses!$B$5:$B$3004,G$4,Acuses!$C$5:$C$3004,G$5),G$8)&lt;Resumen!$C$4,"Caducado",IF(EDATE(_xlfn.MAXIFS(Acuses!$D$5:$D$3004,Acuses!$A$5:$A$3004,$A101,Acuses!$B$5:$B$3004,G$4,Acuses!$C$5:$C$3004,G$5),G$8)&lt;Resumen!$C$4+30,"Caduca pronto","OK"))))))</f>
        <v/>
      </c>
      <c r="H101" s="26" t="str">
        <f aca="false">IF(OR($A101="",H$4=""),"",IF(NOT(OR(H$6="Toda la plantilla",ISNUMBER(SEARCH(";"&amp;SUBSTITUTE($C101," ","")&amp;";",";"&amp;SUBSTITUTE(H$7," ","")&amp;";")))),"—",IF(_xlfn.MAXIFS(Acuses!$C$5:$C$3004,Acuses!$A$5:$A$3004,$A101,Acuses!$B$5:$B$3004,H$4)&lt;H$5,"Pendiente",IF(H$8=0,"OK",IF(EDATE(_xlfn.MAXIFS(Acuses!$D$5:$D$3004,Acuses!$A$5:$A$3004,$A101,Acuses!$B$5:$B$3004,H$4,Acuses!$C$5:$C$3004,H$5),H$8)&lt;Resumen!$C$4,"Caducado",IF(EDATE(_xlfn.MAXIFS(Acuses!$D$5:$D$3004,Acuses!$A$5:$A$3004,$A101,Acuses!$B$5:$B$3004,H$4,Acuses!$C$5:$C$3004,H$5),H$8)&lt;Resumen!$C$4+30,"Caduca pronto","OK"))))))</f>
        <v/>
      </c>
      <c r="I101" s="26" t="str">
        <f aca="false">IF(OR($A101="",I$4=""),"",IF(NOT(OR(I$6="Toda la plantilla",ISNUMBER(SEARCH(";"&amp;SUBSTITUTE($C101," ","")&amp;";",";"&amp;SUBSTITUTE(I$7," ","")&amp;";")))),"—",IF(_xlfn.MAXIFS(Acuses!$C$5:$C$3004,Acuses!$A$5:$A$3004,$A101,Acuses!$B$5:$B$3004,I$4)&lt;I$5,"Pendiente",IF(I$8=0,"OK",IF(EDATE(_xlfn.MAXIFS(Acuses!$D$5:$D$3004,Acuses!$A$5:$A$3004,$A101,Acuses!$B$5:$B$3004,I$4,Acuses!$C$5:$C$3004,I$5),I$8)&lt;Resumen!$C$4,"Caducado",IF(EDATE(_xlfn.MAXIFS(Acuses!$D$5:$D$3004,Acuses!$A$5:$A$3004,$A101,Acuses!$B$5:$B$3004,I$4,Acuses!$C$5:$C$3004,I$5),I$8)&lt;Resumen!$C$4+30,"Caduca pronto","OK"))))))</f>
        <v/>
      </c>
      <c r="J101" s="26" t="str">
        <f aca="false">IF(OR($A101="",J$4=""),"",IF(NOT(OR(J$6="Toda la plantilla",ISNUMBER(SEARCH(";"&amp;SUBSTITUTE($C101," ","")&amp;";",";"&amp;SUBSTITUTE(J$7," ","")&amp;";")))),"—",IF(_xlfn.MAXIFS(Acuses!$C$5:$C$3004,Acuses!$A$5:$A$3004,$A101,Acuses!$B$5:$B$3004,J$4)&lt;J$5,"Pendiente",IF(J$8=0,"OK",IF(EDATE(_xlfn.MAXIFS(Acuses!$D$5:$D$3004,Acuses!$A$5:$A$3004,$A101,Acuses!$B$5:$B$3004,J$4,Acuses!$C$5:$C$3004,J$5),J$8)&lt;Resumen!$C$4,"Caducado",IF(EDATE(_xlfn.MAXIFS(Acuses!$D$5:$D$3004,Acuses!$A$5:$A$3004,$A101,Acuses!$B$5:$B$3004,J$4,Acuses!$C$5:$C$3004,J$5),J$8)&lt;Resumen!$C$4+30,"Caduca pronto","OK"))))))</f>
        <v/>
      </c>
      <c r="K101" s="26" t="str">
        <f aca="false">IF(OR($A101="",K$4=""),"",IF(NOT(OR(K$6="Toda la plantilla",ISNUMBER(SEARCH(";"&amp;SUBSTITUTE($C101," ","")&amp;";",";"&amp;SUBSTITUTE(K$7," ","")&amp;";")))),"—",IF(_xlfn.MAXIFS(Acuses!$C$5:$C$3004,Acuses!$A$5:$A$3004,$A101,Acuses!$B$5:$B$3004,K$4)&lt;K$5,"Pendiente",IF(K$8=0,"OK",IF(EDATE(_xlfn.MAXIFS(Acuses!$D$5:$D$3004,Acuses!$A$5:$A$3004,$A101,Acuses!$B$5:$B$3004,K$4,Acuses!$C$5:$C$3004,K$5),K$8)&lt;Resumen!$C$4,"Caducado",IF(EDATE(_xlfn.MAXIFS(Acuses!$D$5:$D$3004,Acuses!$A$5:$A$3004,$A101,Acuses!$B$5:$B$3004,K$4,Acuses!$C$5:$C$3004,K$5),K$8)&lt;Resumen!$C$4+30,"Caduca pronto","OK"))))))</f>
        <v/>
      </c>
      <c r="L101" s="26" t="str">
        <f aca="false">IF(OR($A101="",L$4=""),"",IF(NOT(OR(L$6="Toda la plantilla",ISNUMBER(SEARCH(";"&amp;SUBSTITUTE($C101," ","")&amp;";",";"&amp;SUBSTITUTE(L$7," ","")&amp;";")))),"—",IF(_xlfn.MAXIFS(Acuses!$C$5:$C$3004,Acuses!$A$5:$A$3004,$A101,Acuses!$B$5:$B$3004,L$4)&lt;L$5,"Pendiente",IF(L$8=0,"OK",IF(EDATE(_xlfn.MAXIFS(Acuses!$D$5:$D$3004,Acuses!$A$5:$A$3004,$A101,Acuses!$B$5:$B$3004,L$4,Acuses!$C$5:$C$3004,L$5),L$8)&lt;Resumen!$C$4,"Caducado",IF(EDATE(_xlfn.MAXIFS(Acuses!$D$5:$D$3004,Acuses!$A$5:$A$3004,$A101,Acuses!$B$5:$B$3004,L$4,Acuses!$C$5:$C$3004,L$5),L$8)&lt;Resumen!$C$4+30,"Caduca pronto","OK"))))))</f>
        <v/>
      </c>
      <c r="M101" s="26" t="str">
        <f aca="false">IF(OR($A101="",M$4=""),"",IF(NOT(OR(M$6="Toda la plantilla",ISNUMBER(SEARCH(";"&amp;SUBSTITUTE($C101," ","")&amp;";",";"&amp;SUBSTITUTE(M$7," ","")&amp;";")))),"—",IF(_xlfn.MAXIFS(Acuses!$C$5:$C$3004,Acuses!$A$5:$A$3004,$A101,Acuses!$B$5:$B$3004,M$4)&lt;M$5,"Pendiente",IF(M$8=0,"OK",IF(EDATE(_xlfn.MAXIFS(Acuses!$D$5:$D$3004,Acuses!$A$5:$A$3004,$A101,Acuses!$B$5:$B$3004,M$4,Acuses!$C$5:$C$3004,M$5),M$8)&lt;Resumen!$C$4,"Caducado",IF(EDATE(_xlfn.MAXIFS(Acuses!$D$5:$D$3004,Acuses!$A$5:$A$3004,$A101,Acuses!$B$5:$B$3004,M$4,Acuses!$C$5:$C$3004,M$5),M$8)&lt;Resumen!$C$4+30,"Caduca pronto","OK"))))))</f>
        <v/>
      </c>
      <c r="N101" s="26" t="str">
        <f aca="false">IF(OR($A101="",N$4=""),"",IF(NOT(OR(N$6="Toda la plantilla",ISNUMBER(SEARCH(";"&amp;SUBSTITUTE($C101," ","")&amp;";",";"&amp;SUBSTITUTE(N$7," ","")&amp;";")))),"—",IF(_xlfn.MAXIFS(Acuses!$C$5:$C$3004,Acuses!$A$5:$A$3004,$A101,Acuses!$B$5:$B$3004,N$4)&lt;N$5,"Pendiente",IF(N$8=0,"OK",IF(EDATE(_xlfn.MAXIFS(Acuses!$D$5:$D$3004,Acuses!$A$5:$A$3004,$A101,Acuses!$B$5:$B$3004,N$4,Acuses!$C$5:$C$3004,N$5),N$8)&lt;Resumen!$C$4,"Caducado",IF(EDATE(_xlfn.MAXIFS(Acuses!$D$5:$D$3004,Acuses!$A$5:$A$3004,$A101,Acuses!$B$5:$B$3004,N$4,Acuses!$C$5:$C$3004,N$5),N$8)&lt;Resumen!$C$4+30,"Caduca pronto","OK"))))))</f>
        <v/>
      </c>
      <c r="O101" s="26" t="str">
        <f aca="false">IF(OR($A101="",O$4=""),"",IF(NOT(OR(O$6="Toda la plantilla",ISNUMBER(SEARCH(";"&amp;SUBSTITUTE($C101," ","")&amp;";",";"&amp;SUBSTITUTE(O$7," ","")&amp;";")))),"—",IF(_xlfn.MAXIFS(Acuses!$C$5:$C$3004,Acuses!$A$5:$A$3004,$A101,Acuses!$B$5:$B$3004,O$4)&lt;O$5,"Pendiente",IF(O$8=0,"OK",IF(EDATE(_xlfn.MAXIFS(Acuses!$D$5:$D$3004,Acuses!$A$5:$A$3004,$A101,Acuses!$B$5:$B$3004,O$4,Acuses!$C$5:$C$3004,O$5),O$8)&lt;Resumen!$C$4,"Caducado",IF(EDATE(_xlfn.MAXIFS(Acuses!$D$5:$D$3004,Acuses!$A$5:$A$3004,$A101,Acuses!$B$5:$B$3004,O$4,Acuses!$C$5:$C$3004,O$5),O$8)&lt;Resumen!$C$4+30,"Caduca pronto","OK"))))))</f>
        <v/>
      </c>
      <c r="P101" s="26" t="str">
        <f aca="false">IF(OR($A101="",P$4=""),"",IF(NOT(OR(P$6="Toda la plantilla",ISNUMBER(SEARCH(";"&amp;SUBSTITUTE($C101," ","")&amp;";",";"&amp;SUBSTITUTE(P$7," ","")&amp;";")))),"—",IF(_xlfn.MAXIFS(Acuses!$C$5:$C$3004,Acuses!$A$5:$A$3004,$A101,Acuses!$B$5:$B$3004,P$4)&lt;P$5,"Pendiente",IF(P$8=0,"OK",IF(EDATE(_xlfn.MAXIFS(Acuses!$D$5:$D$3004,Acuses!$A$5:$A$3004,$A101,Acuses!$B$5:$B$3004,P$4,Acuses!$C$5:$C$3004,P$5),P$8)&lt;Resumen!$C$4,"Caducado",IF(EDATE(_xlfn.MAXIFS(Acuses!$D$5:$D$3004,Acuses!$A$5:$A$3004,$A101,Acuses!$B$5:$B$3004,P$4,Acuses!$C$5:$C$3004,P$5),P$8)&lt;Resumen!$C$4+30,"Caduca pronto","OK"))))))</f>
        <v/>
      </c>
      <c r="Q101" s="26" t="str">
        <f aca="false">IF(OR($A101="",Q$4=""),"",IF(NOT(OR(Q$6="Toda la plantilla",ISNUMBER(SEARCH(";"&amp;SUBSTITUTE($C101," ","")&amp;";",";"&amp;SUBSTITUTE(Q$7," ","")&amp;";")))),"—",IF(_xlfn.MAXIFS(Acuses!$C$5:$C$3004,Acuses!$A$5:$A$3004,$A101,Acuses!$B$5:$B$3004,Q$4)&lt;Q$5,"Pendiente",IF(Q$8=0,"OK",IF(EDATE(_xlfn.MAXIFS(Acuses!$D$5:$D$3004,Acuses!$A$5:$A$3004,$A101,Acuses!$B$5:$B$3004,Q$4,Acuses!$C$5:$C$3004,Q$5),Q$8)&lt;Resumen!$C$4,"Caducado",IF(EDATE(_xlfn.MAXIFS(Acuses!$D$5:$D$3004,Acuses!$A$5:$A$3004,$A101,Acuses!$B$5:$B$3004,Q$4,Acuses!$C$5:$C$3004,Q$5),Q$8)&lt;Resumen!$C$4+30,"Caduca pronto","OK"))))))</f>
        <v/>
      </c>
      <c r="R101" s="26" t="str">
        <f aca="false">IF(OR($A101="",R$4=""),"",IF(NOT(OR(R$6="Toda la plantilla",ISNUMBER(SEARCH(";"&amp;SUBSTITUTE($C101," ","")&amp;";",";"&amp;SUBSTITUTE(R$7," ","")&amp;";")))),"—",IF(_xlfn.MAXIFS(Acuses!$C$5:$C$3004,Acuses!$A$5:$A$3004,$A101,Acuses!$B$5:$B$3004,R$4)&lt;R$5,"Pendiente",IF(R$8=0,"OK",IF(EDATE(_xlfn.MAXIFS(Acuses!$D$5:$D$3004,Acuses!$A$5:$A$3004,$A101,Acuses!$B$5:$B$3004,R$4,Acuses!$C$5:$C$3004,R$5),R$8)&lt;Resumen!$C$4,"Caducado",IF(EDATE(_xlfn.MAXIFS(Acuses!$D$5:$D$3004,Acuses!$A$5:$A$3004,$A101,Acuses!$B$5:$B$3004,R$4,Acuses!$C$5:$C$3004,R$5),R$8)&lt;Resumen!$C$4+30,"Caduca pronto","OK"))))))</f>
        <v/>
      </c>
      <c r="S101" s="26" t="str">
        <f aca="false">IF(OR($A101="",S$4=""),"",IF(NOT(OR(S$6="Toda la plantilla",ISNUMBER(SEARCH(";"&amp;SUBSTITUTE($C101," ","")&amp;";",";"&amp;SUBSTITUTE(S$7," ","")&amp;";")))),"—",IF(_xlfn.MAXIFS(Acuses!$C$5:$C$3004,Acuses!$A$5:$A$3004,$A101,Acuses!$B$5:$B$3004,S$4)&lt;S$5,"Pendiente",IF(S$8=0,"OK",IF(EDATE(_xlfn.MAXIFS(Acuses!$D$5:$D$3004,Acuses!$A$5:$A$3004,$A101,Acuses!$B$5:$B$3004,S$4,Acuses!$C$5:$C$3004,S$5),S$8)&lt;Resumen!$C$4,"Caducado",IF(EDATE(_xlfn.MAXIFS(Acuses!$D$5:$D$3004,Acuses!$A$5:$A$3004,$A101,Acuses!$B$5:$B$3004,S$4,Acuses!$C$5:$C$3004,S$5),S$8)&lt;Resumen!$C$4+30,"Caduca pronto","OK"))))))</f>
        <v/>
      </c>
      <c r="T101" s="26" t="str">
        <f aca="false">IF(OR($A101="",T$4=""),"",IF(NOT(OR(T$6="Toda la plantilla",ISNUMBER(SEARCH(";"&amp;SUBSTITUTE($C101," ","")&amp;";",";"&amp;SUBSTITUTE(T$7," ","")&amp;";")))),"—",IF(_xlfn.MAXIFS(Acuses!$C$5:$C$3004,Acuses!$A$5:$A$3004,$A101,Acuses!$B$5:$B$3004,T$4)&lt;T$5,"Pendiente",IF(T$8=0,"OK",IF(EDATE(_xlfn.MAXIFS(Acuses!$D$5:$D$3004,Acuses!$A$5:$A$3004,$A101,Acuses!$B$5:$B$3004,T$4,Acuses!$C$5:$C$3004,T$5),T$8)&lt;Resumen!$C$4,"Caducado",IF(EDATE(_xlfn.MAXIFS(Acuses!$D$5:$D$3004,Acuses!$A$5:$A$3004,$A101,Acuses!$B$5:$B$3004,T$4,Acuses!$C$5:$C$3004,T$5),T$8)&lt;Resumen!$C$4+30,"Caduca pronto","OK"))))))</f>
        <v/>
      </c>
      <c r="U101" s="26" t="str">
        <f aca="false">IF(OR($A101="",U$4=""),"",IF(NOT(OR(U$6="Toda la plantilla",ISNUMBER(SEARCH(";"&amp;SUBSTITUTE($C101," ","")&amp;";",";"&amp;SUBSTITUTE(U$7," ","")&amp;";")))),"—",IF(_xlfn.MAXIFS(Acuses!$C$5:$C$3004,Acuses!$A$5:$A$3004,$A101,Acuses!$B$5:$B$3004,U$4)&lt;U$5,"Pendiente",IF(U$8=0,"OK",IF(EDATE(_xlfn.MAXIFS(Acuses!$D$5:$D$3004,Acuses!$A$5:$A$3004,$A101,Acuses!$B$5:$B$3004,U$4,Acuses!$C$5:$C$3004,U$5),U$8)&lt;Resumen!$C$4,"Caducado",IF(EDATE(_xlfn.MAXIFS(Acuses!$D$5:$D$3004,Acuses!$A$5:$A$3004,$A101,Acuses!$B$5:$B$3004,U$4,Acuses!$C$5:$C$3004,U$5),U$8)&lt;Resumen!$C$4+30,"Caduca pronto","OK"))))))</f>
        <v/>
      </c>
      <c r="V101" s="26" t="str">
        <f aca="false">IF(OR($A101="",V$4=""),"",IF(NOT(OR(V$6="Toda la plantilla",ISNUMBER(SEARCH(";"&amp;SUBSTITUTE($C101," ","")&amp;";",";"&amp;SUBSTITUTE(V$7," ","")&amp;";")))),"—",IF(_xlfn.MAXIFS(Acuses!$C$5:$C$3004,Acuses!$A$5:$A$3004,$A101,Acuses!$B$5:$B$3004,V$4)&lt;V$5,"Pendiente",IF(V$8=0,"OK",IF(EDATE(_xlfn.MAXIFS(Acuses!$D$5:$D$3004,Acuses!$A$5:$A$3004,$A101,Acuses!$B$5:$B$3004,V$4,Acuses!$C$5:$C$3004,V$5),V$8)&lt;Resumen!$C$4,"Caducado",IF(EDATE(_xlfn.MAXIFS(Acuses!$D$5:$D$3004,Acuses!$A$5:$A$3004,$A101,Acuses!$B$5:$B$3004,V$4,Acuses!$C$5:$C$3004,V$5),V$8)&lt;Resumen!$C$4+30,"Caduca pronto","OK"))))))</f>
        <v/>
      </c>
      <c r="W101" s="26" t="str">
        <f aca="false">IF(OR($A101="",W$4=""),"",IF(NOT(OR(W$6="Toda la plantilla",ISNUMBER(SEARCH(";"&amp;SUBSTITUTE($C101," ","")&amp;";",";"&amp;SUBSTITUTE(W$7," ","")&amp;";")))),"—",IF(_xlfn.MAXIFS(Acuses!$C$5:$C$3004,Acuses!$A$5:$A$3004,$A101,Acuses!$B$5:$B$3004,W$4)&lt;W$5,"Pendiente",IF(W$8=0,"OK",IF(EDATE(_xlfn.MAXIFS(Acuses!$D$5:$D$3004,Acuses!$A$5:$A$3004,$A101,Acuses!$B$5:$B$3004,W$4,Acuses!$C$5:$C$3004,W$5),W$8)&lt;Resumen!$C$4,"Caducado",IF(EDATE(_xlfn.MAXIFS(Acuses!$D$5:$D$3004,Acuses!$A$5:$A$3004,$A101,Acuses!$B$5:$B$3004,W$4,Acuses!$C$5:$C$3004,W$5),W$8)&lt;Resumen!$C$4+30,"Caduca pronto","OK"))))))</f>
        <v/>
      </c>
      <c r="X101" s="26" t="str">
        <f aca="false">IF(OR($A101="",X$4=""),"",IF(NOT(OR(X$6="Toda la plantilla",ISNUMBER(SEARCH(";"&amp;SUBSTITUTE($C101," ","")&amp;";",";"&amp;SUBSTITUTE(X$7," ","")&amp;";")))),"—",IF(_xlfn.MAXIFS(Acuses!$C$5:$C$3004,Acuses!$A$5:$A$3004,$A101,Acuses!$B$5:$B$3004,X$4)&lt;X$5,"Pendiente",IF(X$8=0,"OK",IF(EDATE(_xlfn.MAXIFS(Acuses!$D$5:$D$3004,Acuses!$A$5:$A$3004,$A101,Acuses!$B$5:$B$3004,X$4,Acuses!$C$5:$C$3004,X$5),X$8)&lt;Resumen!$C$4,"Caducado",IF(EDATE(_xlfn.MAXIFS(Acuses!$D$5:$D$3004,Acuses!$A$5:$A$3004,$A101,Acuses!$B$5:$B$3004,X$4,Acuses!$C$5:$C$3004,X$5),X$8)&lt;Resumen!$C$4+30,"Caduca pronto","OK"))))))</f>
        <v/>
      </c>
      <c r="Y101" s="26" t="str">
        <f aca="false">IF(OR($A101="",Y$4=""),"",IF(NOT(OR(Y$6="Toda la plantilla",ISNUMBER(SEARCH(";"&amp;SUBSTITUTE($C101," ","")&amp;";",";"&amp;SUBSTITUTE(Y$7," ","")&amp;";")))),"—",IF(_xlfn.MAXIFS(Acuses!$C$5:$C$3004,Acuses!$A$5:$A$3004,$A101,Acuses!$B$5:$B$3004,Y$4)&lt;Y$5,"Pendiente",IF(Y$8=0,"OK",IF(EDATE(_xlfn.MAXIFS(Acuses!$D$5:$D$3004,Acuses!$A$5:$A$3004,$A101,Acuses!$B$5:$B$3004,Y$4,Acuses!$C$5:$C$3004,Y$5),Y$8)&lt;Resumen!$C$4,"Caducado",IF(EDATE(_xlfn.MAXIFS(Acuses!$D$5:$D$3004,Acuses!$A$5:$A$3004,$A101,Acuses!$B$5:$B$3004,Y$4,Acuses!$C$5:$C$3004,Y$5),Y$8)&lt;Resumen!$C$4+30,"Caduca pronto","OK"))))))</f>
        <v/>
      </c>
      <c r="Z101" s="26" t="str">
        <f aca="false">IF(OR($A101="",Z$4=""),"",IF(NOT(OR(Z$6="Toda la plantilla",ISNUMBER(SEARCH(";"&amp;SUBSTITUTE($C101," ","")&amp;";",";"&amp;SUBSTITUTE(Z$7," ","")&amp;";")))),"—",IF(_xlfn.MAXIFS(Acuses!$C$5:$C$3004,Acuses!$A$5:$A$3004,$A101,Acuses!$B$5:$B$3004,Z$4)&lt;Z$5,"Pendiente",IF(Z$8=0,"OK",IF(EDATE(_xlfn.MAXIFS(Acuses!$D$5:$D$3004,Acuses!$A$5:$A$3004,$A101,Acuses!$B$5:$B$3004,Z$4,Acuses!$C$5:$C$3004,Z$5),Z$8)&lt;Resumen!$C$4,"Caducado",IF(EDATE(_xlfn.MAXIFS(Acuses!$D$5:$D$3004,Acuses!$A$5:$A$3004,$A101,Acuses!$B$5:$B$3004,Z$4,Acuses!$C$5:$C$3004,Z$5),Z$8)&lt;Resumen!$C$4+30,"Caduca pronto","OK"))))))</f>
        <v/>
      </c>
      <c r="AA101" s="26" t="str">
        <f aca="false">IF(OR($A101="",AA$4=""),"",IF(NOT(OR(AA$6="Toda la plantilla",ISNUMBER(SEARCH(";"&amp;SUBSTITUTE($C101," ","")&amp;";",";"&amp;SUBSTITUTE(AA$7," ","")&amp;";")))),"—",IF(_xlfn.MAXIFS(Acuses!$C$5:$C$3004,Acuses!$A$5:$A$3004,$A101,Acuses!$B$5:$B$3004,AA$4)&lt;AA$5,"Pendiente",IF(AA$8=0,"OK",IF(EDATE(_xlfn.MAXIFS(Acuses!$D$5:$D$3004,Acuses!$A$5:$A$3004,$A101,Acuses!$B$5:$B$3004,AA$4,Acuses!$C$5:$C$3004,AA$5),AA$8)&lt;Resumen!$C$4,"Caducado",IF(EDATE(_xlfn.MAXIFS(Acuses!$D$5:$D$3004,Acuses!$A$5:$A$3004,$A101,Acuses!$B$5:$B$3004,AA$4,Acuses!$C$5:$C$3004,AA$5),AA$8)&lt;Resumen!$C$4+30,"Caduca pronto","OK"))))))</f>
        <v/>
      </c>
      <c r="AB101" s="26" t="str">
        <f aca="false">IF(OR($A101="",AB$4=""),"",IF(NOT(OR(AB$6="Toda la plantilla",ISNUMBER(SEARCH(";"&amp;SUBSTITUTE($C101," ","")&amp;";",";"&amp;SUBSTITUTE(AB$7," ","")&amp;";")))),"—",IF(_xlfn.MAXIFS(Acuses!$C$5:$C$3004,Acuses!$A$5:$A$3004,$A101,Acuses!$B$5:$B$3004,AB$4)&lt;AB$5,"Pendiente",IF(AB$8=0,"OK",IF(EDATE(_xlfn.MAXIFS(Acuses!$D$5:$D$3004,Acuses!$A$5:$A$3004,$A101,Acuses!$B$5:$B$3004,AB$4,Acuses!$C$5:$C$3004,AB$5),AB$8)&lt;Resumen!$C$4,"Caducado",IF(EDATE(_xlfn.MAXIFS(Acuses!$D$5:$D$3004,Acuses!$A$5:$A$3004,$A101,Acuses!$B$5:$B$3004,AB$4,Acuses!$C$5:$C$3004,AB$5),AB$8)&lt;Resumen!$C$4+30,"Caduca pronto","OK"))))))</f>
        <v/>
      </c>
      <c r="AC101" s="26" t="str">
        <f aca="false">IF(OR($A101="",AC$4=""),"",IF(NOT(OR(AC$6="Toda la plantilla",ISNUMBER(SEARCH(";"&amp;SUBSTITUTE($C101," ","")&amp;";",";"&amp;SUBSTITUTE(AC$7," ","")&amp;";")))),"—",IF(_xlfn.MAXIFS(Acuses!$C$5:$C$3004,Acuses!$A$5:$A$3004,$A101,Acuses!$B$5:$B$3004,AC$4)&lt;AC$5,"Pendiente",IF(AC$8=0,"OK",IF(EDATE(_xlfn.MAXIFS(Acuses!$D$5:$D$3004,Acuses!$A$5:$A$3004,$A101,Acuses!$B$5:$B$3004,AC$4,Acuses!$C$5:$C$3004,AC$5),AC$8)&lt;Resumen!$C$4,"Caducado",IF(EDATE(_xlfn.MAXIFS(Acuses!$D$5:$D$3004,Acuses!$A$5:$A$3004,$A101,Acuses!$B$5:$B$3004,AC$4,Acuses!$C$5:$C$3004,AC$5),AC$8)&lt;Resumen!$C$4+30,"Caduca pronto","OK"))))))</f>
        <v/>
      </c>
      <c r="AD101" s="26" t="str">
        <f aca="false">IF(OR($A101="",AD$4=""),"",IF(NOT(OR(AD$6="Toda la plantilla",ISNUMBER(SEARCH(";"&amp;SUBSTITUTE($C101," ","")&amp;";",";"&amp;SUBSTITUTE(AD$7," ","")&amp;";")))),"—",IF(_xlfn.MAXIFS(Acuses!$C$5:$C$3004,Acuses!$A$5:$A$3004,$A101,Acuses!$B$5:$B$3004,AD$4)&lt;AD$5,"Pendiente",IF(AD$8=0,"OK",IF(EDATE(_xlfn.MAXIFS(Acuses!$D$5:$D$3004,Acuses!$A$5:$A$3004,$A101,Acuses!$B$5:$B$3004,AD$4,Acuses!$C$5:$C$3004,AD$5),AD$8)&lt;Resumen!$C$4,"Caducado",IF(EDATE(_xlfn.MAXIFS(Acuses!$D$5:$D$3004,Acuses!$A$5:$A$3004,$A101,Acuses!$B$5:$B$3004,AD$4,Acuses!$C$5:$C$3004,AD$5),AD$8)&lt;Resumen!$C$4+30,"Caduca pronto","OK"))))))</f>
        <v/>
      </c>
      <c r="AE101" s="26" t="str">
        <f aca="false">IF(OR($A101="",AE$4=""),"",IF(NOT(OR(AE$6="Toda la plantilla",ISNUMBER(SEARCH(";"&amp;SUBSTITUTE($C101," ","")&amp;";",";"&amp;SUBSTITUTE(AE$7," ","")&amp;";")))),"—",IF(_xlfn.MAXIFS(Acuses!$C$5:$C$3004,Acuses!$A$5:$A$3004,$A101,Acuses!$B$5:$B$3004,AE$4)&lt;AE$5,"Pendiente",IF(AE$8=0,"OK",IF(EDATE(_xlfn.MAXIFS(Acuses!$D$5:$D$3004,Acuses!$A$5:$A$3004,$A101,Acuses!$B$5:$B$3004,AE$4,Acuses!$C$5:$C$3004,AE$5),AE$8)&lt;Resumen!$C$4,"Caducado",IF(EDATE(_xlfn.MAXIFS(Acuses!$D$5:$D$3004,Acuses!$A$5:$A$3004,$A101,Acuses!$B$5:$B$3004,AE$4,Acuses!$C$5:$C$3004,AE$5),AE$8)&lt;Resumen!$C$4+30,"Caduca pronto","OK"))))))</f>
        <v/>
      </c>
      <c r="AF101" s="26" t="str">
        <f aca="false">IF(OR($A101="",AF$4=""),"",IF(NOT(OR(AF$6="Toda la plantilla",ISNUMBER(SEARCH(";"&amp;SUBSTITUTE($C101," ","")&amp;";",";"&amp;SUBSTITUTE(AF$7," ","")&amp;";")))),"—",IF(_xlfn.MAXIFS(Acuses!$C$5:$C$3004,Acuses!$A$5:$A$3004,$A101,Acuses!$B$5:$B$3004,AF$4)&lt;AF$5,"Pendiente",IF(AF$8=0,"OK",IF(EDATE(_xlfn.MAXIFS(Acuses!$D$5:$D$3004,Acuses!$A$5:$A$3004,$A101,Acuses!$B$5:$B$3004,AF$4,Acuses!$C$5:$C$3004,AF$5),AF$8)&lt;Resumen!$C$4,"Caducado",IF(EDATE(_xlfn.MAXIFS(Acuses!$D$5:$D$3004,Acuses!$A$5:$A$3004,$A101,Acuses!$B$5:$B$3004,AF$4,Acuses!$C$5:$C$3004,AF$5),AF$8)&lt;Resumen!$C$4+30,"Caduca pronto","OK"))))))</f>
        <v/>
      </c>
      <c r="AG101" s="26" t="str">
        <f aca="false">IF(OR($A101="",AG$4=""),"",IF(NOT(OR(AG$6="Toda la plantilla",ISNUMBER(SEARCH(";"&amp;SUBSTITUTE($C101," ","")&amp;";",";"&amp;SUBSTITUTE(AG$7," ","")&amp;";")))),"—",IF(_xlfn.MAXIFS(Acuses!$C$5:$C$3004,Acuses!$A$5:$A$3004,$A101,Acuses!$B$5:$B$3004,AG$4)&lt;AG$5,"Pendiente",IF(AG$8=0,"OK",IF(EDATE(_xlfn.MAXIFS(Acuses!$D$5:$D$3004,Acuses!$A$5:$A$3004,$A101,Acuses!$B$5:$B$3004,AG$4,Acuses!$C$5:$C$3004,AG$5),AG$8)&lt;Resumen!$C$4,"Caducado",IF(EDATE(_xlfn.MAXIFS(Acuses!$D$5:$D$3004,Acuses!$A$5:$A$3004,$A101,Acuses!$B$5:$B$3004,AG$4,Acuses!$C$5:$C$3004,AG$5),AG$8)&lt;Resumen!$C$4+30,"Caduca pronto","OK"))))))</f>
        <v/>
      </c>
      <c r="AH101" s="26" t="str">
        <f aca="false">IF(OR($A101="",AH$4=""),"",IF(NOT(OR(AH$6="Toda la plantilla",ISNUMBER(SEARCH(";"&amp;SUBSTITUTE($C101," ","")&amp;";",";"&amp;SUBSTITUTE(AH$7," ","")&amp;";")))),"—",IF(_xlfn.MAXIFS(Acuses!$C$5:$C$3004,Acuses!$A$5:$A$3004,$A101,Acuses!$B$5:$B$3004,AH$4)&lt;AH$5,"Pendiente",IF(AH$8=0,"OK",IF(EDATE(_xlfn.MAXIFS(Acuses!$D$5:$D$3004,Acuses!$A$5:$A$3004,$A101,Acuses!$B$5:$B$3004,AH$4,Acuses!$C$5:$C$3004,AH$5),AH$8)&lt;Resumen!$C$4,"Caducado",IF(EDATE(_xlfn.MAXIFS(Acuses!$D$5:$D$3004,Acuses!$A$5:$A$3004,$A101,Acuses!$B$5:$B$3004,AH$4,Acuses!$C$5:$C$3004,AH$5),AH$8)&lt;Resumen!$C$4+30,"Caduca pronto","OK"))))))</f>
        <v/>
      </c>
      <c r="AI101" s="26" t="str">
        <f aca="false">IF(OR($A101="",AI$4=""),"",IF(NOT(OR(AI$6="Toda la plantilla",ISNUMBER(SEARCH(";"&amp;SUBSTITUTE($C101," ","")&amp;";",";"&amp;SUBSTITUTE(AI$7," ","")&amp;";")))),"—",IF(_xlfn.MAXIFS(Acuses!$C$5:$C$3004,Acuses!$A$5:$A$3004,$A101,Acuses!$B$5:$B$3004,AI$4)&lt;AI$5,"Pendiente",IF(AI$8=0,"OK",IF(EDATE(_xlfn.MAXIFS(Acuses!$D$5:$D$3004,Acuses!$A$5:$A$3004,$A101,Acuses!$B$5:$B$3004,AI$4,Acuses!$C$5:$C$3004,AI$5),AI$8)&lt;Resumen!$C$4,"Caducado",IF(EDATE(_xlfn.MAXIFS(Acuses!$D$5:$D$3004,Acuses!$A$5:$A$3004,$A101,Acuses!$B$5:$B$3004,AI$4,Acuses!$C$5:$C$3004,AI$5),AI$8)&lt;Resumen!$C$4+30,"Caduca pronto","OK"))))))</f>
        <v/>
      </c>
      <c r="AJ101" s="26" t="str">
        <f aca="false">IF(OR($A101="",AJ$4=""),"",IF(NOT(OR(AJ$6="Toda la plantilla",ISNUMBER(SEARCH(";"&amp;SUBSTITUTE($C101," ","")&amp;";",";"&amp;SUBSTITUTE(AJ$7," ","")&amp;";")))),"—",IF(_xlfn.MAXIFS(Acuses!$C$5:$C$3004,Acuses!$A$5:$A$3004,$A101,Acuses!$B$5:$B$3004,AJ$4)&lt;AJ$5,"Pendiente",IF(AJ$8=0,"OK",IF(EDATE(_xlfn.MAXIFS(Acuses!$D$5:$D$3004,Acuses!$A$5:$A$3004,$A101,Acuses!$B$5:$B$3004,AJ$4,Acuses!$C$5:$C$3004,AJ$5),AJ$8)&lt;Resumen!$C$4,"Caducado",IF(EDATE(_xlfn.MAXIFS(Acuses!$D$5:$D$3004,Acuses!$A$5:$A$3004,$A101,Acuses!$B$5:$B$3004,AJ$4,Acuses!$C$5:$C$3004,AJ$5),AJ$8)&lt;Resumen!$C$4+30,"Caduca pronto","OK"))))))</f>
        <v/>
      </c>
      <c r="AK101" s="26" t="str">
        <f aca="false">IF(OR($A101="",AK$4=""),"",IF(NOT(OR(AK$6="Toda la plantilla",ISNUMBER(SEARCH(";"&amp;SUBSTITUTE($C101," ","")&amp;";",";"&amp;SUBSTITUTE(AK$7," ","")&amp;";")))),"—",IF(_xlfn.MAXIFS(Acuses!$C$5:$C$3004,Acuses!$A$5:$A$3004,$A101,Acuses!$B$5:$B$3004,AK$4)&lt;AK$5,"Pendiente",IF(AK$8=0,"OK",IF(EDATE(_xlfn.MAXIFS(Acuses!$D$5:$D$3004,Acuses!$A$5:$A$3004,$A101,Acuses!$B$5:$B$3004,AK$4,Acuses!$C$5:$C$3004,AK$5),AK$8)&lt;Resumen!$C$4,"Caducado",IF(EDATE(_xlfn.MAXIFS(Acuses!$D$5:$D$3004,Acuses!$A$5:$A$3004,$A101,Acuses!$B$5:$B$3004,AK$4,Acuses!$C$5:$C$3004,AK$5),AK$8)&lt;Resumen!$C$4+30,"Caduca pronto","OK"))))))</f>
        <v/>
      </c>
      <c r="AL101" s="26" t="str">
        <f aca="false">IF(OR($A101="",AL$4=""),"",IF(NOT(OR(AL$6="Toda la plantilla",ISNUMBER(SEARCH(";"&amp;SUBSTITUTE($C101," ","")&amp;";",";"&amp;SUBSTITUTE(AL$7," ","")&amp;";")))),"—",IF(_xlfn.MAXIFS(Acuses!$C$5:$C$3004,Acuses!$A$5:$A$3004,$A101,Acuses!$B$5:$B$3004,AL$4)&lt;AL$5,"Pendiente",IF(AL$8=0,"OK",IF(EDATE(_xlfn.MAXIFS(Acuses!$D$5:$D$3004,Acuses!$A$5:$A$3004,$A101,Acuses!$B$5:$B$3004,AL$4,Acuses!$C$5:$C$3004,AL$5),AL$8)&lt;Resumen!$C$4,"Caducado",IF(EDATE(_xlfn.MAXIFS(Acuses!$D$5:$D$3004,Acuses!$A$5:$A$3004,$A101,Acuses!$B$5:$B$3004,AL$4,Acuses!$C$5:$C$3004,AL$5),AL$8)&lt;Resumen!$C$4+30,"Caduca pronto","OK"))))))</f>
        <v/>
      </c>
      <c r="AM101" s="26" t="str">
        <f aca="false">IF(OR($A101="",AM$4=""),"",IF(NOT(OR(AM$6="Toda la plantilla",ISNUMBER(SEARCH(";"&amp;SUBSTITUTE($C101," ","")&amp;";",";"&amp;SUBSTITUTE(AM$7," ","")&amp;";")))),"—",IF(_xlfn.MAXIFS(Acuses!$C$5:$C$3004,Acuses!$A$5:$A$3004,$A101,Acuses!$B$5:$B$3004,AM$4)&lt;AM$5,"Pendiente",IF(AM$8=0,"OK",IF(EDATE(_xlfn.MAXIFS(Acuses!$D$5:$D$3004,Acuses!$A$5:$A$3004,$A101,Acuses!$B$5:$B$3004,AM$4,Acuses!$C$5:$C$3004,AM$5),AM$8)&lt;Resumen!$C$4,"Caducado",IF(EDATE(_xlfn.MAXIFS(Acuses!$D$5:$D$3004,Acuses!$A$5:$A$3004,$A101,Acuses!$B$5:$B$3004,AM$4,Acuses!$C$5:$C$3004,AM$5),AM$8)&lt;Resumen!$C$4+30,"Caduca pronto","OK"))))))</f>
        <v/>
      </c>
      <c r="AN101" s="26" t="str">
        <f aca="false">IF(OR($A101="",AN$4=""),"",IF(NOT(OR(AN$6="Toda la plantilla",ISNUMBER(SEARCH(";"&amp;SUBSTITUTE($C101," ","")&amp;";",";"&amp;SUBSTITUTE(AN$7," ","")&amp;";")))),"—",IF(_xlfn.MAXIFS(Acuses!$C$5:$C$3004,Acuses!$A$5:$A$3004,$A101,Acuses!$B$5:$B$3004,AN$4)&lt;AN$5,"Pendiente",IF(AN$8=0,"OK",IF(EDATE(_xlfn.MAXIFS(Acuses!$D$5:$D$3004,Acuses!$A$5:$A$3004,$A101,Acuses!$B$5:$B$3004,AN$4,Acuses!$C$5:$C$3004,AN$5),AN$8)&lt;Resumen!$C$4,"Caducado",IF(EDATE(_xlfn.MAXIFS(Acuses!$D$5:$D$3004,Acuses!$A$5:$A$3004,$A101,Acuses!$B$5:$B$3004,AN$4,Acuses!$C$5:$C$3004,AN$5),AN$8)&lt;Resumen!$C$4+30,"Caduca pronto","OK"))))))</f>
        <v/>
      </c>
      <c r="AO101" s="26" t="str">
        <f aca="false">IF(OR($A101="",AO$4=""),"",IF(NOT(OR(AO$6="Toda la plantilla",ISNUMBER(SEARCH(";"&amp;SUBSTITUTE($C101," ","")&amp;";",";"&amp;SUBSTITUTE(AO$7," ","")&amp;";")))),"—",IF(_xlfn.MAXIFS(Acuses!$C$5:$C$3004,Acuses!$A$5:$A$3004,$A101,Acuses!$B$5:$B$3004,AO$4)&lt;AO$5,"Pendiente",IF(AO$8=0,"OK",IF(EDATE(_xlfn.MAXIFS(Acuses!$D$5:$D$3004,Acuses!$A$5:$A$3004,$A101,Acuses!$B$5:$B$3004,AO$4,Acuses!$C$5:$C$3004,AO$5),AO$8)&lt;Resumen!$C$4,"Caducado",IF(EDATE(_xlfn.MAXIFS(Acuses!$D$5:$D$3004,Acuses!$A$5:$A$3004,$A101,Acuses!$B$5:$B$3004,AO$4,Acuses!$C$5:$C$3004,AO$5),AO$8)&lt;Resumen!$C$4+30,"Caduca pronto","OK"))))))</f>
        <v/>
      </c>
      <c r="AP101" s="26" t="str">
        <f aca="false">IF(OR($A101="",AP$4=""),"",IF(NOT(OR(AP$6="Toda la plantilla",ISNUMBER(SEARCH(";"&amp;SUBSTITUTE($C101," ","")&amp;";",";"&amp;SUBSTITUTE(AP$7," ","")&amp;";")))),"—",IF(_xlfn.MAXIFS(Acuses!$C$5:$C$3004,Acuses!$A$5:$A$3004,$A101,Acuses!$B$5:$B$3004,AP$4)&lt;AP$5,"Pendiente",IF(AP$8=0,"OK",IF(EDATE(_xlfn.MAXIFS(Acuses!$D$5:$D$3004,Acuses!$A$5:$A$3004,$A101,Acuses!$B$5:$B$3004,AP$4,Acuses!$C$5:$C$3004,AP$5),AP$8)&lt;Resumen!$C$4,"Caducado",IF(EDATE(_xlfn.MAXIFS(Acuses!$D$5:$D$3004,Acuses!$A$5:$A$3004,$A101,Acuses!$B$5:$B$3004,AP$4,Acuses!$C$5:$C$3004,AP$5),AP$8)&lt;Resumen!$C$4+30,"Caduca pronto","OK"))))))</f>
        <v/>
      </c>
      <c r="AQ101" s="26" t="str">
        <f aca="false">IF(OR($A101="",AQ$4=""),"",IF(NOT(OR(AQ$6="Toda la plantilla",ISNUMBER(SEARCH(";"&amp;SUBSTITUTE($C101," ","")&amp;";",";"&amp;SUBSTITUTE(AQ$7," ","")&amp;";")))),"—",IF(_xlfn.MAXIFS(Acuses!$C$5:$C$3004,Acuses!$A$5:$A$3004,$A101,Acuses!$B$5:$B$3004,AQ$4)&lt;AQ$5,"Pendiente",IF(AQ$8=0,"OK",IF(EDATE(_xlfn.MAXIFS(Acuses!$D$5:$D$3004,Acuses!$A$5:$A$3004,$A101,Acuses!$B$5:$B$3004,AQ$4,Acuses!$C$5:$C$3004,AQ$5),AQ$8)&lt;Resumen!$C$4,"Caducado",IF(EDATE(_xlfn.MAXIFS(Acuses!$D$5:$D$3004,Acuses!$A$5:$A$3004,$A101,Acuses!$B$5:$B$3004,AQ$4,Acuses!$C$5:$C$3004,AQ$5),AQ$8)&lt;Resumen!$C$4+30,"Caduca pronto","OK"))))))</f>
        <v/>
      </c>
    </row>
    <row r="102" customFormat="false" ht="15" hidden="false" customHeight="false" outlineLevel="0" collapsed="false">
      <c r="A102" s="25" t="str">
        <f aca="false">IF(AND(Trabajadores!$A$97&lt;&gt;"",Trabajadores!$G$97&lt;&gt;"No"),Trabajadores!$A$97,"")</f>
        <v/>
      </c>
      <c r="B102" s="25" t="str">
        <f aca="false">IF($A102="","",Trabajadores!$B$97)</f>
        <v/>
      </c>
      <c r="C102" s="25" t="str">
        <f aca="false">IF($A102="","",Trabajadores!$C$97)</f>
        <v/>
      </c>
      <c r="D102" s="26" t="str">
        <f aca="false">IF(OR($A102="",D$4=""),"",IF(NOT(OR(D$6="Toda la plantilla",ISNUMBER(SEARCH(";"&amp;SUBSTITUTE($C102," ","")&amp;";",";"&amp;SUBSTITUTE(D$7," ","")&amp;";")))),"—",IF(_xlfn.MAXIFS(Acuses!$C$5:$C$3004,Acuses!$A$5:$A$3004,$A102,Acuses!$B$5:$B$3004,D$4)&lt;D$5,"Pendiente",IF(D$8=0,"OK",IF(EDATE(_xlfn.MAXIFS(Acuses!$D$5:$D$3004,Acuses!$A$5:$A$3004,$A102,Acuses!$B$5:$B$3004,D$4,Acuses!$C$5:$C$3004,D$5),D$8)&lt;Resumen!$C$4,"Caducado",IF(EDATE(_xlfn.MAXIFS(Acuses!$D$5:$D$3004,Acuses!$A$5:$A$3004,$A102,Acuses!$B$5:$B$3004,D$4,Acuses!$C$5:$C$3004,D$5),D$8)&lt;Resumen!$C$4+30,"Caduca pronto","OK"))))))</f>
        <v/>
      </c>
      <c r="E102" s="26" t="str">
        <f aca="false">IF(OR($A102="",E$4=""),"",IF(NOT(OR(E$6="Toda la plantilla",ISNUMBER(SEARCH(";"&amp;SUBSTITUTE($C102," ","")&amp;";",";"&amp;SUBSTITUTE(E$7," ","")&amp;";")))),"—",IF(_xlfn.MAXIFS(Acuses!$C$5:$C$3004,Acuses!$A$5:$A$3004,$A102,Acuses!$B$5:$B$3004,E$4)&lt;E$5,"Pendiente",IF(E$8=0,"OK",IF(EDATE(_xlfn.MAXIFS(Acuses!$D$5:$D$3004,Acuses!$A$5:$A$3004,$A102,Acuses!$B$5:$B$3004,E$4,Acuses!$C$5:$C$3004,E$5),E$8)&lt;Resumen!$C$4,"Caducado",IF(EDATE(_xlfn.MAXIFS(Acuses!$D$5:$D$3004,Acuses!$A$5:$A$3004,$A102,Acuses!$B$5:$B$3004,E$4,Acuses!$C$5:$C$3004,E$5),E$8)&lt;Resumen!$C$4+30,"Caduca pronto","OK"))))))</f>
        <v/>
      </c>
      <c r="F102" s="26" t="str">
        <f aca="false">IF(OR($A102="",F$4=""),"",IF(NOT(OR(F$6="Toda la plantilla",ISNUMBER(SEARCH(";"&amp;SUBSTITUTE($C102," ","")&amp;";",";"&amp;SUBSTITUTE(F$7," ","")&amp;";")))),"—",IF(_xlfn.MAXIFS(Acuses!$C$5:$C$3004,Acuses!$A$5:$A$3004,$A102,Acuses!$B$5:$B$3004,F$4)&lt;F$5,"Pendiente",IF(F$8=0,"OK",IF(EDATE(_xlfn.MAXIFS(Acuses!$D$5:$D$3004,Acuses!$A$5:$A$3004,$A102,Acuses!$B$5:$B$3004,F$4,Acuses!$C$5:$C$3004,F$5),F$8)&lt;Resumen!$C$4,"Caducado",IF(EDATE(_xlfn.MAXIFS(Acuses!$D$5:$D$3004,Acuses!$A$5:$A$3004,$A102,Acuses!$B$5:$B$3004,F$4,Acuses!$C$5:$C$3004,F$5),F$8)&lt;Resumen!$C$4+30,"Caduca pronto","OK"))))))</f>
        <v/>
      </c>
      <c r="G102" s="26" t="str">
        <f aca="false">IF(OR($A102="",G$4=""),"",IF(NOT(OR(G$6="Toda la plantilla",ISNUMBER(SEARCH(";"&amp;SUBSTITUTE($C102," ","")&amp;";",";"&amp;SUBSTITUTE(G$7," ","")&amp;";")))),"—",IF(_xlfn.MAXIFS(Acuses!$C$5:$C$3004,Acuses!$A$5:$A$3004,$A102,Acuses!$B$5:$B$3004,G$4)&lt;G$5,"Pendiente",IF(G$8=0,"OK",IF(EDATE(_xlfn.MAXIFS(Acuses!$D$5:$D$3004,Acuses!$A$5:$A$3004,$A102,Acuses!$B$5:$B$3004,G$4,Acuses!$C$5:$C$3004,G$5),G$8)&lt;Resumen!$C$4,"Caducado",IF(EDATE(_xlfn.MAXIFS(Acuses!$D$5:$D$3004,Acuses!$A$5:$A$3004,$A102,Acuses!$B$5:$B$3004,G$4,Acuses!$C$5:$C$3004,G$5),G$8)&lt;Resumen!$C$4+30,"Caduca pronto","OK"))))))</f>
        <v/>
      </c>
      <c r="H102" s="26" t="str">
        <f aca="false">IF(OR($A102="",H$4=""),"",IF(NOT(OR(H$6="Toda la plantilla",ISNUMBER(SEARCH(";"&amp;SUBSTITUTE($C102," ","")&amp;";",";"&amp;SUBSTITUTE(H$7," ","")&amp;";")))),"—",IF(_xlfn.MAXIFS(Acuses!$C$5:$C$3004,Acuses!$A$5:$A$3004,$A102,Acuses!$B$5:$B$3004,H$4)&lt;H$5,"Pendiente",IF(H$8=0,"OK",IF(EDATE(_xlfn.MAXIFS(Acuses!$D$5:$D$3004,Acuses!$A$5:$A$3004,$A102,Acuses!$B$5:$B$3004,H$4,Acuses!$C$5:$C$3004,H$5),H$8)&lt;Resumen!$C$4,"Caducado",IF(EDATE(_xlfn.MAXIFS(Acuses!$D$5:$D$3004,Acuses!$A$5:$A$3004,$A102,Acuses!$B$5:$B$3004,H$4,Acuses!$C$5:$C$3004,H$5),H$8)&lt;Resumen!$C$4+30,"Caduca pronto","OK"))))))</f>
        <v/>
      </c>
      <c r="I102" s="26" t="str">
        <f aca="false">IF(OR($A102="",I$4=""),"",IF(NOT(OR(I$6="Toda la plantilla",ISNUMBER(SEARCH(";"&amp;SUBSTITUTE($C102," ","")&amp;";",";"&amp;SUBSTITUTE(I$7," ","")&amp;";")))),"—",IF(_xlfn.MAXIFS(Acuses!$C$5:$C$3004,Acuses!$A$5:$A$3004,$A102,Acuses!$B$5:$B$3004,I$4)&lt;I$5,"Pendiente",IF(I$8=0,"OK",IF(EDATE(_xlfn.MAXIFS(Acuses!$D$5:$D$3004,Acuses!$A$5:$A$3004,$A102,Acuses!$B$5:$B$3004,I$4,Acuses!$C$5:$C$3004,I$5),I$8)&lt;Resumen!$C$4,"Caducado",IF(EDATE(_xlfn.MAXIFS(Acuses!$D$5:$D$3004,Acuses!$A$5:$A$3004,$A102,Acuses!$B$5:$B$3004,I$4,Acuses!$C$5:$C$3004,I$5),I$8)&lt;Resumen!$C$4+30,"Caduca pronto","OK"))))))</f>
        <v/>
      </c>
      <c r="J102" s="26" t="str">
        <f aca="false">IF(OR($A102="",J$4=""),"",IF(NOT(OR(J$6="Toda la plantilla",ISNUMBER(SEARCH(";"&amp;SUBSTITUTE($C102," ","")&amp;";",";"&amp;SUBSTITUTE(J$7," ","")&amp;";")))),"—",IF(_xlfn.MAXIFS(Acuses!$C$5:$C$3004,Acuses!$A$5:$A$3004,$A102,Acuses!$B$5:$B$3004,J$4)&lt;J$5,"Pendiente",IF(J$8=0,"OK",IF(EDATE(_xlfn.MAXIFS(Acuses!$D$5:$D$3004,Acuses!$A$5:$A$3004,$A102,Acuses!$B$5:$B$3004,J$4,Acuses!$C$5:$C$3004,J$5),J$8)&lt;Resumen!$C$4,"Caducado",IF(EDATE(_xlfn.MAXIFS(Acuses!$D$5:$D$3004,Acuses!$A$5:$A$3004,$A102,Acuses!$B$5:$B$3004,J$4,Acuses!$C$5:$C$3004,J$5),J$8)&lt;Resumen!$C$4+30,"Caduca pronto","OK"))))))</f>
        <v/>
      </c>
      <c r="K102" s="26" t="str">
        <f aca="false">IF(OR($A102="",K$4=""),"",IF(NOT(OR(K$6="Toda la plantilla",ISNUMBER(SEARCH(";"&amp;SUBSTITUTE($C102," ","")&amp;";",";"&amp;SUBSTITUTE(K$7," ","")&amp;";")))),"—",IF(_xlfn.MAXIFS(Acuses!$C$5:$C$3004,Acuses!$A$5:$A$3004,$A102,Acuses!$B$5:$B$3004,K$4)&lt;K$5,"Pendiente",IF(K$8=0,"OK",IF(EDATE(_xlfn.MAXIFS(Acuses!$D$5:$D$3004,Acuses!$A$5:$A$3004,$A102,Acuses!$B$5:$B$3004,K$4,Acuses!$C$5:$C$3004,K$5),K$8)&lt;Resumen!$C$4,"Caducado",IF(EDATE(_xlfn.MAXIFS(Acuses!$D$5:$D$3004,Acuses!$A$5:$A$3004,$A102,Acuses!$B$5:$B$3004,K$4,Acuses!$C$5:$C$3004,K$5),K$8)&lt;Resumen!$C$4+30,"Caduca pronto","OK"))))))</f>
        <v/>
      </c>
      <c r="L102" s="26" t="str">
        <f aca="false">IF(OR($A102="",L$4=""),"",IF(NOT(OR(L$6="Toda la plantilla",ISNUMBER(SEARCH(";"&amp;SUBSTITUTE($C102," ","")&amp;";",";"&amp;SUBSTITUTE(L$7," ","")&amp;";")))),"—",IF(_xlfn.MAXIFS(Acuses!$C$5:$C$3004,Acuses!$A$5:$A$3004,$A102,Acuses!$B$5:$B$3004,L$4)&lt;L$5,"Pendiente",IF(L$8=0,"OK",IF(EDATE(_xlfn.MAXIFS(Acuses!$D$5:$D$3004,Acuses!$A$5:$A$3004,$A102,Acuses!$B$5:$B$3004,L$4,Acuses!$C$5:$C$3004,L$5),L$8)&lt;Resumen!$C$4,"Caducado",IF(EDATE(_xlfn.MAXIFS(Acuses!$D$5:$D$3004,Acuses!$A$5:$A$3004,$A102,Acuses!$B$5:$B$3004,L$4,Acuses!$C$5:$C$3004,L$5),L$8)&lt;Resumen!$C$4+30,"Caduca pronto","OK"))))))</f>
        <v/>
      </c>
      <c r="M102" s="26" t="str">
        <f aca="false">IF(OR($A102="",M$4=""),"",IF(NOT(OR(M$6="Toda la plantilla",ISNUMBER(SEARCH(";"&amp;SUBSTITUTE($C102," ","")&amp;";",";"&amp;SUBSTITUTE(M$7," ","")&amp;";")))),"—",IF(_xlfn.MAXIFS(Acuses!$C$5:$C$3004,Acuses!$A$5:$A$3004,$A102,Acuses!$B$5:$B$3004,M$4)&lt;M$5,"Pendiente",IF(M$8=0,"OK",IF(EDATE(_xlfn.MAXIFS(Acuses!$D$5:$D$3004,Acuses!$A$5:$A$3004,$A102,Acuses!$B$5:$B$3004,M$4,Acuses!$C$5:$C$3004,M$5),M$8)&lt;Resumen!$C$4,"Caducado",IF(EDATE(_xlfn.MAXIFS(Acuses!$D$5:$D$3004,Acuses!$A$5:$A$3004,$A102,Acuses!$B$5:$B$3004,M$4,Acuses!$C$5:$C$3004,M$5),M$8)&lt;Resumen!$C$4+30,"Caduca pronto","OK"))))))</f>
        <v/>
      </c>
      <c r="N102" s="26" t="str">
        <f aca="false">IF(OR($A102="",N$4=""),"",IF(NOT(OR(N$6="Toda la plantilla",ISNUMBER(SEARCH(";"&amp;SUBSTITUTE($C102," ","")&amp;";",";"&amp;SUBSTITUTE(N$7," ","")&amp;";")))),"—",IF(_xlfn.MAXIFS(Acuses!$C$5:$C$3004,Acuses!$A$5:$A$3004,$A102,Acuses!$B$5:$B$3004,N$4)&lt;N$5,"Pendiente",IF(N$8=0,"OK",IF(EDATE(_xlfn.MAXIFS(Acuses!$D$5:$D$3004,Acuses!$A$5:$A$3004,$A102,Acuses!$B$5:$B$3004,N$4,Acuses!$C$5:$C$3004,N$5),N$8)&lt;Resumen!$C$4,"Caducado",IF(EDATE(_xlfn.MAXIFS(Acuses!$D$5:$D$3004,Acuses!$A$5:$A$3004,$A102,Acuses!$B$5:$B$3004,N$4,Acuses!$C$5:$C$3004,N$5),N$8)&lt;Resumen!$C$4+30,"Caduca pronto","OK"))))))</f>
        <v/>
      </c>
      <c r="O102" s="26" t="str">
        <f aca="false">IF(OR($A102="",O$4=""),"",IF(NOT(OR(O$6="Toda la plantilla",ISNUMBER(SEARCH(";"&amp;SUBSTITUTE($C102," ","")&amp;";",";"&amp;SUBSTITUTE(O$7," ","")&amp;";")))),"—",IF(_xlfn.MAXIFS(Acuses!$C$5:$C$3004,Acuses!$A$5:$A$3004,$A102,Acuses!$B$5:$B$3004,O$4)&lt;O$5,"Pendiente",IF(O$8=0,"OK",IF(EDATE(_xlfn.MAXIFS(Acuses!$D$5:$D$3004,Acuses!$A$5:$A$3004,$A102,Acuses!$B$5:$B$3004,O$4,Acuses!$C$5:$C$3004,O$5),O$8)&lt;Resumen!$C$4,"Caducado",IF(EDATE(_xlfn.MAXIFS(Acuses!$D$5:$D$3004,Acuses!$A$5:$A$3004,$A102,Acuses!$B$5:$B$3004,O$4,Acuses!$C$5:$C$3004,O$5),O$8)&lt;Resumen!$C$4+30,"Caduca pronto","OK"))))))</f>
        <v/>
      </c>
      <c r="P102" s="26" t="str">
        <f aca="false">IF(OR($A102="",P$4=""),"",IF(NOT(OR(P$6="Toda la plantilla",ISNUMBER(SEARCH(";"&amp;SUBSTITUTE($C102," ","")&amp;";",";"&amp;SUBSTITUTE(P$7," ","")&amp;";")))),"—",IF(_xlfn.MAXIFS(Acuses!$C$5:$C$3004,Acuses!$A$5:$A$3004,$A102,Acuses!$B$5:$B$3004,P$4)&lt;P$5,"Pendiente",IF(P$8=0,"OK",IF(EDATE(_xlfn.MAXIFS(Acuses!$D$5:$D$3004,Acuses!$A$5:$A$3004,$A102,Acuses!$B$5:$B$3004,P$4,Acuses!$C$5:$C$3004,P$5),P$8)&lt;Resumen!$C$4,"Caducado",IF(EDATE(_xlfn.MAXIFS(Acuses!$D$5:$D$3004,Acuses!$A$5:$A$3004,$A102,Acuses!$B$5:$B$3004,P$4,Acuses!$C$5:$C$3004,P$5),P$8)&lt;Resumen!$C$4+30,"Caduca pronto","OK"))))))</f>
        <v/>
      </c>
      <c r="Q102" s="26" t="str">
        <f aca="false">IF(OR($A102="",Q$4=""),"",IF(NOT(OR(Q$6="Toda la plantilla",ISNUMBER(SEARCH(";"&amp;SUBSTITUTE($C102," ","")&amp;";",";"&amp;SUBSTITUTE(Q$7," ","")&amp;";")))),"—",IF(_xlfn.MAXIFS(Acuses!$C$5:$C$3004,Acuses!$A$5:$A$3004,$A102,Acuses!$B$5:$B$3004,Q$4)&lt;Q$5,"Pendiente",IF(Q$8=0,"OK",IF(EDATE(_xlfn.MAXIFS(Acuses!$D$5:$D$3004,Acuses!$A$5:$A$3004,$A102,Acuses!$B$5:$B$3004,Q$4,Acuses!$C$5:$C$3004,Q$5),Q$8)&lt;Resumen!$C$4,"Caducado",IF(EDATE(_xlfn.MAXIFS(Acuses!$D$5:$D$3004,Acuses!$A$5:$A$3004,$A102,Acuses!$B$5:$B$3004,Q$4,Acuses!$C$5:$C$3004,Q$5),Q$8)&lt;Resumen!$C$4+30,"Caduca pronto","OK"))))))</f>
        <v/>
      </c>
      <c r="R102" s="26" t="str">
        <f aca="false">IF(OR($A102="",R$4=""),"",IF(NOT(OR(R$6="Toda la plantilla",ISNUMBER(SEARCH(";"&amp;SUBSTITUTE($C102," ","")&amp;";",";"&amp;SUBSTITUTE(R$7," ","")&amp;";")))),"—",IF(_xlfn.MAXIFS(Acuses!$C$5:$C$3004,Acuses!$A$5:$A$3004,$A102,Acuses!$B$5:$B$3004,R$4)&lt;R$5,"Pendiente",IF(R$8=0,"OK",IF(EDATE(_xlfn.MAXIFS(Acuses!$D$5:$D$3004,Acuses!$A$5:$A$3004,$A102,Acuses!$B$5:$B$3004,R$4,Acuses!$C$5:$C$3004,R$5),R$8)&lt;Resumen!$C$4,"Caducado",IF(EDATE(_xlfn.MAXIFS(Acuses!$D$5:$D$3004,Acuses!$A$5:$A$3004,$A102,Acuses!$B$5:$B$3004,R$4,Acuses!$C$5:$C$3004,R$5),R$8)&lt;Resumen!$C$4+30,"Caduca pronto","OK"))))))</f>
        <v/>
      </c>
      <c r="S102" s="26" t="str">
        <f aca="false">IF(OR($A102="",S$4=""),"",IF(NOT(OR(S$6="Toda la plantilla",ISNUMBER(SEARCH(";"&amp;SUBSTITUTE($C102," ","")&amp;";",";"&amp;SUBSTITUTE(S$7," ","")&amp;";")))),"—",IF(_xlfn.MAXIFS(Acuses!$C$5:$C$3004,Acuses!$A$5:$A$3004,$A102,Acuses!$B$5:$B$3004,S$4)&lt;S$5,"Pendiente",IF(S$8=0,"OK",IF(EDATE(_xlfn.MAXIFS(Acuses!$D$5:$D$3004,Acuses!$A$5:$A$3004,$A102,Acuses!$B$5:$B$3004,S$4,Acuses!$C$5:$C$3004,S$5),S$8)&lt;Resumen!$C$4,"Caducado",IF(EDATE(_xlfn.MAXIFS(Acuses!$D$5:$D$3004,Acuses!$A$5:$A$3004,$A102,Acuses!$B$5:$B$3004,S$4,Acuses!$C$5:$C$3004,S$5),S$8)&lt;Resumen!$C$4+30,"Caduca pronto","OK"))))))</f>
        <v/>
      </c>
      <c r="T102" s="26" t="str">
        <f aca="false">IF(OR($A102="",T$4=""),"",IF(NOT(OR(T$6="Toda la plantilla",ISNUMBER(SEARCH(";"&amp;SUBSTITUTE($C102," ","")&amp;";",";"&amp;SUBSTITUTE(T$7," ","")&amp;";")))),"—",IF(_xlfn.MAXIFS(Acuses!$C$5:$C$3004,Acuses!$A$5:$A$3004,$A102,Acuses!$B$5:$B$3004,T$4)&lt;T$5,"Pendiente",IF(T$8=0,"OK",IF(EDATE(_xlfn.MAXIFS(Acuses!$D$5:$D$3004,Acuses!$A$5:$A$3004,$A102,Acuses!$B$5:$B$3004,T$4,Acuses!$C$5:$C$3004,T$5),T$8)&lt;Resumen!$C$4,"Caducado",IF(EDATE(_xlfn.MAXIFS(Acuses!$D$5:$D$3004,Acuses!$A$5:$A$3004,$A102,Acuses!$B$5:$B$3004,T$4,Acuses!$C$5:$C$3004,T$5),T$8)&lt;Resumen!$C$4+30,"Caduca pronto","OK"))))))</f>
        <v/>
      </c>
      <c r="U102" s="26" t="str">
        <f aca="false">IF(OR($A102="",U$4=""),"",IF(NOT(OR(U$6="Toda la plantilla",ISNUMBER(SEARCH(";"&amp;SUBSTITUTE($C102," ","")&amp;";",";"&amp;SUBSTITUTE(U$7," ","")&amp;";")))),"—",IF(_xlfn.MAXIFS(Acuses!$C$5:$C$3004,Acuses!$A$5:$A$3004,$A102,Acuses!$B$5:$B$3004,U$4)&lt;U$5,"Pendiente",IF(U$8=0,"OK",IF(EDATE(_xlfn.MAXIFS(Acuses!$D$5:$D$3004,Acuses!$A$5:$A$3004,$A102,Acuses!$B$5:$B$3004,U$4,Acuses!$C$5:$C$3004,U$5),U$8)&lt;Resumen!$C$4,"Caducado",IF(EDATE(_xlfn.MAXIFS(Acuses!$D$5:$D$3004,Acuses!$A$5:$A$3004,$A102,Acuses!$B$5:$B$3004,U$4,Acuses!$C$5:$C$3004,U$5),U$8)&lt;Resumen!$C$4+30,"Caduca pronto","OK"))))))</f>
        <v/>
      </c>
      <c r="V102" s="26" t="str">
        <f aca="false">IF(OR($A102="",V$4=""),"",IF(NOT(OR(V$6="Toda la plantilla",ISNUMBER(SEARCH(";"&amp;SUBSTITUTE($C102," ","")&amp;";",";"&amp;SUBSTITUTE(V$7," ","")&amp;";")))),"—",IF(_xlfn.MAXIFS(Acuses!$C$5:$C$3004,Acuses!$A$5:$A$3004,$A102,Acuses!$B$5:$B$3004,V$4)&lt;V$5,"Pendiente",IF(V$8=0,"OK",IF(EDATE(_xlfn.MAXIFS(Acuses!$D$5:$D$3004,Acuses!$A$5:$A$3004,$A102,Acuses!$B$5:$B$3004,V$4,Acuses!$C$5:$C$3004,V$5),V$8)&lt;Resumen!$C$4,"Caducado",IF(EDATE(_xlfn.MAXIFS(Acuses!$D$5:$D$3004,Acuses!$A$5:$A$3004,$A102,Acuses!$B$5:$B$3004,V$4,Acuses!$C$5:$C$3004,V$5),V$8)&lt;Resumen!$C$4+30,"Caduca pronto","OK"))))))</f>
        <v/>
      </c>
      <c r="W102" s="26" t="str">
        <f aca="false">IF(OR($A102="",W$4=""),"",IF(NOT(OR(W$6="Toda la plantilla",ISNUMBER(SEARCH(";"&amp;SUBSTITUTE($C102," ","")&amp;";",";"&amp;SUBSTITUTE(W$7," ","")&amp;";")))),"—",IF(_xlfn.MAXIFS(Acuses!$C$5:$C$3004,Acuses!$A$5:$A$3004,$A102,Acuses!$B$5:$B$3004,W$4)&lt;W$5,"Pendiente",IF(W$8=0,"OK",IF(EDATE(_xlfn.MAXIFS(Acuses!$D$5:$D$3004,Acuses!$A$5:$A$3004,$A102,Acuses!$B$5:$B$3004,W$4,Acuses!$C$5:$C$3004,W$5),W$8)&lt;Resumen!$C$4,"Caducado",IF(EDATE(_xlfn.MAXIFS(Acuses!$D$5:$D$3004,Acuses!$A$5:$A$3004,$A102,Acuses!$B$5:$B$3004,W$4,Acuses!$C$5:$C$3004,W$5),W$8)&lt;Resumen!$C$4+30,"Caduca pronto","OK"))))))</f>
        <v/>
      </c>
      <c r="X102" s="26" t="str">
        <f aca="false">IF(OR($A102="",X$4=""),"",IF(NOT(OR(X$6="Toda la plantilla",ISNUMBER(SEARCH(";"&amp;SUBSTITUTE($C102," ","")&amp;";",";"&amp;SUBSTITUTE(X$7," ","")&amp;";")))),"—",IF(_xlfn.MAXIFS(Acuses!$C$5:$C$3004,Acuses!$A$5:$A$3004,$A102,Acuses!$B$5:$B$3004,X$4)&lt;X$5,"Pendiente",IF(X$8=0,"OK",IF(EDATE(_xlfn.MAXIFS(Acuses!$D$5:$D$3004,Acuses!$A$5:$A$3004,$A102,Acuses!$B$5:$B$3004,X$4,Acuses!$C$5:$C$3004,X$5),X$8)&lt;Resumen!$C$4,"Caducado",IF(EDATE(_xlfn.MAXIFS(Acuses!$D$5:$D$3004,Acuses!$A$5:$A$3004,$A102,Acuses!$B$5:$B$3004,X$4,Acuses!$C$5:$C$3004,X$5),X$8)&lt;Resumen!$C$4+30,"Caduca pronto","OK"))))))</f>
        <v/>
      </c>
      <c r="Y102" s="26" t="str">
        <f aca="false">IF(OR($A102="",Y$4=""),"",IF(NOT(OR(Y$6="Toda la plantilla",ISNUMBER(SEARCH(";"&amp;SUBSTITUTE($C102," ","")&amp;";",";"&amp;SUBSTITUTE(Y$7," ","")&amp;";")))),"—",IF(_xlfn.MAXIFS(Acuses!$C$5:$C$3004,Acuses!$A$5:$A$3004,$A102,Acuses!$B$5:$B$3004,Y$4)&lt;Y$5,"Pendiente",IF(Y$8=0,"OK",IF(EDATE(_xlfn.MAXIFS(Acuses!$D$5:$D$3004,Acuses!$A$5:$A$3004,$A102,Acuses!$B$5:$B$3004,Y$4,Acuses!$C$5:$C$3004,Y$5),Y$8)&lt;Resumen!$C$4,"Caducado",IF(EDATE(_xlfn.MAXIFS(Acuses!$D$5:$D$3004,Acuses!$A$5:$A$3004,$A102,Acuses!$B$5:$B$3004,Y$4,Acuses!$C$5:$C$3004,Y$5),Y$8)&lt;Resumen!$C$4+30,"Caduca pronto","OK"))))))</f>
        <v/>
      </c>
      <c r="Z102" s="26" t="str">
        <f aca="false">IF(OR($A102="",Z$4=""),"",IF(NOT(OR(Z$6="Toda la plantilla",ISNUMBER(SEARCH(";"&amp;SUBSTITUTE($C102," ","")&amp;";",";"&amp;SUBSTITUTE(Z$7," ","")&amp;";")))),"—",IF(_xlfn.MAXIFS(Acuses!$C$5:$C$3004,Acuses!$A$5:$A$3004,$A102,Acuses!$B$5:$B$3004,Z$4)&lt;Z$5,"Pendiente",IF(Z$8=0,"OK",IF(EDATE(_xlfn.MAXIFS(Acuses!$D$5:$D$3004,Acuses!$A$5:$A$3004,$A102,Acuses!$B$5:$B$3004,Z$4,Acuses!$C$5:$C$3004,Z$5),Z$8)&lt;Resumen!$C$4,"Caducado",IF(EDATE(_xlfn.MAXIFS(Acuses!$D$5:$D$3004,Acuses!$A$5:$A$3004,$A102,Acuses!$B$5:$B$3004,Z$4,Acuses!$C$5:$C$3004,Z$5),Z$8)&lt;Resumen!$C$4+30,"Caduca pronto","OK"))))))</f>
        <v/>
      </c>
      <c r="AA102" s="26" t="str">
        <f aca="false">IF(OR($A102="",AA$4=""),"",IF(NOT(OR(AA$6="Toda la plantilla",ISNUMBER(SEARCH(";"&amp;SUBSTITUTE($C102," ","")&amp;";",";"&amp;SUBSTITUTE(AA$7," ","")&amp;";")))),"—",IF(_xlfn.MAXIFS(Acuses!$C$5:$C$3004,Acuses!$A$5:$A$3004,$A102,Acuses!$B$5:$B$3004,AA$4)&lt;AA$5,"Pendiente",IF(AA$8=0,"OK",IF(EDATE(_xlfn.MAXIFS(Acuses!$D$5:$D$3004,Acuses!$A$5:$A$3004,$A102,Acuses!$B$5:$B$3004,AA$4,Acuses!$C$5:$C$3004,AA$5),AA$8)&lt;Resumen!$C$4,"Caducado",IF(EDATE(_xlfn.MAXIFS(Acuses!$D$5:$D$3004,Acuses!$A$5:$A$3004,$A102,Acuses!$B$5:$B$3004,AA$4,Acuses!$C$5:$C$3004,AA$5),AA$8)&lt;Resumen!$C$4+30,"Caduca pronto","OK"))))))</f>
        <v/>
      </c>
      <c r="AB102" s="26" t="str">
        <f aca="false">IF(OR($A102="",AB$4=""),"",IF(NOT(OR(AB$6="Toda la plantilla",ISNUMBER(SEARCH(";"&amp;SUBSTITUTE($C102," ","")&amp;";",";"&amp;SUBSTITUTE(AB$7," ","")&amp;";")))),"—",IF(_xlfn.MAXIFS(Acuses!$C$5:$C$3004,Acuses!$A$5:$A$3004,$A102,Acuses!$B$5:$B$3004,AB$4)&lt;AB$5,"Pendiente",IF(AB$8=0,"OK",IF(EDATE(_xlfn.MAXIFS(Acuses!$D$5:$D$3004,Acuses!$A$5:$A$3004,$A102,Acuses!$B$5:$B$3004,AB$4,Acuses!$C$5:$C$3004,AB$5),AB$8)&lt;Resumen!$C$4,"Caducado",IF(EDATE(_xlfn.MAXIFS(Acuses!$D$5:$D$3004,Acuses!$A$5:$A$3004,$A102,Acuses!$B$5:$B$3004,AB$4,Acuses!$C$5:$C$3004,AB$5),AB$8)&lt;Resumen!$C$4+30,"Caduca pronto","OK"))))))</f>
        <v/>
      </c>
      <c r="AC102" s="26" t="str">
        <f aca="false">IF(OR($A102="",AC$4=""),"",IF(NOT(OR(AC$6="Toda la plantilla",ISNUMBER(SEARCH(";"&amp;SUBSTITUTE($C102," ","")&amp;";",";"&amp;SUBSTITUTE(AC$7," ","")&amp;";")))),"—",IF(_xlfn.MAXIFS(Acuses!$C$5:$C$3004,Acuses!$A$5:$A$3004,$A102,Acuses!$B$5:$B$3004,AC$4)&lt;AC$5,"Pendiente",IF(AC$8=0,"OK",IF(EDATE(_xlfn.MAXIFS(Acuses!$D$5:$D$3004,Acuses!$A$5:$A$3004,$A102,Acuses!$B$5:$B$3004,AC$4,Acuses!$C$5:$C$3004,AC$5),AC$8)&lt;Resumen!$C$4,"Caducado",IF(EDATE(_xlfn.MAXIFS(Acuses!$D$5:$D$3004,Acuses!$A$5:$A$3004,$A102,Acuses!$B$5:$B$3004,AC$4,Acuses!$C$5:$C$3004,AC$5),AC$8)&lt;Resumen!$C$4+30,"Caduca pronto","OK"))))))</f>
        <v/>
      </c>
      <c r="AD102" s="26" t="str">
        <f aca="false">IF(OR($A102="",AD$4=""),"",IF(NOT(OR(AD$6="Toda la plantilla",ISNUMBER(SEARCH(";"&amp;SUBSTITUTE($C102," ","")&amp;";",";"&amp;SUBSTITUTE(AD$7," ","")&amp;";")))),"—",IF(_xlfn.MAXIFS(Acuses!$C$5:$C$3004,Acuses!$A$5:$A$3004,$A102,Acuses!$B$5:$B$3004,AD$4)&lt;AD$5,"Pendiente",IF(AD$8=0,"OK",IF(EDATE(_xlfn.MAXIFS(Acuses!$D$5:$D$3004,Acuses!$A$5:$A$3004,$A102,Acuses!$B$5:$B$3004,AD$4,Acuses!$C$5:$C$3004,AD$5),AD$8)&lt;Resumen!$C$4,"Caducado",IF(EDATE(_xlfn.MAXIFS(Acuses!$D$5:$D$3004,Acuses!$A$5:$A$3004,$A102,Acuses!$B$5:$B$3004,AD$4,Acuses!$C$5:$C$3004,AD$5),AD$8)&lt;Resumen!$C$4+30,"Caduca pronto","OK"))))))</f>
        <v/>
      </c>
      <c r="AE102" s="26" t="str">
        <f aca="false">IF(OR($A102="",AE$4=""),"",IF(NOT(OR(AE$6="Toda la plantilla",ISNUMBER(SEARCH(";"&amp;SUBSTITUTE($C102," ","")&amp;";",";"&amp;SUBSTITUTE(AE$7," ","")&amp;";")))),"—",IF(_xlfn.MAXIFS(Acuses!$C$5:$C$3004,Acuses!$A$5:$A$3004,$A102,Acuses!$B$5:$B$3004,AE$4)&lt;AE$5,"Pendiente",IF(AE$8=0,"OK",IF(EDATE(_xlfn.MAXIFS(Acuses!$D$5:$D$3004,Acuses!$A$5:$A$3004,$A102,Acuses!$B$5:$B$3004,AE$4,Acuses!$C$5:$C$3004,AE$5),AE$8)&lt;Resumen!$C$4,"Caducado",IF(EDATE(_xlfn.MAXIFS(Acuses!$D$5:$D$3004,Acuses!$A$5:$A$3004,$A102,Acuses!$B$5:$B$3004,AE$4,Acuses!$C$5:$C$3004,AE$5),AE$8)&lt;Resumen!$C$4+30,"Caduca pronto","OK"))))))</f>
        <v/>
      </c>
      <c r="AF102" s="26" t="str">
        <f aca="false">IF(OR($A102="",AF$4=""),"",IF(NOT(OR(AF$6="Toda la plantilla",ISNUMBER(SEARCH(";"&amp;SUBSTITUTE($C102," ","")&amp;";",";"&amp;SUBSTITUTE(AF$7," ","")&amp;";")))),"—",IF(_xlfn.MAXIFS(Acuses!$C$5:$C$3004,Acuses!$A$5:$A$3004,$A102,Acuses!$B$5:$B$3004,AF$4)&lt;AF$5,"Pendiente",IF(AF$8=0,"OK",IF(EDATE(_xlfn.MAXIFS(Acuses!$D$5:$D$3004,Acuses!$A$5:$A$3004,$A102,Acuses!$B$5:$B$3004,AF$4,Acuses!$C$5:$C$3004,AF$5),AF$8)&lt;Resumen!$C$4,"Caducado",IF(EDATE(_xlfn.MAXIFS(Acuses!$D$5:$D$3004,Acuses!$A$5:$A$3004,$A102,Acuses!$B$5:$B$3004,AF$4,Acuses!$C$5:$C$3004,AF$5),AF$8)&lt;Resumen!$C$4+30,"Caduca pronto","OK"))))))</f>
        <v/>
      </c>
      <c r="AG102" s="26" t="str">
        <f aca="false">IF(OR($A102="",AG$4=""),"",IF(NOT(OR(AG$6="Toda la plantilla",ISNUMBER(SEARCH(";"&amp;SUBSTITUTE($C102," ","")&amp;";",";"&amp;SUBSTITUTE(AG$7," ","")&amp;";")))),"—",IF(_xlfn.MAXIFS(Acuses!$C$5:$C$3004,Acuses!$A$5:$A$3004,$A102,Acuses!$B$5:$B$3004,AG$4)&lt;AG$5,"Pendiente",IF(AG$8=0,"OK",IF(EDATE(_xlfn.MAXIFS(Acuses!$D$5:$D$3004,Acuses!$A$5:$A$3004,$A102,Acuses!$B$5:$B$3004,AG$4,Acuses!$C$5:$C$3004,AG$5),AG$8)&lt;Resumen!$C$4,"Caducado",IF(EDATE(_xlfn.MAXIFS(Acuses!$D$5:$D$3004,Acuses!$A$5:$A$3004,$A102,Acuses!$B$5:$B$3004,AG$4,Acuses!$C$5:$C$3004,AG$5),AG$8)&lt;Resumen!$C$4+30,"Caduca pronto","OK"))))))</f>
        <v/>
      </c>
      <c r="AH102" s="26" t="str">
        <f aca="false">IF(OR($A102="",AH$4=""),"",IF(NOT(OR(AH$6="Toda la plantilla",ISNUMBER(SEARCH(";"&amp;SUBSTITUTE($C102," ","")&amp;";",";"&amp;SUBSTITUTE(AH$7," ","")&amp;";")))),"—",IF(_xlfn.MAXIFS(Acuses!$C$5:$C$3004,Acuses!$A$5:$A$3004,$A102,Acuses!$B$5:$B$3004,AH$4)&lt;AH$5,"Pendiente",IF(AH$8=0,"OK",IF(EDATE(_xlfn.MAXIFS(Acuses!$D$5:$D$3004,Acuses!$A$5:$A$3004,$A102,Acuses!$B$5:$B$3004,AH$4,Acuses!$C$5:$C$3004,AH$5),AH$8)&lt;Resumen!$C$4,"Caducado",IF(EDATE(_xlfn.MAXIFS(Acuses!$D$5:$D$3004,Acuses!$A$5:$A$3004,$A102,Acuses!$B$5:$B$3004,AH$4,Acuses!$C$5:$C$3004,AH$5),AH$8)&lt;Resumen!$C$4+30,"Caduca pronto","OK"))))))</f>
        <v/>
      </c>
      <c r="AI102" s="26" t="str">
        <f aca="false">IF(OR($A102="",AI$4=""),"",IF(NOT(OR(AI$6="Toda la plantilla",ISNUMBER(SEARCH(";"&amp;SUBSTITUTE($C102," ","")&amp;";",";"&amp;SUBSTITUTE(AI$7," ","")&amp;";")))),"—",IF(_xlfn.MAXIFS(Acuses!$C$5:$C$3004,Acuses!$A$5:$A$3004,$A102,Acuses!$B$5:$B$3004,AI$4)&lt;AI$5,"Pendiente",IF(AI$8=0,"OK",IF(EDATE(_xlfn.MAXIFS(Acuses!$D$5:$D$3004,Acuses!$A$5:$A$3004,$A102,Acuses!$B$5:$B$3004,AI$4,Acuses!$C$5:$C$3004,AI$5),AI$8)&lt;Resumen!$C$4,"Caducado",IF(EDATE(_xlfn.MAXIFS(Acuses!$D$5:$D$3004,Acuses!$A$5:$A$3004,$A102,Acuses!$B$5:$B$3004,AI$4,Acuses!$C$5:$C$3004,AI$5),AI$8)&lt;Resumen!$C$4+30,"Caduca pronto","OK"))))))</f>
        <v/>
      </c>
      <c r="AJ102" s="26" t="str">
        <f aca="false">IF(OR($A102="",AJ$4=""),"",IF(NOT(OR(AJ$6="Toda la plantilla",ISNUMBER(SEARCH(";"&amp;SUBSTITUTE($C102," ","")&amp;";",";"&amp;SUBSTITUTE(AJ$7," ","")&amp;";")))),"—",IF(_xlfn.MAXIFS(Acuses!$C$5:$C$3004,Acuses!$A$5:$A$3004,$A102,Acuses!$B$5:$B$3004,AJ$4)&lt;AJ$5,"Pendiente",IF(AJ$8=0,"OK",IF(EDATE(_xlfn.MAXIFS(Acuses!$D$5:$D$3004,Acuses!$A$5:$A$3004,$A102,Acuses!$B$5:$B$3004,AJ$4,Acuses!$C$5:$C$3004,AJ$5),AJ$8)&lt;Resumen!$C$4,"Caducado",IF(EDATE(_xlfn.MAXIFS(Acuses!$D$5:$D$3004,Acuses!$A$5:$A$3004,$A102,Acuses!$B$5:$B$3004,AJ$4,Acuses!$C$5:$C$3004,AJ$5),AJ$8)&lt;Resumen!$C$4+30,"Caduca pronto","OK"))))))</f>
        <v/>
      </c>
      <c r="AK102" s="26" t="str">
        <f aca="false">IF(OR($A102="",AK$4=""),"",IF(NOT(OR(AK$6="Toda la plantilla",ISNUMBER(SEARCH(";"&amp;SUBSTITUTE($C102," ","")&amp;";",";"&amp;SUBSTITUTE(AK$7," ","")&amp;";")))),"—",IF(_xlfn.MAXIFS(Acuses!$C$5:$C$3004,Acuses!$A$5:$A$3004,$A102,Acuses!$B$5:$B$3004,AK$4)&lt;AK$5,"Pendiente",IF(AK$8=0,"OK",IF(EDATE(_xlfn.MAXIFS(Acuses!$D$5:$D$3004,Acuses!$A$5:$A$3004,$A102,Acuses!$B$5:$B$3004,AK$4,Acuses!$C$5:$C$3004,AK$5),AK$8)&lt;Resumen!$C$4,"Caducado",IF(EDATE(_xlfn.MAXIFS(Acuses!$D$5:$D$3004,Acuses!$A$5:$A$3004,$A102,Acuses!$B$5:$B$3004,AK$4,Acuses!$C$5:$C$3004,AK$5),AK$8)&lt;Resumen!$C$4+30,"Caduca pronto","OK"))))))</f>
        <v/>
      </c>
      <c r="AL102" s="26" t="str">
        <f aca="false">IF(OR($A102="",AL$4=""),"",IF(NOT(OR(AL$6="Toda la plantilla",ISNUMBER(SEARCH(";"&amp;SUBSTITUTE($C102," ","")&amp;";",";"&amp;SUBSTITUTE(AL$7," ","")&amp;";")))),"—",IF(_xlfn.MAXIFS(Acuses!$C$5:$C$3004,Acuses!$A$5:$A$3004,$A102,Acuses!$B$5:$B$3004,AL$4)&lt;AL$5,"Pendiente",IF(AL$8=0,"OK",IF(EDATE(_xlfn.MAXIFS(Acuses!$D$5:$D$3004,Acuses!$A$5:$A$3004,$A102,Acuses!$B$5:$B$3004,AL$4,Acuses!$C$5:$C$3004,AL$5),AL$8)&lt;Resumen!$C$4,"Caducado",IF(EDATE(_xlfn.MAXIFS(Acuses!$D$5:$D$3004,Acuses!$A$5:$A$3004,$A102,Acuses!$B$5:$B$3004,AL$4,Acuses!$C$5:$C$3004,AL$5),AL$8)&lt;Resumen!$C$4+30,"Caduca pronto","OK"))))))</f>
        <v/>
      </c>
      <c r="AM102" s="26" t="str">
        <f aca="false">IF(OR($A102="",AM$4=""),"",IF(NOT(OR(AM$6="Toda la plantilla",ISNUMBER(SEARCH(";"&amp;SUBSTITUTE($C102," ","")&amp;";",";"&amp;SUBSTITUTE(AM$7," ","")&amp;";")))),"—",IF(_xlfn.MAXIFS(Acuses!$C$5:$C$3004,Acuses!$A$5:$A$3004,$A102,Acuses!$B$5:$B$3004,AM$4)&lt;AM$5,"Pendiente",IF(AM$8=0,"OK",IF(EDATE(_xlfn.MAXIFS(Acuses!$D$5:$D$3004,Acuses!$A$5:$A$3004,$A102,Acuses!$B$5:$B$3004,AM$4,Acuses!$C$5:$C$3004,AM$5),AM$8)&lt;Resumen!$C$4,"Caducado",IF(EDATE(_xlfn.MAXIFS(Acuses!$D$5:$D$3004,Acuses!$A$5:$A$3004,$A102,Acuses!$B$5:$B$3004,AM$4,Acuses!$C$5:$C$3004,AM$5),AM$8)&lt;Resumen!$C$4+30,"Caduca pronto","OK"))))))</f>
        <v/>
      </c>
      <c r="AN102" s="26" t="str">
        <f aca="false">IF(OR($A102="",AN$4=""),"",IF(NOT(OR(AN$6="Toda la plantilla",ISNUMBER(SEARCH(";"&amp;SUBSTITUTE($C102," ","")&amp;";",";"&amp;SUBSTITUTE(AN$7," ","")&amp;";")))),"—",IF(_xlfn.MAXIFS(Acuses!$C$5:$C$3004,Acuses!$A$5:$A$3004,$A102,Acuses!$B$5:$B$3004,AN$4)&lt;AN$5,"Pendiente",IF(AN$8=0,"OK",IF(EDATE(_xlfn.MAXIFS(Acuses!$D$5:$D$3004,Acuses!$A$5:$A$3004,$A102,Acuses!$B$5:$B$3004,AN$4,Acuses!$C$5:$C$3004,AN$5),AN$8)&lt;Resumen!$C$4,"Caducado",IF(EDATE(_xlfn.MAXIFS(Acuses!$D$5:$D$3004,Acuses!$A$5:$A$3004,$A102,Acuses!$B$5:$B$3004,AN$4,Acuses!$C$5:$C$3004,AN$5),AN$8)&lt;Resumen!$C$4+30,"Caduca pronto","OK"))))))</f>
        <v/>
      </c>
      <c r="AO102" s="26" t="str">
        <f aca="false">IF(OR($A102="",AO$4=""),"",IF(NOT(OR(AO$6="Toda la plantilla",ISNUMBER(SEARCH(";"&amp;SUBSTITUTE($C102," ","")&amp;";",";"&amp;SUBSTITUTE(AO$7," ","")&amp;";")))),"—",IF(_xlfn.MAXIFS(Acuses!$C$5:$C$3004,Acuses!$A$5:$A$3004,$A102,Acuses!$B$5:$B$3004,AO$4)&lt;AO$5,"Pendiente",IF(AO$8=0,"OK",IF(EDATE(_xlfn.MAXIFS(Acuses!$D$5:$D$3004,Acuses!$A$5:$A$3004,$A102,Acuses!$B$5:$B$3004,AO$4,Acuses!$C$5:$C$3004,AO$5),AO$8)&lt;Resumen!$C$4,"Caducado",IF(EDATE(_xlfn.MAXIFS(Acuses!$D$5:$D$3004,Acuses!$A$5:$A$3004,$A102,Acuses!$B$5:$B$3004,AO$4,Acuses!$C$5:$C$3004,AO$5),AO$8)&lt;Resumen!$C$4+30,"Caduca pronto","OK"))))))</f>
        <v/>
      </c>
      <c r="AP102" s="26" t="str">
        <f aca="false">IF(OR($A102="",AP$4=""),"",IF(NOT(OR(AP$6="Toda la plantilla",ISNUMBER(SEARCH(";"&amp;SUBSTITUTE($C102," ","")&amp;";",";"&amp;SUBSTITUTE(AP$7," ","")&amp;";")))),"—",IF(_xlfn.MAXIFS(Acuses!$C$5:$C$3004,Acuses!$A$5:$A$3004,$A102,Acuses!$B$5:$B$3004,AP$4)&lt;AP$5,"Pendiente",IF(AP$8=0,"OK",IF(EDATE(_xlfn.MAXIFS(Acuses!$D$5:$D$3004,Acuses!$A$5:$A$3004,$A102,Acuses!$B$5:$B$3004,AP$4,Acuses!$C$5:$C$3004,AP$5),AP$8)&lt;Resumen!$C$4,"Caducado",IF(EDATE(_xlfn.MAXIFS(Acuses!$D$5:$D$3004,Acuses!$A$5:$A$3004,$A102,Acuses!$B$5:$B$3004,AP$4,Acuses!$C$5:$C$3004,AP$5),AP$8)&lt;Resumen!$C$4+30,"Caduca pronto","OK"))))))</f>
        <v/>
      </c>
      <c r="AQ102" s="26" t="str">
        <f aca="false">IF(OR($A102="",AQ$4=""),"",IF(NOT(OR(AQ$6="Toda la plantilla",ISNUMBER(SEARCH(";"&amp;SUBSTITUTE($C102," ","")&amp;";",";"&amp;SUBSTITUTE(AQ$7," ","")&amp;";")))),"—",IF(_xlfn.MAXIFS(Acuses!$C$5:$C$3004,Acuses!$A$5:$A$3004,$A102,Acuses!$B$5:$B$3004,AQ$4)&lt;AQ$5,"Pendiente",IF(AQ$8=0,"OK",IF(EDATE(_xlfn.MAXIFS(Acuses!$D$5:$D$3004,Acuses!$A$5:$A$3004,$A102,Acuses!$B$5:$B$3004,AQ$4,Acuses!$C$5:$C$3004,AQ$5),AQ$8)&lt;Resumen!$C$4,"Caducado",IF(EDATE(_xlfn.MAXIFS(Acuses!$D$5:$D$3004,Acuses!$A$5:$A$3004,$A102,Acuses!$B$5:$B$3004,AQ$4,Acuses!$C$5:$C$3004,AQ$5),AQ$8)&lt;Resumen!$C$4+30,"Caduca pronto","OK"))))))</f>
        <v/>
      </c>
    </row>
    <row r="103" customFormat="false" ht="15" hidden="false" customHeight="false" outlineLevel="0" collapsed="false">
      <c r="A103" s="25" t="str">
        <f aca="false">IF(AND(Trabajadores!$A$98&lt;&gt;"",Trabajadores!$G$98&lt;&gt;"No"),Trabajadores!$A$98,"")</f>
        <v/>
      </c>
      <c r="B103" s="25" t="str">
        <f aca="false">IF($A103="","",Trabajadores!$B$98)</f>
        <v/>
      </c>
      <c r="C103" s="25" t="str">
        <f aca="false">IF($A103="","",Trabajadores!$C$98)</f>
        <v/>
      </c>
      <c r="D103" s="26" t="str">
        <f aca="false">IF(OR($A103="",D$4=""),"",IF(NOT(OR(D$6="Toda la plantilla",ISNUMBER(SEARCH(";"&amp;SUBSTITUTE($C103," ","")&amp;";",";"&amp;SUBSTITUTE(D$7," ","")&amp;";")))),"—",IF(_xlfn.MAXIFS(Acuses!$C$5:$C$3004,Acuses!$A$5:$A$3004,$A103,Acuses!$B$5:$B$3004,D$4)&lt;D$5,"Pendiente",IF(D$8=0,"OK",IF(EDATE(_xlfn.MAXIFS(Acuses!$D$5:$D$3004,Acuses!$A$5:$A$3004,$A103,Acuses!$B$5:$B$3004,D$4,Acuses!$C$5:$C$3004,D$5),D$8)&lt;Resumen!$C$4,"Caducado",IF(EDATE(_xlfn.MAXIFS(Acuses!$D$5:$D$3004,Acuses!$A$5:$A$3004,$A103,Acuses!$B$5:$B$3004,D$4,Acuses!$C$5:$C$3004,D$5),D$8)&lt;Resumen!$C$4+30,"Caduca pronto","OK"))))))</f>
        <v/>
      </c>
      <c r="E103" s="26" t="str">
        <f aca="false">IF(OR($A103="",E$4=""),"",IF(NOT(OR(E$6="Toda la plantilla",ISNUMBER(SEARCH(";"&amp;SUBSTITUTE($C103," ","")&amp;";",";"&amp;SUBSTITUTE(E$7," ","")&amp;";")))),"—",IF(_xlfn.MAXIFS(Acuses!$C$5:$C$3004,Acuses!$A$5:$A$3004,$A103,Acuses!$B$5:$B$3004,E$4)&lt;E$5,"Pendiente",IF(E$8=0,"OK",IF(EDATE(_xlfn.MAXIFS(Acuses!$D$5:$D$3004,Acuses!$A$5:$A$3004,$A103,Acuses!$B$5:$B$3004,E$4,Acuses!$C$5:$C$3004,E$5),E$8)&lt;Resumen!$C$4,"Caducado",IF(EDATE(_xlfn.MAXIFS(Acuses!$D$5:$D$3004,Acuses!$A$5:$A$3004,$A103,Acuses!$B$5:$B$3004,E$4,Acuses!$C$5:$C$3004,E$5),E$8)&lt;Resumen!$C$4+30,"Caduca pronto","OK"))))))</f>
        <v/>
      </c>
      <c r="F103" s="26" t="str">
        <f aca="false">IF(OR($A103="",F$4=""),"",IF(NOT(OR(F$6="Toda la plantilla",ISNUMBER(SEARCH(";"&amp;SUBSTITUTE($C103," ","")&amp;";",";"&amp;SUBSTITUTE(F$7," ","")&amp;";")))),"—",IF(_xlfn.MAXIFS(Acuses!$C$5:$C$3004,Acuses!$A$5:$A$3004,$A103,Acuses!$B$5:$B$3004,F$4)&lt;F$5,"Pendiente",IF(F$8=0,"OK",IF(EDATE(_xlfn.MAXIFS(Acuses!$D$5:$D$3004,Acuses!$A$5:$A$3004,$A103,Acuses!$B$5:$B$3004,F$4,Acuses!$C$5:$C$3004,F$5),F$8)&lt;Resumen!$C$4,"Caducado",IF(EDATE(_xlfn.MAXIFS(Acuses!$D$5:$D$3004,Acuses!$A$5:$A$3004,$A103,Acuses!$B$5:$B$3004,F$4,Acuses!$C$5:$C$3004,F$5),F$8)&lt;Resumen!$C$4+30,"Caduca pronto","OK"))))))</f>
        <v/>
      </c>
      <c r="G103" s="26" t="str">
        <f aca="false">IF(OR($A103="",G$4=""),"",IF(NOT(OR(G$6="Toda la plantilla",ISNUMBER(SEARCH(";"&amp;SUBSTITUTE($C103," ","")&amp;";",";"&amp;SUBSTITUTE(G$7," ","")&amp;";")))),"—",IF(_xlfn.MAXIFS(Acuses!$C$5:$C$3004,Acuses!$A$5:$A$3004,$A103,Acuses!$B$5:$B$3004,G$4)&lt;G$5,"Pendiente",IF(G$8=0,"OK",IF(EDATE(_xlfn.MAXIFS(Acuses!$D$5:$D$3004,Acuses!$A$5:$A$3004,$A103,Acuses!$B$5:$B$3004,G$4,Acuses!$C$5:$C$3004,G$5),G$8)&lt;Resumen!$C$4,"Caducado",IF(EDATE(_xlfn.MAXIFS(Acuses!$D$5:$D$3004,Acuses!$A$5:$A$3004,$A103,Acuses!$B$5:$B$3004,G$4,Acuses!$C$5:$C$3004,G$5),G$8)&lt;Resumen!$C$4+30,"Caduca pronto","OK"))))))</f>
        <v/>
      </c>
      <c r="H103" s="26" t="str">
        <f aca="false">IF(OR($A103="",H$4=""),"",IF(NOT(OR(H$6="Toda la plantilla",ISNUMBER(SEARCH(";"&amp;SUBSTITUTE($C103," ","")&amp;";",";"&amp;SUBSTITUTE(H$7," ","")&amp;";")))),"—",IF(_xlfn.MAXIFS(Acuses!$C$5:$C$3004,Acuses!$A$5:$A$3004,$A103,Acuses!$B$5:$B$3004,H$4)&lt;H$5,"Pendiente",IF(H$8=0,"OK",IF(EDATE(_xlfn.MAXIFS(Acuses!$D$5:$D$3004,Acuses!$A$5:$A$3004,$A103,Acuses!$B$5:$B$3004,H$4,Acuses!$C$5:$C$3004,H$5),H$8)&lt;Resumen!$C$4,"Caducado",IF(EDATE(_xlfn.MAXIFS(Acuses!$D$5:$D$3004,Acuses!$A$5:$A$3004,$A103,Acuses!$B$5:$B$3004,H$4,Acuses!$C$5:$C$3004,H$5),H$8)&lt;Resumen!$C$4+30,"Caduca pronto","OK"))))))</f>
        <v/>
      </c>
      <c r="I103" s="26" t="str">
        <f aca="false">IF(OR($A103="",I$4=""),"",IF(NOT(OR(I$6="Toda la plantilla",ISNUMBER(SEARCH(";"&amp;SUBSTITUTE($C103," ","")&amp;";",";"&amp;SUBSTITUTE(I$7," ","")&amp;";")))),"—",IF(_xlfn.MAXIFS(Acuses!$C$5:$C$3004,Acuses!$A$5:$A$3004,$A103,Acuses!$B$5:$B$3004,I$4)&lt;I$5,"Pendiente",IF(I$8=0,"OK",IF(EDATE(_xlfn.MAXIFS(Acuses!$D$5:$D$3004,Acuses!$A$5:$A$3004,$A103,Acuses!$B$5:$B$3004,I$4,Acuses!$C$5:$C$3004,I$5),I$8)&lt;Resumen!$C$4,"Caducado",IF(EDATE(_xlfn.MAXIFS(Acuses!$D$5:$D$3004,Acuses!$A$5:$A$3004,$A103,Acuses!$B$5:$B$3004,I$4,Acuses!$C$5:$C$3004,I$5),I$8)&lt;Resumen!$C$4+30,"Caduca pronto","OK"))))))</f>
        <v/>
      </c>
      <c r="J103" s="26" t="str">
        <f aca="false">IF(OR($A103="",J$4=""),"",IF(NOT(OR(J$6="Toda la plantilla",ISNUMBER(SEARCH(";"&amp;SUBSTITUTE($C103," ","")&amp;";",";"&amp;SUBSTITUTE(J$7," ","")&amp;";")))),"—",IF(_xlfn.MAXIFS(Acuses!$C$5:$C$3004,Acuses!$A$5:$A$3004,$A103,Acuses!$B$5:$B$3004,J$4)&lt;J$5,"Pendiente",IF(J$8=0,"OK",IF(EDATE(_xlfn.MAXIFS(Acuses!$D$5:$D$3004,Acuses!$A$5:$A$3004,$A103,Acuses!$B$5:$B$3004,J$4,Acuses!$C$5:$C$3004,J$5),J$8)&lt;Resumen!$C$4,"Caducado",IF(EDATE(_xlfn.MAXIFS(Acuses!$D$5:$D$3004,Acuses!$A$5:$A$3004,$A103,Acuses!$B$5:$B$3004,J$4,Acuses!$C$5:$C$3004,J$5),J$8)&lt;Resumen!$C$4+30,"Caduca pronto","OK"))))))</f>
        <v/>
      </c>
      <c r="K103" s="26" t="str">
        <f aca="false">IF(OR($A103="",K$4=""),"",IF(NOT(OR(K$6="Toda la plantilla",ISNUMBER(SEARCH(";"&amp;SUBSTITUTE($C103," ","")&amp;";",";"&amp;SUBSTITUTE(K$7," ","")&amp;";")))),"—",IF(_xlfn.MAXIFS(Acuses!$C$5:$C$3004,Acuses!$A$5:$A$3004,$A103,Acuses!$B$5:$B$3004,K$4)&lt;K$5,"Pendiente",IF(K$8=0,"OK",IF(EDATE(_xlfn.MAXIFS(Acuses!$D$5:$D$3004,Acuses!$A$5:$A$3004,$A103,Acuses!$B$5:$B$3004,K$4,Acuses!$C$5:$C$3004,K$5),K$8)&lt;Resumen!$C$4,"Caducado",IF(EDATE(_xlfn.MAXIFS(Acuses!$D$5:$D$3004,Acuses!$A$5:$A$3004,$A103,Acuses!$B$5:$B$3004,K$4,Acuses!$C$5:$C$3004,K$5),K$8)&lt;Resumen!$C$4+30,"Caduca pronto","OK"))))))</f>
        <v/>
      </c>
      <c r="L103" s="26" t="str">
        <f aca="false">IF(OR($A103="",L$4=""),"",IF(NOT(OR(L$6="Toda la plantilla",ISNUMBER(SEARCH(";"&amp;SUBSTITUTE($C103," ","")&amp;";",";"&amp;SUBSTITUTE(L$7," ","")&amp;";")))),"—",IF(_xlfn.MAXIFS(Acuses!$C$5:$C$3004,Acuses!$A$5:$A$3004,$A103,Acuses!$B$5:$B$3004,L$4)&lt;L$5,"Pendiente",IF(L$8=0,"OK",IF(EDATE(_xlfn.MAXIFS(Acuses!$D$5:$D$3004,Acuses!$A$5:$A$3004,$A103,Acuses!$B$5:$B$3004,L$4,Acuses!$C$5:$C$3004,L$5),L$8)&lt;Resumen!$C$4,"Caducado",IF(EDATE(_xlfn.MAXIFS(Acuses!$D$5:$D$3004,Acuses!$A$5:$A$3004,$A103,Acuses!$B$5:$B$3004,L$4,Acuses!$C$5:$C$3004,L$5),L$8)&lt;Resumen!$C$4+30,"Caduca pronto","OK"))))))</f>
        <v/>
      </c>
      <c r="M103" s="26" t="str">
        <f aca="false">IF(OR($A103="",M$4=""),"",IF(NOT(OR(M$6="Toda la plantilla",ISNUMBER(SEARCH(";"&amp;SUBSTITUTE($C103," ","")&amp;";",";"&amp;SUBSTITUTE(M$7," ","")&amp;";")))),"—",IF(_xlfn.MAXIFS(Acuses!$C$5:$C$3004,Acuses!$A$5:$A$3004,$A103,Acuses!$B$5:$B$3004,M$4)&lt;M$5,"Pendiente",IF(M$8=0,"OK",IF(EDATE(_xlfn.MAXIFS(Acuses!$D$5:$D$3004,Acuses!$A$5:$A$3004,$A103,Acuses!$B$5:$B$3004,M$4,Acuses!$C$5:$C$3004,M$5),M$8)&lt;Resumen!$C$4,"Caducado",IF(EDATE(_xlfn.MAXIFS(Acuses!$D$5:$D$3004,Acuses!$A$5:$A$3004,$A103,Acuses!$B$5:$B$3004,M$4,Acuses!$C$5:$C$3004,M$5),M$8)&lt;Resumen!$C$4+30,"Caduca pronto","OK"))))))</f>
        <v/>
      </c>
      <c r="N103" s="26" t="str">
        <f aca="false">IF(OR($A103="",N$4=""),"",IF(NOT(OR(N$6="Toda la plantilla",ISNUMBER(SEARCH(";"&amp;SUBSTITUTE($C103," ","")&amp;";",";"&amp;SUBSTITUTE(N$7," ","")&amp;";")))),"—",IF(_xlfn.MAXIFS(Acuses!$C$5:$C$3004,Acuses!$A$5:$A$3004,$A103,Acuses!$B$5:$B$3004,N$4)&lt;N$5,"Pendiente",IF(N$8=0,"OK",IF(EDATE(_xlfn.MAXIFS(Acuses!$D$5:$D$3004,Acuses!$A$5:$A$3004,$A103,Acuses!$B$5:$B$3004,N$4,Acuses!$C$5:$C$3004,N$5),N$8)&lt;Resumen!$C$4,"Caducado",IF(EDATE(_xlfn.MAXIFS(Acuses!$D$5:$D$3004,Acuses!$A$5:$A$3004,$A103,Acuses!$B$5:$B$3004,N$4,Acuses!$C$5:$C$3004,N$5),N$8)&lt;Resumen!$C$4+30,"Caduca pronto","OK"))))))</f>
        <v/>
      </c>
      <c r="O103" s="26" t="str">
        <f aca="false">IF(OR($A103="",O$4=""),"",IF(NOT(OR(O$6="Toda la plantilla",ISNUMBER(SEARCH(";"&amp;SUBSTITUTE($C103," ","")&amp;";",";"&amp;SUBSTITUTE(O$7," ","")&amp;";")))),"—",IF(_xlfn.MAXIFS(Acuses!$C$5:$C$3004,Acuses!$A$5:$A$3004,$A103,Acuses!$B$5:$B$3004,O$4)&lt;O$5,"Pendiente",IF(O$8=0,"OK",IF(EDATE(_xlfn.MAXIFS(Acuses!$D$5:$D$3004,Acuses!$A$5:$A$3004,$A103,Acuses!$B$5:$B$3004,O$4,Acuses!$C$5:$C$3004,O$5),O$8)&lt;Resumen!$C$4,"Caducado",IF(EDATE(_xlfn.MAXIFS(Acuses!$D$5:$D$3004,Acuses!$A$5:$A$3004,$A103,Acuses!$B$5:$B$3004,O$4,Acuses!$C$5:$C$3004,O$5),O$8)&lt;Resumen!$C$4+30,"Caduca pronto","OK"))))))</f>
        <v/>
      </c>
      <c r="P103" s="26" t="str">
        <f aca="false">IF(OR($A103="",P$4=""),"",IF(NOT(OR(P$6="Toda la plantilla",ISNUMBER(SEARCH(";"&amp;SUBSTITUTE($C103," ","")&amp;";",";"&amp;SUBSTITUTE(P$7," ","")&amp;";")))),"—",IF(_xlfn.MAXIFS(Acuses!$C$5:$C$3004,Acuses!$A$5:$A$3004,$A103,Acuses!$B$5:$B$3004,P$4)&lt;P$5,"Pendiente",IF(P$8=0,"OK",IF(EDATE(_xlfn.MAXIFS(Acuses!$D$5:$D$3004,Acuses!$A$5:$A$3004,$A103,Acuses!$B$5:$B$3004,P$4,Acuses!$C$5:$C$3004,P$5),P$8)&lt;Resumen!$C$4,"Caducado",IF(EDATE(_xlfn.MAXIFS(Acuses!$D$5:$D$3004,Acuses!$A$5:$A$3004,$A103,Acuses!$B$5:$B$3004,P$4,Acuses!$C$5:$C$3004,P$5),P$8)&lt;Resumen!$C$4+30,"Caduca pronto","OK"))))))</f>
        <v/>
      </c>
      <c r="Q103" s="26" t="str">
        <f aca="false">IF(OR($A103="",Q$4=""),"",IF(NOT(OR(Q$6="Toda la plantilla",ISNUMBER(SEARCH(";"&amp;SUBSTITUTE($C103," ","")&amp;";",";"&amp;SUBSTITUTE(Q$7," ","")&amp;";")))),"—",IF(_xlfn.MAXIFS(Acuses!$C$5:$C$3004,Acuses!$A$5:$A$3004,$A103,Acuses!$B$5:$B$3004,Q$4)&lt;Q$5,"Pendiente",IF(Q$8=0,"OK",IF(EDATE(_xlfn.MAXIFS(Acuses!$D$5:$D$3004,Acuses!$A$5:$A$3004,$A103,Acuses!$B$5:$B$3004,Q$4,Acuses!$C$5:$C$3004,Q$5),Q$8)&lt;Resumen!$C$4,"Caducado",IF(EDATE(_xlfn.MAXIFS(Acuses!$D$5:$D$3004,Acuses!$A$5:$A$3004,$A103,Acuses!$B$5:$B$3004,Q$4,Acuses!$C$5:$C$3004,Q$5),Q$8)&lt;Resumen!$C$4+30,"Caduca pronto","OK"))))))</f>
        <v/>
      </c>
      <c r="R103" s="26" t="str">
        <f aca="false">IF(OR($A103="",R$4=""),"",IF(NOT(OR(R$6="Toda la plantilla",ISNUMBER(SEARCH(";"&amp;SUBSTITUTE($C103," ","")&amp;";",";"&amp;SUBSTITUTE(R$7," ","")&amp;";")))),"—",IF(_xlfn.MAXIFS(Acuses!$C$5:$C$3004,Acuses!$A$5:$A$3004,$A103,Acuses!$B$5:$B$3004,R$4)&lt;R$5,"Pendiente",IF(R$8=0,"OK",IF(EDATE(_xlfn.MAXIFS(Acuses!$D$5:$D$3004,Acuses!$A$5:$A$3004,$A103,Acuses!$B$5:$B$3004,R$4,Acuses!$C$5:$C$3004,R$5),R$8)&lt;Resumen!$C$4,"Caducado",IF(EDATE(_xlfn.MAXIFS(Acuses!$D$5:$D$3004,Acuses!$A$5:$A$3004,$A103,Acuses!$B$5:$B$3004,R$4,Acuses!$C$5:$C$3004,R$5),R$8)&lt;Resumen!$C$4+30,"Caduca pronto","OK"))))))</f>
        <v/>
      </c>
      <c r="S103" s="26" t="str">
        <f aca="false">IF(OR($A103="",S$4=""),"",IF(NOT(OR(S$6="Toda la plantilla",ISNUMBER(SEARCH(";"&amp;SUBSTITUTE($C103," ","")&amp;";",";"&amp;SUBSTITUTE(S$7," ","")&amp;";")))),"—",IF(_xlfn.MAXIFS(Acuses!$C$5:$C$3004,Acuses!$A$5:$A$3004,$A103,Acuses!$B$5:$B$3004,S$4)&lt;S$5,"Pendiente",IF(S$8=0,"OK",IF(EDATE(_xlfn.MAXIFS(Acuses!$D$5:$D$3004,Acuses!$A$5:$A$3004,$A103,Acuses!$B$5:$B$3004,S$4,Acuses!$C$5:$C$3004,S$5),S$8)&lt;Resumen!$C$4,"Caducado",IF(EDATE(_xlfn.MAXIFS(Acuses!$D$5:$D$3004,Acuses!$A$5:$A$3004,$A103,Acuses!$B$5:$B$3004,S$4,Acuses!$C$5:$C$3004,S$5),S$8)&lt;Resumen!$C$4+30,"Caduca pronto","OK"))))))</f>
        <v/>
      </c>
      <c r="T103" s="26" t="str">
        <f aca="false">IF(OR($A103="",T$4=""),"",IF(NOT(OR(T$6="Toda la plantilla",ISNUMBER(SEARCH(";"&amp;SUBSTITUTE($C103," ","")&amp;";",";"&amp;SUBSTITUTE(T$7," ","")&amp;";")))),"—",IF(_xlfn.MAXIFS(Acuses!$C$5:$C$3004,Acuses!$A$5:$A$3004,$A103,Acuses!$B$5:$B$3004,T$4)&lt;T$5,"Pendiente",IF(T$8=0,"OK",IF(EDATE(_xlfn.MAXIFS(Acuses!$D$5:$D$3004,Acuses!$A$5:$A$3004,$A103,Acuses!$B$5:$B$3004,T$4,Acuses!$C$5:$C$3004,T$5),T$8)&lt;Resumen!$C$4,"Caducado",IF(EDATE(_xlfn.MAXIFS(Acuses!$D$5:$D$3004,Acuses!$A$5:$A$3004,$A103,Acuses!$B$5:$B$3004,T$4,Acuses!$C$5:$C$3004,T$5),T$8)&lt;Resumen!$C$4+30,"Caduca pronto","OK"))))))</f>
        <v/>
      </c>
      <c r="U103" s="26" t="str">
        <f aca="false">IF(OR($A103="",U$4=""),"",IF(NOT(OR(U$6="Toda la plantilla",ISNUMBER(SEARCH(";"&amp;SUBSTITUTE($C103," ","")&amp;";",";"&amp;SUBSTITUTE(U$7," ","")&amp;";")))),"—",IF(_xlfn.MAXIFS(Acuses!$C$5:$C$3004,Acuses!$A$5:$A$3004,$A103,Acuses!$B$5:$B$3004,U$4)&lt;U$5,"Pendiente",IF(U$8=0,"OK",IF(EDATE(_xlfn.MAXIFS(Acuses!$D$5:$D$3004,Acuses!$A$5:$A$3004,$A103,Acuses!$B$5:$B$3004,U$4,Acuses!$C$5:$C$3004,U$5),U$8)&lt;Resumen!$C$4,"Caducado",IF(EDATE(_xlfn.MAXIFS(Acuses!$D$5:$D$3004,Acuses!$A$5:$A$3004,$A103,Acuses!$B$5:$B$3004,U$4,Acuses!$C$5:$C$3004,U$5),U$8)&lt;Resumen!$C$4+30,"Caduca pronto","OK"))))))</f>
        <v/>
      </c>
      <c r="V103" s="26" t="str">
        <f aca="false">IF(OR($A103="",V$4=""),"",IF(NOT(OR(V$6="Toda la plantilla",ISNUMBER(SEARCH(";"&amp;SUBSTITUTE($C103," ","")&amp;";",";"&amp;SUBSTITUTE(V$7," ","")&amp;";")))),"—",IF(_xlfn.MAXIFS(Acuses!$C$5:$C$3004,Acuses!$A$5:$A$3004,$A103,Acuses!$B$5:$B$3004,V$4)&lt;V$5,"Pendiente",IF(V$8=0,"OK",IF(EDATE(_xlfn.MAXIFS(Acuses!$D$5:$D$3004,Acuses!$A$5:$A$3004,$A103,Acuses!$B$5:$B$3004,V$4,Acuses!$C$5:$C$3004,V$5),V$8)&lt;Resumen!$C$4,"Caducado",IF(EDATE(_xlfn.MAXIFS(Acuses!$D$5:$D$3004,Acuses!$A$5:$A$3004,$A103,Acuses!$B$5:$B$3004,V$4,Acuses!$C$5:$C$3004,V$5),V$8)&lt;Resumen!$C$4+30,"Caduca pronto","OK"))))))</f>
        <v/>
      </c>
      <c r="W103" s="26" t="str">
        <f aca="false">IF(OR($A103="",W$4=""),"",IF(NOT(OR(W$6="Toda la plantilla",ISNUMBER(SEARCH(";"&amp;SUBSTITUTE($C103," ","")&amp;";",";"&amp;SUBSTITUTE(W$7," ","")&amp;";")))),"—",IF(_xlfn.MAXIFS(Acuses!$C$5:$C$3004,Acuses!$A$5:$A$3004,$A103,Acuses!$B$5:$B$3004,W$4)&lt;W$5,"Pendiente",IF(W$8=0,"OK",IF(EDATE(_xlfn.MAXIFS(Acuses!$D$5:$D$3004,Acuses!$A$5:$A$3004,$A103,Acuses!$B$5:$B$3004,W$4,Acuses!$C$5:$C$3004,W$5),W$8)&lt;Resumen!$C$4,"Caducado",IF(EDATE(_xlfn.MAXIFS(Acuses!$D$5:$D$3004,Acuses!$A$5:$A$3004,$A103,Acuses!$B$5:$B$3004,W$4,Acuses!$C$5:$C$3004,W$5),W$8)&lt;Resumen!$C$4+30,"Caduca pronto","OK"))))))</f>
        <v/>
      </c>
      <c r="X103" s="26" t="str">
        <f aca="false">IF(OR($A103="",X$4=""),"",IF(NOT(OR(X$6="Toda la plantilla",ISNUMBER(SEARCH(";"&amp;SUBSTITUTE($C103," ","")&amp;";",";"&amp;SUBSTITUTE(X$7," ","")&amp;";")))),"—",IF(_xlfn.MAXIFS(Acuses!$C$5:$C$3004,Acuses!$A$5:$A$3004,$A103,Acuses!$B$5:$B$3004,X$4)&lt;X$5,"Pendiente",IF(X$8=0,"OK",IF(EDATE(_xlfn.MAXIFS(Acuses!$D$5:$D$3004,Acuses!$A$5:$A$3004,$A103,Acuses!$B$5:$B$3004,X$4,Acuses!$C$5:$C$3004,X$5),X$8)&lt;Resumen!$C$4,"Caducado",IF(EDATE(_xlfn.MAXIFS(Acuses!$D$5:$D$3004,Acuses!$A$5:$A$3004,$A103,Acuses!$B$5:$B$3004,X$4,Acuses!$C$5:$C$3004,X$5),X$8)&lt;Resumen!$C$4+30,"Caduca pronto","OK"))))))</f>
        <v/>
      </c>
      <c r="Y103" s="26" t="str">
        <f aca="false">IF(OR($A103="",Y$4=""),"",IF(NOT(OR(Y$6="Toda la plantilla",ISNUMBER(SEARCH(";"&amp;SUBSTITUTE($C103," ","")&amp;";",";"&amp;SUBSTITUTE(Y$7," ","")&amp;";")))),"—",IF(_xlfn.MAXIFS(Acuses!$C$5:$C$3004,Acuses!$A$5:$A$3004,$A103,Acuses!$B$5:$B$3004,Y$4)&lt;Y$5,"Pendiente",IF(Y$8=0,"OK",IF(EDATE(_xlfn.MAXIFS(Acuses!$D$5:$D$3004,Acuses!$A$5:$A$3004,$A103,Acuses!$B$5:$B$3004,Y$4,Acuses!$C$5:$C$3004,Y$5),Y$8)&lt;Resumen!$C$4,"Caducado",IF(EDATE(_xlfn.MAXIFS(Acuses!$D$5:$D$3004,Acuses!$A$5:$A$3004,$A103,Acuses!$B$5:$B$3004,Y$4,Acuses!$C$5:$C$3004,Y$5),Y$8)&lt;Resumen!$C$4+30,"Caduca pronto","OK"))))))</f>
        <v/>
      </c>
      <c r="Z103" s="26" t="str">
        <f aca="false">IF(OR($A103="",Z$4=""),"",IF(NOT(OR(Z$6="Toda la plantilla",ISNUMBER(SEARCH(";"&amp;SUBSTITUTE($C103," ","")&amp;";",";"&amp;SUBSTITUTE(Z$7," ","")&amp;";")))),"—",IF(_xlfn.MAXIFS(Acuses!$C$5:$C$3004,Acuses!$A$5:$A$3004,$A103,Acuses!$B$5:$B$3004,Z$4)&lt;Z$5,"Pendiente",IF(Z$8=0,"OK",IF(EDATE(_xlfn.MAXIFS(Acuses!$D$5:$D$3004,Acuses!$A$5:$A$3004,$A103,Acuses!$B$5:$B$3004,Z$4,Acuses!$C$5:$C$3004,Z$5),Z$8)&lt;Resumen!$C$4,"Caducado",IF(EDATE(_xlfn.MAXIFS(Acuses!$D$5:$D$3004,Acuses!$A$5:$A$3004,$A103,Acuses!$B$5:$B$3004,Z$4,Acuses!$C$5:$C$3004,Z$5),Z$8)&lt;Resumen!$C$4+30,"Caduca pronto","OK"))))))</f>
        <v/>
      </c>
      <c r="AA103" s="26" t="str">
        <f aca="false">IF(OR($A103="",AA$4=""),"",IF(NOT(OR(AA$6="Toda la plantilla",ISNUMBER(SEARCH(";"&amp;SUBSTITUTE($C103," ","")&amp;";",";"&amp;SUBSTITUTE(AA$7," ","")&amp;";")))),"—",IF(_xlfn.MAXIFS(Acuses!$C$5:$C$3004,Acuses!$A$5:$A$3004,$A103,Acuses!$B$5:$B$3004,AA$4)&lt;AA$5,"Pendiente",IF(AA$8=0,"OK",IF(EDATE(_xlfn.MAXIFS(Acuses!$D$5:$D$3004,Acuses!$A$5:$A$3004,$A103,Acuses!$B$5:$B$3004,AA$4,Acuses!$C$5:$C$3004,AA$5),AA$8)&lt;Resumen!$C$4,"Caducado",IF(EDATE(_xlfn.MAXIFS(Acuses!$D$5:$D$3004,Acuses!$A$5:$A$3004,$A103,Acuses!$B$5:$B$3004,AA$4,Acuses!$C$5:$C$3004,AA$5),AA$8)&lt;Resumen!$C$4+30,"Caduca pronto","OK"))))))</f>
        <v/>
      </c>
      <c r="AB103" s="26" t="str">
        <f aca="false">IF(OR($A103="",AB$4=""),"",IF(NOT(OR(AB$6="Toda la plantilla",ISNUMBER(SEARCH(";"&amp;SUBSTITUTE($C103," ","")&amp;";",";"&amp;SUBSTITUTE(AB$7," ","")&amp;";")))),"—",IF(_xlfn.MAXIFS(Acuses!$C$5:$C$3004,Acuses!$A$5:$A$3004,$A103,Acuses!$B$5:$B$3004,AB$4)&lt;AB$5,"Pendiente",IF(AB$8=0,"OK",IF(EDATE(_xlfn.MAXIFS(Acuses!$D$5:$D$3004,Acuses!$A$5:$A$3004,$A103,Acuses!$B$5:$B$3004,AB$4,Acuses!$C$5:$C$3004,AB$5),AB$8)&lt;Resumen!$C$4,"Caducado",IF(EDATE(_xlfn.MAXIFS(Acuses!$D$5:$D$3004,Acuses!$A$5:$A$3004,$A103,Acuses!$B$5:$B$3004,AB$4,Acuses!$C$5:$C$3004,AB$5),AB$8)&lt;Resumen!$C$4+30,"Caduca pronto","OK"))))))</f>
        <v/>
      </c>
      <c r="AC103" s="26" t="str">
        <f aca="false">IF(OR($A103="",AC$4=""),"",IF(NOT(OR(AC$6="Toda la plantilla",ISNUMBER(SEARCH(";"&amp;SUBSTITUTE($C103," ","")&amp;";",";"&amp;SUBSTITUTE(AC$7," ","")&amp;";")))),"—",IF(_xlfn.MAXIFS(Acuses!$C$5:$C$3004,Acuses!$A$5:$A$3004,$A103,Acuses!$B$5:$B$3004,AC$4)&lt;AC$5,"Pendiente",IF(AC$8=0,"OK",IF(EDATE(_xlfn.MAXIFS(Acuses!$D$5:$D$3004,Acuses!$A$5:$A$3004,$A103,Acuses!$B$5:$B$3004,AC$4,Acuses!$C$5:$C$3004,AC$5),AC$8)&lt;Resumen!$C$4,"Caducado",IF(EDATE(_xlfn.MAXIFS(Acuses!$D$5:$D$3004,Acuses!$A$5:$A$3004,$A103,Acuses!$B$5:$B$3004,AC$4,Acuses!$C$5:$C$3004,AC$5),AC$8)&lt;Resumen!$C$4+30,"Caduca pronto","OK"))))))</f>
        <v/>
      </c>
      <c r="AD103" s="26" t="str">
        <f aca="false">IF(OR($A103="",AD$4=""),"",IF(NOT(OR(AD$6="Toda la plantilla",ISNUMBER(SEARCH(";"&amp;SUBSTITUTE($C103," ","")&amp;";",";"&amp;SUBSTITUTE(AD$7," ","")&amp;";")))),"—",IF(_xlfn.MAXIFS(Acuses!$C$5:$C$3004,Acuses!$A$5:$A$3004,$A103,Acuses!$B$5:$B$3004,AD$4)&lt;AD$5,"Pendiente",IF(AD$8=0,"OK",IF(EDATE(_xlfn.MAXIFS(Acuses!$D$5:$D$3004,Acuses!$A$5:$A$3004,$A103,Acuses!$B$5:$B$3004,AD$4,Acuses!$C$5:$C$3004,AD$5),AD$8)&lt;Resumen!$C$4,"Caducado",IF(EDATE(_xlfn.MAXIFS(Acuses!$D$5:$D$3004,Acuses!$A$5:$A$3004,$A103,Acuses!$B$5:$B$3004,AD$4,Acuses!$C$5:$C$3004,AD$5),AD$8)&lt;Resumen!$C$4+30,"Caduca pronto","OK"))))))</f>
        <v/>
      </c>
      <c r="AE103" s="26" t="str">
        <f aca="false">IF(OR($A103="",AE$4=""),"",IF(NOT(OR(AE$6="Toda la plantilla",ISNUMBER(SEARCH(";"&amp;SUBSTITUTE($C103," ","")&amp;";",";"&amp;SUBSTITUTE(AE$7," ","")&amp;";")))),"—",IF(_xlfn.MAXIFS(Acuses!$C$5:$C$3004,Acuses!$A$5:$A$3004,$A103,Acuses!$B$5:$B$3004,AE$4)&lt;AE$5,"Pendiente",IF(AE$8=0,"OK",IF(EDATE(_xlfn.MAXIFS(Acuses!$D$5:$D$3004,Acuses!$A$5:$A$3004,$A103,Acuses!$B$5:$B$3004,AE$4,Acuses!$C$5:$C$3004,AE$5),AE$8)&lt;Resumen!$C$4,"Caducado",IF(EDATE(_xlfn.MAXIFS(Acuses!$D$5:$D$3004,Acuses!$A$5:$A$3004,$A103,Acuses!$B$5:$B$3004,AE$4,Acuses!$C$5:$C$3004,AE$5),AE$8)&lt;Resumen!$C$4+30,"Caduca pronto","OK"))))))</f>
        <v/>
      </c>
      <c r="AF103" s="26" t="str">
        <f aca="false">IF(OR($A103="",AF$4=""),"",IF(NOT(OR(AF$6="Toda la plantilla",ISNUMBER(SEARCH(";"&amp;SUBSTITUTE($C103," ","")&amp;";",";"&amp;SUBSTITUTE(AF$7," ","")&amp;";")))),"—",IF(_xlfn.MAXIFS(Acuses!$C$5:$C$3004,Acuses!$A$5:$A$3004,$A103,Acuses!$B$5:$B$3004,AF$4)&lt;AF$5,"Pendiente",IF(AF$8=0,"OK",IF(EDATE(_xlfn.MAXIFS(Acuses!$D$5:$D$3004,Acuses!$A$5:$A$3004,$A103,Acuses!$B$5:$B$3004,AF$4,Acuses!$C$5:$C$3004,AF$5),AF$8)&lt;Resumen!$C$4,"Caducado",IF(EDATE(_xlfn.MAXIFS(Acuses!$D$5:$D$3004,Acuses!$A$5:$A$3004,$A103,Acuses!$B$5:$B$3004,AF$4,Acuses!$C$5:$C$3004,AF$5),AF$8)&lt;Resumen!$C$4+30,"Caduca pronto","OK"))))))</f>
        <v/>
      </c>
      <c r="AG103" s="26" t="str">
        <f aca="false">IF(OR($A103="",AG$4=""),"",IF(NOT(OR(AG$6="Toda la plantilla",ISNUMBER(SEARCH(";"&amp;SUBSTITUTE($C103," ","")&amp;";",";"&amp;SUBSTITUTE(AG$7," ","")&amp;";")))),"—",IF(_xlfn.MAXIFS(Acuses!$C$5:$C$3004,Acuses!$A$5:$A$3004,$A103,Acuses!$B$5:$B$3004,AG$4)&lt;AG$5,"Pendiente",IF(AG$8=0,"OK",IF(EDATE(_xlfn.MAXIFS(Acuses!$D$5:$D$3004,Acuses!$A$5:$A$3004,$A103,Acuses!$B$5:$B$3004,AG$4,Acuses!$C$5:$C$3004,AG$5),AG$8)&lt;Resumen!$C$4,"Caducado",IF(EDATE(_xlfn.MAXIFS(Acuses!$D$5:$D$3004,Acuses!$A$5:$A$3004,$A103,Acuses!$B$5:$B$3004,AG$4,Acuses!$C$5:$C$3004,AG$5),AG$8)&lt;Resumen!$C$4+30,"Caduca pronto","OK"))))))</f>
        <v/>
      </c>
      <c r="AH103" s="26" t="str">
        <f aca="false">IF(OR($A103="",AH$4=""),"",IF(NOT(OR(AH$6="Toda la plantilla",ISNUMBER(SEARCH(";"&amp;SUBSTITUTE($C103," ","")&amp;";",";"&amp;SUBSTITUTE(AH$7," ","")&amp;";")))),"—",IF(_xlfn.MAXIFS(Acuses!$C$5:$C$3004,Acuses!$A$5:$A$3004,$A103,Acuses!$B$5:$B$3004,AH$4)&lt;AH$5,"Pendiente",IF(AH$8=0,"OK",IF(EDATE(_xlfn.MAXIFS(Acuses!$D$5:$D$3004,Acuses!$A$5:$A$3004,$A103,Acuses!$B$5:$B$3004,AH$4,Acuses!$C$5:$C$3004,AH$5),AH$8)&lt;Resumen!$C$4,"Caducado",IF(EDATE(_xlfn.MAXIFS(Acuses!$D$5:$D$3004,Acuses!$A$5:$A$3004,$A103,Acuses!$B$5:$B$3004,AH$4,Acuses!$C$5:$C$3004,AH$5),AH$8)&lt;Resumen!$C$4+30,"Caduca pronto","OK"))))))</f>
        <v/>
      </c>
      <c r="AI103" s="26" t="str">
        <f aca="false">IF(OR($A103="",AI$4=""),"",IF(NOT(OR(AI$6="Toda la plantilla",ISNUMBER(SEARCH(";"&amp;SUBSTITUTE($C103," ","")&amp;";",";"&amp;SUBSTITUTE(AI$7," ","")&amp;";")))),"—",IF(_xlfn.MAXIFS(Acuses!$C$5:$C$3004,Acuses!$A$5:$A$3004,$A103,Acuses!$B$5:$B$3004,AI$4)&lt;AI$5,"Pendiente",IF(AI$8=0,"OK",IF(EDATE(_xlfn.MAXIFS(Acuses!$D$5:$D$3004,Acuses!$A$5:$A$3004,$A103,Acuses!$B$5:$B$3004,AI$4,Acuses!$C$5:$C$3004,AI$5),AI$8)&lt;Resumen!$C$4,"Caducado",IF(EDATE(_xlfn.MAXIFS(Acuses!$D$5:$D$3004,Acuses!$A$5:$A$3004,$A103,Acuses!$B$5:$B$3004,AI$4,Acuses!$C$5:$C$3004,AI$5),AI$8)&lt;Resumen!$C$4+30,"Caduca pronto","OK"))))))</f>
        <v/>
      </c>
      <c r="AJ103" s="26" t="str">
        <f aca="false">IF(OR($A103="",AJ$4=""),"",IF(NOT(OR(AJ$6="Toda la plantilla",ISNUMBER(SEARCH(";"&amp;SUBSTITUTE($C103," ","")&amp;";",";"&amp;SUBSTITUTE(AJ$7," ","")&amp;";")))),"—",IF(_xlfn.MAXIFS(Acuses!$C$5:$C$3004,Acuses!$A$5:$A$3004,$A103,Acuses!$B$5:$B$3004,AJ$4)&lt;AJ$5,"Pendiente",IF(AJ$8=0,"OK",IF(EDATE(_xlfn.MAXIFS(Acuses!$D$5:$D$3004,Acuses!$A$5:$A$3004,$A103,Acuses!$B$5:$B$3004,AJ$4,Acuses!$C$5:$C$3004,AJ$5),AJ$8)&lt;Resumen!$C$4,"Caducado",IF(EDATE(_xlfn.MAXIFS(Acuses!$D$5:$D$3004,Acuses!$A$5:$A$3004,$A103,Acuses!$B$5:$B$3004,AJ$4,Acuses!$C$5:$C$3004,AJ$5),AJ$8)&lt;Resumen!$C$4+30,"Caduca pronto","OK"))))))</f>
        <v/>
      </c>
      <c r="AK103" s="26" t="str">
        <f aca="false">IF(OR($A103="",AK$4=""),"",IF(NOT(OR(AK$6="Toda la plantilla",ISNUMBER(SEARCH(";"&amp;SUBSTITUTE($C103," ","")&amp;";",";"&amp;SUBSTITUTE(AK$7," ","")&amp;";")))),"—",IF(_xlfn.MAXIFS(Acuses!$C$5:$C$3004,Acuses!$A$5:$A$3004,$A103,Acuses!$B$5:$B$3004,AK$4)&lt;AK$5,"Pendiente",IF(AK$8=0,"OK",IF(EDATE(_xlfn.MAXIFS(Acuses!$D$5:$D$3004,Acuses!$A$5:$A$3004,$A103,Acuses!$B$5:$B$3004,AK$4,Acuses!$C$5:$C$3004,AK$5),AK$8)&lt;Resumen!$C$4,"Caducado",IF(EDATE(_xlfn.MAXIFS(Acuses!$D$5:$D$3004,Acuses!$A$5:$A$3004,$A103,Acuses!$B$5:$B$3004,AK$4,Acuses!$C$5:$C$3004,AK$5),AK$8)&lt;Resumen!$C$4+30,"Caduca pronto","OK"))))))</f>
        <v/>
      </c>
      <c r="AL103" s="26" t="str">
        <f aca="false">IF(OR($A103="",AL$4=""),"",IF(NOT(OR(AL$6="Toda la plantilla",ISNUMBER(SEARCH(";"&amp;SUBSTITUTE($C103," ","")&amp;";",";"&amp;SUBSTITUTE(AL$7," ","")&amp;";")))),"—",IF(_xlfn.MAXIFS(Acuses!$C$5:$C$3004,Acuses!$A$5:$A$3004,$A103,Acuses!$B$5:$B$3004,AL$4)&lt;AL$5,"Pendiente",IF(AL$8=0,"OK",IF(EDATE(_xlfn.MAXIFS(Acuses!$D$5:$D$3004,Acuses!$A$5:$A$3004,$A103,Acuses!$B$5:$B$3004,AL$4,Acuses!$C$5:$C$3004,AL$5),AL$8)&lt;Resumen!$C$4,"Caducado",IF(EDATE(_xlfn.MAXIFS(Acuses!$D$5:$D$3004,Acuses!$A$5:$A$3004,$A103,Acuses!$B$5:$B$3004,AL$4,Acuses!$C$5:$C$3004,AL$5),AL$8)&lt;Resumen!$C$4+30,"Caduca pronto","OK"))))))</f>
        <v/>
      </c>
      <c r="AM103" s="26" t="str">
        <f aca="false">IF(OR($A103="",AM$4=""),"",IF(NOT(OR(AM$6="Toda la plantilla",ISNUMBER(SEARCH(";"&amp;SUBSTITUTE($C103," ","")&amp;";",";"&amp;SUBSTITUTE(AM$7," ","")&amp;";")))),"—",IF(_xlfn.MAXIFS(Acuses!$C$5:$C$3004,Acuses!$A$5:$A$3004,$A103,Acuses!$B$5:$B$3004,AM$4)&lt;AM$5,"Pendiente",IF(AM$8=0,"OK",IF(EDATE(_xlfn.MAXIFS(Acuses!$D$5:$D$3004,Acuses!$A$5:$A$3004,$A103,Acuses!$B$5:$B$3004,AM$4,Acuses!$C$5:$C$3004,AM$5),AM$8)&lt;Resumen!$C$4,"Caducado",IF(EDATE(_xlfn.MAXIFS(Acuses!$D$5:$D$3004,Acuses!$A$5:$A$3004,$A103,Acuses!$B$5:$B$3004,AM$4,Acuses!$C$5:$C$3004,AM$5),AM$8)&lt;Resumen!$C$4+30,"Caduca pronto","OK"))))))</f>
        <v/>
      </c>
      <c r="AN103" s="26" t="str">
        <f aca="false">IF(OR($A103="",AN$4=""),"",IF(NOT(OR(AN$6="Toda la plantilla",ISNUMBER(SEARCH(";"&amp;SUBSTITUTE($C103," ","")&amp;";",";"&amp;SUBSTITUTE(AN$7," ","")&amp;";")))),"—",IF(_xlfn.MAXIFS(Acuses!$C$5:$C$3004,Acuses!$A$5:$A$3004,$A103,Acuses!$B$5:$B$3004,AN$4)&lt;AN$5,"Pendiente",IF(AN$8=0,"OK",IF(EDATE(_xlfn.MAXIFS(Acuses!$D$5:$D$3004,Acuses!$A$5:$A$3004,$A103,Acuses!$B$5:$B$3004,AN$4,Acuses!$C$5:$C$3004,AN$5),AN$8)&lt;Resumen!$C$4,"Caducado",IF(EDATE(_xlfn.MAXIFS(Acuses!$D$5:$D$3004,Acuses!$A$5:$A$3004,$A103,Acuses!$B$5:$B$3004,AN$4,Acuses!$C$5:$C$3004,AN$5),AN$8)&lt;Resumen!$C$4+30,"Caduca pronto","OK"))))))</f>
        <v/>
      </c>
      <c r="AO103" s="26" t="str">
        <f aca="false">IF(OR($A103="",AO$4=""),"",IF(NOT(OR(AO$6="Toda la plantilla",ISNUMBER(SEARCH(";"&amp;SUBSTITUTE($C103," ","")&amp;";",";"&amp;SUBSTITUTE(AO$7," ","")&amp;";")))),"—",IF(_xlfn.MAXIFS(Acuses!$C$5:$C$3004,Acuses!$A$5:$A$3004,$A103,Acuses!$B$5:$B$3004,AO$4)&lt;AO$5,"Pendiente",IF(AO$8=0,"OK",IF(EDATE(_xlfn.MAXIFS(Acuses!$D$5:$D$3004,Acuses!$A$5:$A$3004,$A103,Acuses!$B$5:$B$3004,AO$4,Acuses!$C$5:$C$3004,AO$5),AO$8)&lt;Resumen!$C$4,"Caducado",IF(EDATE(_xlfn.MAXIFS(Acuses!$D$5:$D$3004,Acuses!$A$5:$A$3004,$A103,Acuses!$B$5:$B$3004,AO$4,Acuses!$C$5:$C$3004,AO$5),AO$8)&lt;Resumen!$C$4+30,"Caduca pronto","OK"))))))</f>
        <v/>
      </c>
      <c r="AP103" s="26" t="str">
        <f aca="false">IF(OR($A103="",AP$4=""),"",IF(NOT(OR(AP$6="Toda la plantilla",ISNUMBER(SEARCH(";"&amp;SUBSTITUTE($C103," ","")&amp;";",";"&amp;SUBSTITUTE(AP$7," ","")&amp;";")))),"—",IF(_xlfn.MAXIFS(Acuses!$C$5:$C$3004,Acuses!$A$5:$A$3004,$A103,Acuses!$B$5:$B$3004,AP$4)&lt;AP$5,"Pendiente",IF(AP$8=0,"OK",IF(EDATE(_xlfn.MAXIFS(Acuses!$D$5:$D$3004,Acuses!$A$5:$A$3004,$A103,Acuses!$B$5:$B$3004,AP$4,Acuses!$C$5:$C$3004,AP$5),AP$8)&lt;Resumen!$C$4,"Caducado",IF(EDATE(_xlfn.MAXIFS(Acuses!$D$5:$D$3004,Acuses!$A$5:$A$3004,$A103,Acuses!$B$5:$B$3004,AP$4,Acuses!$C$5:$C$3004,AP$5),AP$8)&lt;Resumen!$C$4+30,"Caduca pronto","OK"))))))</f>
        <v/>
      </c>
      <c r="AQ103" s="26" t="str">
        <f aca="false">IF(OR($A103="",AQ$4=""),"",IF(NOT(OR(AQ$6="Toda la plantilla",ISNUMBER(SEARCH(";"&amp;SUBSTITUTE($C103," ","")&amp;";",";"&amp;SUBSTITUTE(AQ$7," ","")&amp;";")))),"—",IF(_xlfn.MAXIFS(Acuses!$C$5:$C$3004,Acuses!$A$5:$A$3004,$A103,Acuses!$B$5:$B$3004,AQ$4)&lt;AQ$5,"Pendiente",IF(AQ$8=0,"OK",IF(EDATE(_xlfn.MAXIFS(Acuses!$D$5:$D$3004,Acuses!$A$5:$A$3004,$A103,Acuses!$B$5:$B$3004,AQ$4,Acuses!$C$5:$C$3004,AQ$5),AQ$8)&lt;Resumen!$C$4,"Caducado",IF(EDATE(_xlfn.MAXIFS(Acuses!$D$5:$D$3004,Acuses!$A$5:$A$3004,$A103,Acuses!$B$5:$B$3004,AQ$4,Acuses!$C$5:$C$3004,AQ$5),AQ$8)&lt;Resumen!$C$4+30,"Caduca pronto","OK"))))))</f>
        <v/>
      </c>
    </row>
    <row r="104" customFormat="false" ht="15" hidden="false" customHeight="false" outlineLevel="0" collapsed="false">
      <c r="A104" s="25" t="str">
        <f aca="false">IF(AND(Trabajadores!$A$99&lt;&gt;"",Trabajadores!$G$99&lt;&gt;"No"),Trabajadores!$A$99,"")</f>
        <v/>
      </c>
      <c r="B104" s="25" t="str">
        <f aca="false">IF($A104="","",Trabajadores!$B$99)</f>
        <v/>
      </c>
      <c r="C104" s="25" t="str">
        <f aca="false">IF($A104="","",Trabajadores!$C$99)</f>
        <v/>
      </c>
      <c r="D104" s="26" t="str">
        <f aca="false">IF(OR($A104="",D$4=""),"",IF(NOT(OR(D$6="Toda la plantilla",ISNUMBER(SEARCH(";"&amp;SUBSTITUTE($C104," ","")&amp;";",";"&amp;SUBSTITUTE(D$7," ","")&amp;";")))),"—",IF(_xlfn.MAXIFS(Acuses!$C$5:$C$3004,Acuses!$A$5:$A$3004,$A104,Acuses!$B$5:$B$3004,D$4)&lt;D$5,"Pendiente",IF(D$8=0,"OK",IF(EDATE(_xlfn.MAXIFS(Acuses!$D$5:$D$3004,Acuses!$A$5:$A$3004,$A104,Acuses!$B$5:$B$3004,D$4,Acuses!$C$5:$C$3004,D$5),D$8)&lt;Resumen!$C$4,"Caducado",IF(EDATE(_xlfn.MAXIFS(Acuses!$D$5:$D$3004,Acuses!$A$5:$A$3004,$A104,Acuses!$B$5:$B$3004,D$4,Acuses!$C$5:$C$3004,D$5),D$8)&lt;Resumen!$C$4+30,"Caduca pronto","OK"))))))</f>
        <v/>
      </c>
      <c r="E104" s="26" t="str">
        <f aca="false">IF(OR($A104="",E$4=""),"",IF(NOT(OR(E$6="Toda la plantilla",ISNUMBER(SEARCH(";"&amp;SUBSTITUTE($C104," ","")&amp;";",";"&amp;SUBSTITUTE(E$7," ","")&amp;";")))),"—",IF(_xlfn.MAXIFS(Acuses!$C$5:$C$3004,Acuses!$A$5:$A$3004,$A104,Acuses!$B$5:$B$3004,E$4)&lt;E$5,"Pendiente",IF(E$8=0,"OK",IF(EDATE(_xlfn.MAXIFS(Acuses!$D$5:$D$3004,Acuses!$A$5:$A$3004,$A104,Acuses!$B$5:$B$3004,E$4,Acuses!$C$5:$C$3004,E$5),E$8)&lt;Resumen!$C$4,"Caducado",IF(EDATE(_xlfn.MAXIFS(Acuses!$D$5:$D$3004,Acuses!$A$5:$A$3004,$A104,Acuses!$B$5:$B$3004,E$4,Acuses!$C$5:$C$3004,E$5),E$8)&lt;Resumen!$C$4+30,"Caduca pronto","OK"))))))</f>
        <v/>
      </c>
      <c r="F104" s="26" t="str">
        <f aca="false">IF(OR($A104="",F$4=""),"",IF(NOT(OR(F$6="Toda la plantilla",ISNUMBER(SEARCH(";"&amp;SUBSTITUTE($C104," ","")&amp;";",";"&amp;SUBSTITUTE(F$7," ","")&amp;";")))),"—",IF(_xlfn.MAXIFS(Acuses!$C$5:$C$3004,Acuses!$A$5:$A$3004,$A104,Acuses!$B$5:$B$3004,F$4)&lt;F$5,"Pendiente",IF(F$8=0,"OK",IF(EDATE(_xlfn.MAXIFS(Acuses!$D$5:$D$3004,Acuses!$A$5:$A$3004,$A104,Acuses!$B$5:$B$3004,F$4,Acuses!$C$5:$C$3004,F$5),F$8)&lt;Resumen!$C$4,"Caducado",IF(EDATE(_xlfn.MAXIFS(Acuses!$D$5:$D$3004,Acuses!$A$5:$A$3004,$A104,Acuses!$B$5:$B$3004,F$4,Acuses!$C$5:$C$3004,F$5),F$8)&lt;Resumen!$C$4+30,"Caduca pronto","OK"))))))</f>
        <v/>
      </c>
      <c r="G104" s="26" t="str">
        <f aca="false">IF(OR($A104="",G$4=""),"",IF(NOT(OR(G$6="Toda la plantilla",ISNUMBER(SEARCH(";"&amp;SUBSTITUTE($C104," ","")&amp;";",";"&amp;SUBSTITUTE(G$7," ","")&amp;";")))),"—",IF(_xlfn.MAXIFS(Acuses!$C$5:$C$3004,Acuses!$A$5:$A$3004,$A104,Acuses!$B$5:$B$3004,G$4)&lt;G$5,"Pendiente",IF(G$8=0,"OK",IF(EDATE(_xlfn.MAXIFS(Acuses!$D$5:$D$3004,Acuses!$A$5:$A$3004,$A104,Acuses!$B$5:$B$3004,G$4,Acuses!$C$5:$C$3004,G$5),G$8)&lt;Resumen!$C$4,"Caducado",IF(EDATE(_xlfn.MAXIFS(Acuses!$D$5:$D$3004,Acuses!$A$5:$A$3004,$A104,Acuses!$B$5:$B$3004,G$4,Acuses!$C$5:$C$3004,G$5),G$8)&lt;Resumen!$C$4+30,"Caduca pronto","OK"))))))</f>
        <v/>
      </c>
      <c r="H104" s="26" t="str">
        <f aca="false">IF(OR($A104="",H$4=""),"",IF(NOT(OR(H$6="Toda la plantilla",ISNUMBER(SEARCH(";"&amp;SUBSTITUTE($C104," ","")&amp;";",";"&amp;SUBSTITUTE(H$7," ","")&amp;";")))),"—",IF(_xlfn.MAXIFS(Acuses!$C$5:$C$3004,Acuses!$A$5:$A$3004,$A104,Acuses!$B$5:$B$3004,H$4)&lt;H$5,"Pendiente",IF(H$8=0,"OK",IF(EDATE(_xlfn.MAXIFS(Acuses!$D$5:$D$3004,Acuses!$A$5:$A$3004,$A104,Acuses!$B$5:$B$3004,H$4,Acuses!$C$5:$C$3004,H$5),H$8)&lt;Resumen!$C$4,"Caducado",IF(EDATE(_xlfn.MAXIFS(Acuses!$D$5:$D$3004,Acuses!$A$5:$A$3004,$A104,Acuses!$B$5:$B$3004,H$4,Acuses!$C$5:$C$3004,H$5),H$8)&lt;Resumen!$C$4+30,"Caduca pronto","OK"))))))</f>
        <v/>
      </c>
      <c r="I104" s="26" t="str">
        <f aca="false">IF(OR($A104="",I$4=""),"",IF(NOT(OR(I$6="Toda la plantilla",ISNUMBER(SEARCH(";"&amp;SUBSTITUTE($C104," ","")&amp;";",";"&amp;SUBSTITUTE(I$7," ","")&amp;";")))),"—",IF(_xlfn.MAXIFS(Acuses!$C$5:$C$3004,Acuses!$A$5:$A$3004,$A104,Acuses!$B$5:$B$3004,I$4)&lt;I$5,"Pendiente",IF(I$8=0,"OK",IF(EDATE(_xlfn.MAXIFS(Acuses!$D$5:$D$3004,Acuses!$A$5:$A$3004,$A104,Acuses!$B$5:$B$3004,I$4,Acuses!$C$5:$C$3004,I$5),I$8)&lt;Resumen!$C$4,"Caducado",IF(EDATE(_xlfn.MAXIFS(Acuses!$D$5:$D$3004,Acuses!$A$5:$A$3004,$A104,Acuses!$B$5:$B$3004,I$4,Acuses!$C$5:$C$3004,I$5),I$8)&lt;Resumen!$C$4+30,"Caduca pronto","OK"))))))</f>
        <v/>
      </c>
      <c r="J104" s="26" t="str">
        <f aca="false">IF(OR($A104="",J$4=""),"",IF(NOT(OR(J$6="Toda la plantilla",ISNUMBER(SEARCH(";"&amp;SUBSTITUTE($C104," ","")&amp;";",";"&amp;SUBSTITUTE(J$7," ","")&amp;";")))),"—",IF(_xlfn.MAXIFS(Acuses!$C$5:$C$3004,Acuses!$A$5:$A$3004,$A104,Acuses!$B$5:$B$3004,J$4)&lt;J$5,"Pendiente",IF(J$8=0,"OK",IF(EDATE(_xlfn.MAXIFS(Acuses!$D$5:$D$3004,Acuses!$A$5:$A$3004,$A104,Acuses!$B$5:$B$3004,J$4,Acuses!$C$5:$C$3004,J$5),J$8)&lt;Resumen!$C$4,"Caducado",IF(EDATE(_xlfn.MAXIFS(Acuses!$D$5:$D$3004,Acuses!$A$5:$A$3004,$A104,Acuses!$B$5:$B$3004,J$4,Acuses!$C$5:$C$3004,J$5),J$8)&lt;Resumen!$C$4+30,"Caduca pronto","OK"))))))</f>
        <v/>
      </c>
      <c r="K104" s="26" t="str">
        <f aca="false">IF(OR($A104="",K$4=""),"",IF(NOT(OR(K$6="Toda la plantilla",ISNUMBER(SEARCH(";"&amp;SUBSTITUTE($C104," ","")&amp;";",";"&amp;SUBSTITUTE(K$7," ","")&amp;";")))),"—",IF(_xlfn.MAXIFS(Acuses!$C$5:$C$3004,Acuses!$A$5:$A$3004,$A104,Acuses!$B$5:$B$3004,K$4)&lt;K$5,"Pendiente",IF(K$8=0,"OK",IF(EDATE(_xlfn.MAXIFS(Acuses!$D$5:$D$3004,Acuses!$A$5:$A$3004,$A104,Acuses!$B$5:$B$3004,K$4,Acuses!$C$5:$C$3004,K$5),K$8)&lt;Resumen!$C$4,"Caducado",IF(EDATE(_xlfn.MAXIFS(Acuses!$D$5:$D$3004,Acuses!$A$5:$A$3004,$A104,Acuses!$B$5:$B$3004,K$4,Acuses!$C$5:$C$3004,K$5),K$8)&lt;Resumen!$C$4+30,"Caduca pronto","OK"))))))</f>
        <v/>
      </c>
      <c r="L104" s="26" t="str">
        <f aca="false">IF(OR($A104="",L$4=""),"",IF(NOT(OR(L$6="Toda la plantilla",ISNUMBER(SEARCH(";"&amp;SUBSTITUTE($C104," ","")&amp;";",";"&amp;SUBSTITUTE(L$7," ","")&amp;";")))),"—",IF(_xlfn.MAXIFS(Acuses!$C$5:$C$3004,Acuses!$A$5:$A$3004,$A104,Acuses!$B$5:$B$3004,L$4)&lt;L$5,"Pendiente",IF(L$8=0,"OK",IF(EDATE(_xlfn.MAXIFS(Acuses!$D$5:$D$3004,Acuses!$A$5:$A$3004,$A104,Acuses!$B$5:$B$3004,L$4,Acuses!$C$5:$C$3004,L$5),L$8)&lt;Resumen!$C$4,"Caducado",IF(EDATE(_xlfn.MAXIFS(Acuses!$D$5:$D$3004,Acuses!$A$5:$A$3004,$A104,Acuses!$B$5:$B$3004,L$4,Acuses!$C$5:$C$3004,L$5),L$8)&lt;Resumen!$C$4+30,"Caduca pronto","OK"))))))</f>
        <v/>
      </c>
      <c r="M104" s="26" t="str">
        <f aca="false">IF(OR($A104="",M$4=""),"",IF(NOT(OR(M$6="Toda la plantilla",ISNUMBER(SEARCH(";"&amp;SUBSTITUTE($C104," ","")&amp;";",";"&amp;SUBSTITUTE(M$7," ","")&amp;";")))),"—",IF(_xlfn.MAXIFS(Acuses!$C$5:$C$3004,Acuses!$A$5:$A$3004,$A104,Acuses!$B$5:$B$3004,M$4)&lt;M$5,"Pendiente",IF(M$8=0,"OK",IF(EDATE(_xlfn.MAXIFS(Acuses!$D$5:$D$3004,Acuses!$A$5:$A$3004,$A104,Acuses!$B$5:$B$3004,M$4,Acuses!$C$5:$C$3004,M$5),M$8)&lt;Resumen!$C$4,"Caducado",IF(EDATE(_xlfn.MAXIFS(Acuses!$D$5:$D$3004,Acuses!$A$5:$A$3004,$A104,Acuses!$B$5:$B$3004,M$4,Acuses!$C$5:$C$3004,M$5),M$8)&lt;Resumen!$C$4+30,"Caduca pronto","OK"))))))</f>
        <v/>
      </c>
      <c r="N104" s="26" t="str">
        <f aca="false">IF(OR($A104="",N$4=""),"",IF(NOT(OR(N$6="Toda la plantilla",ISNUMBER(SEARCH(";"&amp;SUBSTITUTE($C104," ","")&amp;";",";"&amp;SUBSTITUTE(N$7," ","")&amp;";")))),"—",IF(_xlfn.MAXIFS(Acuses!$C$5:$C$3004,Acuses!$A$5:$A$3004,$A104,Acuses!$B$5:$B$3004,N$4)&lt;N$5,"Pendiente",IF(N$8=0,"OK",IF(EDATE(_xlfn.MAXIFS(Acuses!$D$5:$D$3004,Acuses!$A$5:$A$3004,$A104,Acuses!$B$5:$B$3004,N$4,Acuses!$C$5:$C$3004,N$5),N$8)&lt;Resumen!$C$4,"Caducado",IF(EDATE(_xlfn.MAXIFS(Acuses!$D$5:$D$3004,Acuses!$A$5:$A$3004,$A104,Acuses!$B$5:$B$3004,N$4,Acuses!$C$5:$C$3004,N$5),N$8)&lt;Resumen!$C$4+30,"Caduca pronto","OK"))))))</f>
        <v/>
      </c>
      <c r="O104" s="26" t="str">
        <f aca="false">IF(OR($A104="",O$4=""),"",IF(NOT(OR(O$6="Toda la plantilla",ISNUMBER(SEARCH(";"&amp;SUBSTITUTE($C104," ","")&amp;";",";"&amp;SUBSTITUTE(O$7," ","")&amp;";")))),"—",IF(_xlfn.MAXIFS(Acuses!$C$5:$C$3004,Acuses!$A$5:$A$3004,$A104,Acuses!$B$5:$B$3004,O$4)&lt;O$5,"Pendiente",IF(O$8=0,"OK",IF(EDATE(_xlfn.MAXIFS(Acuses!$D$5:$D$3004,Acuses!$A$5:$A$3004,$A104,Acuses!$B$5:$B$3004,O$4,Acuses!$C$5:$C$3004,O$5),O$8)&lt;Resumen!$C$4,"Caducado",IF(EDATE(_xlfn.MAXIFS(Acuses!$D$5:$D$3004,Acuses!$A$5:$A$3004,$A104,Acuses!$B$5:$B$3004,O$4,Acuses!$C$5:$C$3004,O$5),O$8)&lt;Resumen!$C$4+30,"Caduca pronto","OK"))))))</f>
        <v/>
      </c>
      <c r="P104" s="26" t="str">
        <f aca="false">IF(OR($A104="",P$4=""),"",IF(NOT(OR(P$6="Toda la plantilla",ISNUMBER(SEARCH(";"&amp;SUBSTITUTE($C104," ","")&amp;";",";"&amp;SUBSTITUTE(P$7," ","")&amp;";")))),"—",IF(_xlfn.MAXIFS(Acuses!$C$5:$C$3004,Acuses!$A$5:$A$3004,$A104,Acuses!$B$5:$B$3004,P$4)&lt;P$5,"Pendiente",IF(P$8=0,"OK",IF(EDATE(_xlfn.MAXIFS(Acuses!$D$5:$D$3004,Acuses!$A$5:$A$3004,$A104,Acuses!$B$5:$B$3004,P$4,Acuses!$C$5:$C$3004,P$5),P$8)&lt;Resumen!$C$4,"Caducado",IF(EDATE(_xlfn.MAXIFS(Acuses!$D$5:$D$3004,Acuses!$A$5:$A$3004,$A104,Acuses!$B$5:$B$3004,P$4,Acuses!$C$5:$C$3004,P$5),P$8)&lt;Resumen!$C$4+30,"Caduca pronto","OK"))))))</f>
        <v/>
      </c>
      <c r="Q104" s="26" t="str">
        <f aca="false">IF(OR($A104="",Q$4=""),"",IF(NOT(OR(Q$6="Toda la plantilla",ISNUMBER(SEARCH(";"&amp;SUBSTITUTE($C104," ","")&amp;";",";"&amp;SUBSTITUTE(Q$7," ","")&amp;";")))),"—",IF(_xlfn.MAXIFS(Acuses!$C$5:$C$3004,Acuses!$A$5:$A$3004,$A104,Acuses!$B$5:$B$3004,Q$4)&lt;Q$5,"Pendiente",IF(Q$8=0,"OK",IF(EDATE(_xlfn.MAXIFS(Acuses!$D$5:$D$3004,Acuses!$A$5:$A$3004,$A104,Acuses!$B$5:$B$3004,Q$4,Acuses!$C$5:$C$3004,Q$5),Q$8)&lt;Resumen!$C$4,"Caducado",IF(EDATE(_xlfn.MAXIFS(Acuses!$D$5:$D$3004,Acuses!$A$5:$A$3004,$A104,Acuses!$B$5:$B$3004,Q$4,Acuses!$C$5:$C$3004,Q$5),Q$8)&lt;Resumen!$C$4+30,"Caduca pronto","OK"))))))</f>
        <v/>
      </c>
      <c r="R104" s="26" t="str">
        <f aca="false">IF(OR($A104="",R$4=""),"",IF(NOT(OR(R$6="Toda la plantilla",ISNUMBER(SEARCH(";"&amp;SUBSTITUTE($C104," ","")&amp;";",";"&amp;SUBSTITUTE(R$7," ","")&amp;";")))),"—",IF(_xlfn.MAXIFS(Acuses!$C$5:$C$3004,Acuses!$A$5:$A$3004,$A104,Acuses!$B$5:$B$3004,R$4)&lt;R$5,"Pendiente",IF(R$8=0,"OK",IF(EDATE(_xlfn.MAXIFS(Acuses!$D$5:$D$3004,Acuses!$A$5:$A$3004,$A104,Acuses!$B$5:$B$3004,R$4,Acuses!$C$5:$C$3004,R$5),R$8)&lt;Resumen!$C$4,"Caducado",IF(EDATE(_xlfn.MAXIFS(Acuses!$D$5:$D$3004,Acuses!$A$5:$A$3004,$A104,Acuses!$B$5:$B$3004,R$4,Acuses!$C$5:$C$3004,R$5),R$8)&lt;Resumen!$C$4+30,"Caduca pronto","OK"))))))</f>
        <v/>
      </c>
      <c r="S104" s="26" t="str">
        <f aca="false">IF(OR($A104="",S$4=""),"",IF(NOT(OR(S$6="Toda la plantilla",ISNUMBER(SEARCH(";"&amp;SUBSTITUTE($C104," ","")&amp;";",";"&amp;SUBSTITUTE(S$7," ","")&amp;";")))),"—",IF(_xlfn.MAXIFS(Acuses!$C$5:$C$3004,Acuses!$A$5:$A$3004,$A104,Acuses!$B$5:$B$3004,S$4)&lt;S$5,"Pendiente",IF(S$8=0,"OK",IF(EDATE(_xlfn.MAXIFS(Acuses!$D$5:$D$3004,Acuses!$A$5:$A$3004,$A104,Acuses!$B$5:$B$3004,S$4,Acuses!$C$5:$C$3004,S$5),S$8)&lt;Resumen!$C$4,"Caducado",IF(EDATE(_xlfn.MAXIFS(Acuses!$D$5:$D$3004,Acuses!$A$5:$A$3004,$A104,Acuses!$B$5:$B$3004,S$4,Acuses!$C$5:$C$3004,S$5),S$8)&lt;Resumen!$C$4+30,"Caduca pronto","OK"))))))</f>
        <v/>
      </c>
      <c r="T104" s="26" t="str">
        <f aca="false">IF(OR($A104="",T$4=""),"",IF(NOT(OR(T$6="Toda la plantilla",ISNUMBER(SEARCH(";"&amp;SUBSTITUTE($C104," ","")&amp;";",";"&amp;SUBSTITUTE(T$7," ","")&amp;";")))),"—",IF(_xlfn.MAXIFS(Acuses!$C$5:$C$3004,Acuses!$A$5:$A$3004,$A104,Acuses!$B$5:$B$3004,T$4)&lt;T$5,"Pendiente",IF(T$8=0,"OK",IF(EDATE(_xlfn.MAXIFS(Acuses!$D$5:$D$3004,Acuses!$A$5:$A$3004,$A104,Acuses!$B$5:$B$3004,T$4,Acuses!$C$5:$C$3004,T$5),T$8)&lt;Resumen!$C$4,"Caducado",IF(EDATE(_xlfn.MAXIFS(Acuses!$D$5:$D$3004,Acuses!$A$5:$A$3004,$A104,Acuses!$B$5:$B$3004,T$4,Acuses!$C$5:$C$3004,T$5),T$8)&lt;Resumen!$C$4+30,"Caduca pronto","OK"))))))</f>
        <v/>
      </c>
      <c r="U104" s="26" t="str">
        <f aca="false">IF(OR($A104="",U$4=""),"",IF(NOT(OR(U$6="Toda la plantilla",ISNUMBER(SEARCH(";"&amp;SUBSTITUTE($C104," ","")&amp;";",";"&amp;SUBSTITUTE(U$7," ","")&amp;";")))),"—",IF(_xlfn.MAXIFS(Acuses!$C$5:$C$3004,Acuses!$A$5:$A$3004,$A104,Acuses!$B$5:$B$3004,U$4)&lt;U$5,"Pendiente",IF(U$8=0,"OK",IF(EDATE(_xlfn.MAXIFS(Acuses!$D$5:$D$3004,Acuses!$A$5:$A$3004,$A104,Acuses!$B$5:$B$3004,U$4,Acuses!$C$5:$C$3004,U$5),U$8)&lt;Resumen!$C$4,"Caducado",IF(EDATE(_xlfn.MAXIFS(Acuses!$D$5:$D$3004,Acuses!$A$5:$A$3004,$A104,Acuses!$B$5:$B$3004,U$4,Acuses!$C$5:$C$3004,U$5),U$8)&lt;Resumen!$C$4+30,"Caduca pronto","OK"))))))</f>
        <v/>
      </c>
      <c r="V104" s="26" t="str">
        <f aca="false">IF(OR($A104="",V$4=""),"",IF(NOT(OR(V$6="Toda la plantilla",ISNUMBER(SEARCH(";"&amp;SUBSTITUTE($C104," ","")&amp;";",";"&amp;SUBSTITUTE(V$7," ","")&amp;";")))),"—",IF(_xlfn.MAXIFS(Acuses!$C$5:$C$3004,Acuses!$A$5:$A$3004,$A104,Acuses!$B$5:$B$3004,V$4)&lt;V$5,"Pendiente",IF(V$8=0,"OK",IF(EDATE(_xlfn.MAXIFS(Acuses!$D$5:$D$3004,Acuses!$A$5:$A$3004,$A104,Acuses!$B$5:$B$3004,V$4,Acuses!$C$5:$C$3004,V$5),V$8)&lt;Resumen!$C$4,"Caducado",IF(EDATE(_xlfn.MAXIFS(Acuses!$D$5:$D$3004,Acuses!$A$5:$A$3004,$A104,Acuses!$B$5:$B$3004,V$4,Acuses!$C$5:$C$3004,V$5),V$8)&lt;Resumen!$C$4+30,"Caduca pronto","OK"))))))</f>
        <v/>
      </c>
      <c r="W104" s="26" t="str">
        <f aca="false">IF(OR($A104="",W$4=""),"",IF(NOT(OR(W$6="Toda la plantilla",ISNUMBER(SEARCH(";"&amp;SUBSTITUTE($C104," ","")&amp;";",";"&amp;SUBSTITUTE(W$7," ","")&amp;";")))),"—",IF(_xlfn.MAXIFS(Acuses!$C$5:$C$3004,Acuses!$A$5:$A$3004,$A104,Acuses!$B$5:$B$3004,W$4)&lt;W$5,"Pendiente",IF(W$8=0,"OK",IF(EDATE(_xlfn.MAXIFS(Acuses!$D$5:$D$3004,Acuses!$A$5:$A$3004,$A104,Acuses!$B$5:$B$3004,W$4,Acuses!$C$5:$C$3004,W$5),W$8)&lt;Resumen!$C$4,"Caducado",IF(EDATE(_xlfn.MAXIFS(Acuses!$D$5:$D$3004,Acuses!$A$5:$A$3004,$A104,Acuses!$B$5:$B$3004,W$4,Acuses!$C$5:$C$3004,W$5),W$8)&lt;Resumen!$C$4+30,"Caduca pronto","OK"))))))</f>
        <v/>
      </c>
      <c r="X104" s="26" t="str">
        <f aca="false">IF(OR($A104="",X$4=""),"",IF(NOT(OR(X$6="Toda la plantilla",ISNUMBER(SEARCH(";"&amp;SUBSTITUTE($C104," ","")&amp;";",";"&amp;SUBSTITUTE(X$7," ","")&amp;";")))),"—",IF(_xlfn.MAXIFS(Acuses!$C$5:$C$3004,Acuses!$A$5:$A$3004,$A104,Acuses!$B$5:$B$3004,X$4)&lt;X$5,"Pendiente",IF(X$8=0,"OK",IF(EDATE(_xlfn.MAXIFS(Acuses!$D$5:$D$3004,Acuses!$A$5:$A$3004,$A104,Acuses!$B$5:$B$3004,X$4,Acuses!$C$5:$C$3004,X$5),X$8)&lt;Resumen!$C$4,"Caducado",IF(EDATE(_xlfn.MAXIFS(Acuses!$D$5:$D$3004,Acuses!$A$5:$A$3004,$A104,Acuses!$B$5:$B$3004,X$4,Acuses!$C$5:$C$3004,X$5),X$8)&lt;Resumen!$C$4+30,"Caduca pronto","OK"))))))</f>
        <v/>
      </c>
      <c r="Y104" s="26" t="str">
        <f aca="false">IF(OR($A104="",Y$4=""),"",IF(NOT(OR(Y$6="Toda la plantilla",ISNUMBER(SEARCH(";"&amp;SUBSTITUTE($C104," ","")&amp;";",";"&amp;SUBSTITUTE(Y$7," ","")&amp;";")))),"—",IF(_xlfn.MAXIFS(Acuses!$C$5:$C$3004,Acuses!$A$5:$A$3004,$A104,Acuses!$B$5:$B$3004,Y$4)&lt;Y$5,"Pendiente",IF(Y$8=0,"OK",IF(EDATE(_xlfn.MAXIFS(Acuses!$D$5:$D$3004,Acuses!$A$5:$A$3004,$A104,Acuses!$B$5:$B$3004,Y$4,Acuses!$C$5:$C$3004,Y$5),Y$8)&lt;Resumen!$C$4,"Caducado",IF(EDATE(_xlfn.MAXIFS(Acuses!$D$5:$D$3004,Acuses!$A$5:$A$3004,$A104,Acuses!$B$5:$B$3004,Y$4,Acuses!$C$5:$C$3004,Y$5),Y$8)&lt;Resumen!$C$4+30,"Caduca pronto","OK"))))))</f>
        <v/>
      </c>
      <c r="Z104" s="26" t="str">
        <f aca="false">IF(OR($A104="",Z$4=""),"",IF(NOT(OR(Z$6="Toda la plantilla",ISNUMBER(SEARCH(";"&amp;SUBSTITUTE($C104," ","")&amp;";",";"&amp;SUBSTITUTE(Z$7," ","")&amp;";")))),"—",IF(_xlfn.MAXIFS(Acuses!$C$5:$C$3004,Acuses!$A$5:$A$3004,$A104,Acuses!$B$5:$B$3004,Z$4)&lt;Z$5,"Pendiente",IF(Z$8=0,"OK",IF(EDATE(_xlfn.MAXIFS(Acuses!$D$5:$D$3004,Acuses!$A$5:$A$3004,$A104,Acuses!$B$5:$B$3004,Z$4,Acuses!$C$5:$C$3004,Z$5),Z$8)&lt;Resumen!$C$4,"Caducado",IF(EDATE(_xlfn.MAXIFS(Acuses!$D$5:$D$3004,Acuses!$A$5:$A$3004,$A104,Acuses!$B$5:$B$3004,Z$4,Acuses!$C$5:$C$3004,Z$5),Z$8)&lt;Resumen!$C$4+30,"Caduca pronto","OK"))))))</f>
        <v/>
      </c>
      <c r="AA104" s="26" t="str">
        <f aca="false">IF(OR($A104="",AA$4=""),"",IF(NOT(OR(AA$6="Toda la plantilla",ISNUMBER(SEARCH(";"&amp;SUBSTITUTE($C104," ","")&amp;";",";"&amp;SUBSTITUTE(AA$7," ","")&amp;";")))),"—",IF(_xlfn.MAXIFS(Acuses!$C$5:$C$3004,Acuses!$A$5:$A$3004,$A104,Acuses!$B$5:$B$3004,AA$4)&lt;AA$5,"Pendiente",IF(AA$8=0,"OK",IF(EDATE(_xlfn.MAXIFS(Acuses!$D$5:$D$3004,Acuses!$A$5:$A$3004,$A104,Acuses!$B$5:$B$3004,AA$4,Acuses!$C$5:$C$3004,AA$5),AA$8)&lt;Resumen!$C$4,"Caducado",IF(EDATE(_xlfn.MAXIFS(Acuses!$D$5:$D$3004,Acuses!$A$5:$A$3004,$A104,Acuses!$B$5:$B$3004,AA$4,Acuses!$C$5:$C$3004,AA$5),AA$8)&lt;Resumen!$C$4+30,"Caduca pronto","OK"))))))</f>
        <v/>
      </c>
      <c r="AB104" s="26" t="str">
        <f aca="false">IF(OR($A104="",AB$4=""),"",IF(NOT(OR(AB$6="Toda la plantilla",ISNUMBER(SEARCH(";"&amp;SUBSTITUTE($C104," ","")&amp;";",";"&amp;SUBSTITUTE(AB$7," ","")&amp;";")))),"—",IF(_xlfn.MAXIFS(Acuses!$C$5:$C$3004,Acuses!$A$5:$A$3004,$A104,Acuses!$B$5:$B$3004,AB$4)&lt;AB$5,"Pendiente",IF(AB$8=0,"OK",IF(EDATE(_xlfn.MAXIFS(Acuses!$D$5:$D$3004,Acuses!$A$5:$A$3004,$A104,Acuses!$B$5:$B$3004,AB$4,Acuses!$C$5:$C$3004,AB$5),AB$8)&lt;Resumen!$C$4,"Caducado",IF(EDATE(_xlfn.MAXIFS(Acuses!$D$5:$D$3004,Acuses!$A$5:$A$3004,$A104,Acuses!$B$5:$B$3004,AB$4,Acuses!$C$5:$C$3004,AB$5),AB$8)&lt;Resumen!$C$4+30,"Caduca pronto","OK"))))))</f>
        <v/>
      </c>
      <c r="AC104" s="26" t="str">
        <f aca="false">IF(OR($A104="",AC$4=""),"",IF(NOT(OR(AC$6="Toda la plantilla",ISNUMBER(SEARCH(";"&amp;SUBSTITUTE($C104," ","")&amp;";",";"&amp;SUBSTITUTE(AC$7," ","")&amp;";")))),"—",IF(_xlfn.MAXIFS(Acuses!$C$5:$C$3004,Acuses!$A$5:$A$3004,$A104,Acuses!$B$5:$B$3004,AC$4)&lt;AC$5,"Pendiente",IF(AC$8=0,"OK",IF(EDATE(_xlfn.MAXIFS(Acuses!$D$5:$D$3004,Acuses!$A$5:$A$3004,$A104,Acuses!$B$5:$B$3004,AC$4,Acuses!$C$5:$C$3004,AC$5),AC$8)&lt;Resumen!$C$4,"Caducado",IF(EDATE(_xlfn.MAXIFS(Acuses!$D$5:$D$3004,Acuses!$A$5:$A$3004,$A104,Acuses!$B$5:$B$3004,AC$4,Acuses!$C$5:$C$3004,AC$5),AC$8)&lt;Resumen!$C$4+30,"Caduca pronto","OK"))))))</f>
        <v/>
      </c>
      <c r="AD104" s="26" t="str">
        <f aca="false">IF(OR($A104="",AD$4=""),"",IF(NOT(OR(AD$6="Toda la plantilla",ISNUMBER(SEARCH(";"&amp;SUBSTITUTE($C104," ","")&amp;";",";"&amp;SUBSTITUTE(AD$7," ","")&amp;";")))),"—",IF(_xlfn.MAXIFS(Acuses!$C$5:$C$3004,Acuses!$A$5:$A$3004,$A104,Acuses!$B$5:$B$3004,AD$4)&lt;AD$5,"Pendiente",IF(AD$8=0,"OK",IF(EDATE(_xlfn.MAXIFS(Acuses!$D$5:$D$3004,Acuses!$A$5:$A$3004,$A104,Acuses!$B$5:$B$3004,AD$4,Acuses!$C$5:$C$3004,AD$5),AD$8)&lt;Resumen!$C$4,"Caducado",IF(EDATE(_xlfn.MAXIFS(Acuses!$D$5:$D$3004,Acuses!$A$5:$A$3004,$A104,Acuses!$B$5:$B$3004,AD$4,Acuses!$C$5:$C$3004,AD$5),AD$8)&lt;Resumen!$C$4+30,"Caduca pronto","OK"))))))</f>
        <v/>
      </c>
      <c r="AE104" s="26" t="str">
        <f aca="false">IF(OR($A104="",AE$4=""),"",IF(NOT(OR(AE$6="Toda la plantilla",ISNUMBER(SEARCH(";"&amp;SUBSTITUTE($C104," ","")&amp;";",";"&amp;SUBSTITUTE(AE$7," ","")&amp;";")))),"—",IF(_xlfn.MAXIFS(Acuses!$C$5:$C$3004,Acuses!$A$5:$A$3004,$A104,Acuses!$B$5:$B$3004,AE$4)&lt;AE$5,"Pendiente",IF(AE$8=0,"OK",IF(EDATE(_xlfn.MAXIFS(Acuses!$D$5:$D$3004,Acuses!$A$5:$A$3004,$A104,Acuses!$B$5:$B$3004,AE$4,Acuses!$C$5:$C$3004,AE$5),AE$8)&lt;Resumen!$C$4,"Caducado",IF(EDATE(_xlfn.MAXIFS(Acuses!$D$5:$D$3004,Acuses!$A$5:$A$3004,$A104,Acuses!$B$5:$B$3004,AE$4,Acuses!$C$5:$C$3004,AE$5),AE$8)&lt;Resumen!$C$4+30,"Caduca pronto","OK"))))))</f>
        <v/>
      </c>
      <c r="AF104" s="26" t="str">
        <f aca="false">IF(OR($A104="",AF$4=""),"",IF(NOT(OR(AF$6="Toda la plantilla",ISNUMBER(SEARCH(";"&amp;SUBSTITUTE($C104," ","")&amp;";",";"&amp;SUBSTITUTE(AF$7," ","")&amp;";")))),"—",IF(_xlfn.MAXIFS(Acuses!$C$5:$C$3004,Acuses!$A$5:$A$3004,$A104,Acuses!$B$5:$B$3004,AF$4)&lt;AF$5,"Pendiente",IF(AF$8=0,"OK",IF(EDATE(_xlfn.MAXIFS(Acuses!$D$5:$D$3004,Acuses!$A$5:$A$3004,$A104,Acuses!$B$5:$B$3004,AF$4,Acuses!$C$5:$C$3004,AF$5),AF$8)&lt;Resumen!$C$4,"Caducado",IF(EDATE(_xlfn.MAXIFS(Acuses!$D$5:$D$3004,Acuses!$A$5:$A$3004,$A104,Acuses!$B$5:$B$3004,AF$4,Acuses!$C$5:$C$3004,AF$5),AF$8)&lt;Resumen!$C$4+30,"Caduca pronto","OK"))))))</f>
        <v/>
      </c>
      <c r="AG104" s="26" t="str">
        <f aca="false">IF(OR($A104="",AG$4=""),"",IF(NOT(OR(AG$6="Toda la plantilla",ISNUMBER(SEARCH(";"&amp;SUBSTITUTE($C104," ","")&amp;";",";"&amp;SUBSTITUTE(AG$7," ","")&amp;";")))),"—",IF(_xlfn.MAXIFS(Acuses!$C$5:$C$3004,Acuses!$A$5:$A$3004,$A104,Acuses!$B$5:$B$3004,AG$4)&lt;AG$5,"Pendiente",IF(AG$8=0,"OK",IF(EDATE(_xlfn.MAXIFS(Acuses!$D$5:$D$3004,Acuses!$A$5:$A$3004,$A104,Acuses!$B$5:$B$3004,AG$4,Acuses!$C$5:$C$3004,AG$5),AG$8)&lt;Resumen!$C$4,"Caducado",IF(EDATE(_xlfn.MAXIFS(Acuses!$D$5:$D$3004,Acuses!$A$5:$A$3004,$A104,Acuses!$B$5:$B$3004,AG$4,Acuses!$C$5:$C$3004,AG$5),AG$8)&lt;Resumen!$C$4+30,"Caduca pronto","OK"))))))</f>
        <v/>
      </c>
      <c r="AH104" s="26" t="str">
        <f aca="false">IF(OR($A104="",AH$4=""),"",IF(NOT(OR(AH$6="Toda la plantilla",ISNUMBER(SEARCH(";"&amp;SUBSTITUTE($C104," ","")&amp;";",";"&amp;SUBSTITUTE(AH$7," ","")&amp;";")))),"—",IF(_xlfn.MAXIFS(Acuses!$C$5:$C$3004,Acuses!$A$5:$A$3004,$A104,Acuses!$B$5:$B$3004,AH$4)&lt;AH$5,"Pendiente",IF(AH$8=0,"OK",IF(EDATE(_xlfn.MAXIFS(Acuses!$D$5:$D$3004,Acuses!$A$5:$A$3004,$A104,Acuses!$B$5:$B$3004,AH$4,Acuses!$C$5:$C$3004,AH$5),AH$8)&lt;Resumen!$C$4,"Caducado",IF(EDATE(_xlfn.MAXIFS(Acuses!$D$5:$D$3004,Acuses!$A$5:$A$3004,$A104,Acuses!$B$5:$B$3004,AH$4,Acuses!$C$5:$C$3004,AH$5),AH$8)&lt;Resumen!$C$4+30,"Caduca pronto","OK"))))))</f>
        <v/>
      </c>
      <c r="AI104" s="26" t="str">
        <f aca="false">IF(OR($A104="",AI$4=""),"",IF(NOT(OR(AI$6="Toda la plantilla",ISNUMBER(SEARCH(";"&amp;SUBSTITUTE($C104," ","")&amp;";",";"&amp;SUBSTITUTE(AI$7," ","")&amp;";")))),"—",IF(_xlfn.MAXIFS(Acuses!$C$5:$C$3004,Acuses!$A$5:$A$3004,$A104,Acuses!$B$5:$B$3004,AI$4)&lt;AI$5,"Pendiente",IF(AI$8=0,"OK",IF(EDATE(_xlfn.MAXIFS(Acuses!$D$5:$D$3004,Acuses!$A$5:$A$3004,$A104,Acuses!$B$5:$B$3004,AI$4,Acuses!$C$5:$C$3004,AI$5),AI$8)&lt;Resumen!$C$4,"Caducado",IF(EDATE(_xlfn.MAXIFS(Acuses!$D$5:$D$3004,Acuses!$A$5:$A$3004,$A104,Acuses!$B$5:$B$3004,AI$4,Acuses!$C$5:$C$3004,AI$5),AI$8)&lt;Resumen!$C$4+30,"Caduca pronto","OK"))))))</f>
        <v/>
      </c>
      <c r="AJ104" s="26" t="str">
        <f aca="false">IF(OR($A104="",AJ$4=""),"",IF(NOT(OR(AJ$6="Toda la plantilla",ISNUMBER(SEARCH(";"&amp;SUBSTITUTE($C104," ","")&amp;";",";"&amp;SUBSTITUTE(AJ$7," ","")&amp;";")))),"—",IF(_xlfn.MAXIFS(Acuses!$C$5:$C$3004,Acuses!$A$5:$A$3004,$A104,Acuses!$B$5:$B$3004,AJ$4)&lt;AJ$5,"Pendiente",IF(AJ$8=0,"OK",IF(EDATE(_xlfn.MAXIFS(Acuses!$D$5:$D$3004,Acuses!$A$5:$A$3004,$A104,Acuses!$B$5:$B$3004,AJ$4,Acuses!$C$5:$C$3004,AJ$5),AJ$8)&lt;Resumen!$C$4,"Caducado",IF(EDATE(_xlfn.MAXIFS(Acuses!$D$5:$D$3004,Acuses!$A$5:$A$3004,$A104,Acuses!$B$5:$B$3004,AJ$4,Acuses!$C$5:$C$3004,AJ$5),AJ$8)&lt;Resumen!$C$4+30,"Caduca pronto","OK"))))))</f>
        <v/>
      </c>
      <c r="AK104" s="26" t="str">
        <f aca="false">IF(OR($A104="",AK$4=""),"",IF(NOT(OR(AK$6="Toda la plantilla",ISNUMBER(SEARCH(";"&amp;SUBSTITUTE($C104," ","")&amp;";",";"&amp;SUBSTITUTE(AK$7," ","")&amp;";")))),"—",IF(_xlfn.MAXIFS(Acuses!$C$5:$C$3004,Acuses!$A$5:$A$3004,$A104,Acuses!$B$5:$B$3004,AK$4)&lt;AK$5,"Pendiente",IF(AK$8=0,"OK",IF(EDATE(_xlfn.MAXIFS(Acuses!$D$5:$D$3004,Acuses!$A$5:$A$3004,$A104,Acuses!$B$5:$B$3004,AK$4,Acuses!$C$5:$C$3004,AK$5),AK$8)&lt;Resumen!$C$4,"Caducado",IF(EDATE(_xlfn.MAXIFS(Acuses!$D$5:$D$3004,Acuses!$A$5:$A$3004,$A104,Acuses!$B$5:$B$3004,AK$4,Acuses!$C$5:$C$3004,AK$5),AK$8)&lt;Resumen!$C$4+30,"Caduca pronto","OK"))))))</f>
        <v/>
      </c>
      <c r="AL104" s="26" t="str">
        <f aca="false">IF(OR($A104="",AL$4=""),"",IF(NOT(OR(AL$6="Toda la plantilla",ISNUMBER(SEARCH(";"&amp;SUBSTITUTE($C104," ","")&amp;";",";"&amp;SUBSTITUTE(AL$7," ","")&amp;";")))),"—",IF(_xlfn.MAXIFS(Acuses!$C$5:$C$3004,Acuses!$A$5:$A$3004,$A104,Acuses!$B$5:$B$3004,AL$4)&lt;AL$5,"Pendiente",IF(AL$8=0,"OK",IF(EDATE(_xlfn.MAXIFS(Acuses!$D$5:$D$3004,Acuses!$A$5:$A$3004,$A104,Acuses!$B$5:$B$3004,AL$4,Acuses!$C$5:$C$3004,AL$5),AL$8)&lt;Resumen!$C$4,"Caducado",IF(EDATE(_xlfn.MAXIFS(Acuses!$D$5:$D$3004,Acuses!$A$5:$A$3004,$A104,Acuses!$B$5:$B$3004,AL$4,Acuses!$C$5:$C$3004,AL$5),AL$8)&lt;Resumen!$C$4+30,"Caduca pronto","OK"))))))</f>
        <v/>
      </c>
      <c r="AM104" s="26" t="str">
        <f aca="false">IF(OR($A104="",AM$4=""),"",IF(NOT(OR(AM$6="Toda la plantilla",ISNUMBER(SEARCH(";"&amp;SUBSTITUTE($C104," ","")&amp;";",";"&amp;SUBSTITUTE(AM$7," ","")&amp;";")))),"—",IF(_xlfn.MAXIFS(Acuses!$C$5:$C$3004,Acuses!$A$5:$A$3004,$A104,Acuses!$B$5:$B$3004,AM$4)&lt;AM$5,"Pendiente",IF(AM$8=0,"OK",IF(EDATE(_xlfn.MAXIFS(Acuses!$D$5:$D$3004,Acuses!$A$5:$A$3004,$A104,Acuses!$B$5:$B$3004,AM$4,Acuses!$C$5:$C$3004,AM$5),AM$8)&lt;Resumen!$C$4,"Caducado",IF(EDATE(_xlfn.MAXIFS(Acuses!$D$5:$D$3004,Acuses!$A$5:$A$3004,$A104,Acuses!$B$5:$B$3004,AM$4,Acuses!$C$5:$C$3004,AM$5),AM$8)&lt;Resumen!$C$4+30,"Caduca pronto","OK"))))))</f>
        <v/>
      </c>
      <c r="AN104" s="26" t="str">
        <f aca="false">IF(OR($A104="",AN$4=""),"",IF(NOT(OR(AN$6="Toda la plantilla",ISNUMBER(SEARCH(";"&amp;SUBSTITUTE($C104," ","")&amp;";",";"&amp;SUBSTITUTE(AN$7," ","")&amp;";")))),"—",IF(_xlfn.MAXIFS(Acuses!$C$5:$C$3004,Acuses!$A$5:$A$3004,$A104,Acuses!$B$5:$B$3004,AN$4)&lt;AN$5,"Pendiente",IF(AN$8=0,"OK",IF(EDATE(_xlfn.MAXIFS(Acuses!$D$5:$D$3004,Acuses!$A$5:$A$3004,$A104,Acuses!$B$5:$B$3004,AN$4,Acuses!$C$5:$C$3004,AN$5),AN$8)&lt;Resumen!$C$4,"Caducado",IF(EDATE(_xlfn.MAXIFS(Acuses!$D$5:$D$3004,Acuses!$A$5:$A$3004,$A104,Acuses!$B$5:$B$3004,AN$4,Acuses!$C$5:$C$3004,AN$5),AN$8)&lt;Resumen!$C$4+30,"Caduca pronto","OK"))))))</f>
        <v/>
      </c>
      <c r="AO104" s="26" t="str">
        <f aca="false">IF(OR($A104="",AO$4=""),"",IF(NOT(OR(AO$6="Toda la plantilla",ISNUMBER(SEARCH(";"&amp;SUBSTITUTE($C104," ","")&amp;";",";"&amp;SUBSTITUTE(AO$7," ","")&amp;";")))),"—",IF(_xlfn.MAXIFS(Acuses!$C$5:$C$3004,Acuses!$A$5:$A$3004,$A104,Acuses!$B$5:$B$3004,AO$4)&lt;AO$5,"Pendiente",IF(AO$8=0,"OK",IF(EDATE(_xlfn.MAXIFS(Acuses!$D$5:$D$3004,Acuses!$A$5:$A$3004,$A104,Acuses!$B$5:$B$3004,AO$4,Acuses!$C$5:$C$3004,AO$5),AO$8)&lt;Resumen!$C$4,"Caducado",IF(EDATE(_xlfn.MAXIFS(Acuses!$D$5:$D$3004,Acuses!$A$5:$A$3004,$A104,Acuses!$B$5:$B$3004,AO$4,Acuses!$C$5:$C$3004,AO$5),AO$8)&lt;Resumen!$C$4+30,"Caduca pronto","OK"))))))</f>
        <v/>
      </c>
      <c r="AP104" s="26" t="str">
        <f aca="false">IF(OR($A104="",AP$4=""),"",IF(NOT(OR(AP$6="Toda la plantilla",ISNUMBER(SEARCH(";"&amp;SUBSTITUTE($C104," ","")&amp;";",";"&amp;SUBSTITUTE(AP$7," ","")&amp;";")))),"—",IF(_xlfn.MAXIFS(Acuses!$C$5:$C$3004,Acuses!$A$5:$A$3004,$A104,Acuses!$B$5:$B$3004,AP$4)&lt;AP$5,"Pendiente",IF(AP$8=0,"OK",IF(EDATE(_xlfn.MAXIFS(Acuses!$D$5:$D$3004,Acuses!$A$5:$A$3004,$A104,Acuses!$B$5:$B$3004,AP$4,Acuses!$C$5:$C$3004,AP$5),AP$8)&lt;Resumen!$C$4,"Caducado",IF(EDATE(_xlfn.MAXIFS(Acuses!$D$5:$D$3004,Acuses!$A$5:$A$3004,$A104,Acuses!$B$5:$B$3004,AP$4,Acuses!$C$5:$C$3004,AP$5),AP$8)&lt;Resumen!$C$4+30,"Caduca pronto","OK"))))))</f>
        <v/>
      </c>
      <c r="AQ104" s="26" t="str">
        <f aca="false">IF(OR($A104="",AQ$4=""),"",IF(NOT(OR(AQ$6="Toda la plantilla",ISNUMBER(SEARCH(";"&amp;SUBSTITUTE($C104," ","")&amp;";",";"&amp;SUBSTITUTE(AQ$7," ","")&amp;";")))),"—",IF(_xlfn.MAXIFS(Acuses!$C$5:$C$3004,Acuses!$A$5:$A$3004,$A104,Acuses!$B$5:$B$3004,AQ$4)&lt;AQ$5,"Pendiente",IF(AQ$8=0,"OK",IF(EDATE(_xlfn.MAXIFS(Acuses!$D$5:$D$3004,Acuses!$A$5:$A$3004,$A104,Acuses!$B$5:$B$3004,AQ$4,Acuses!$C$5:$C$3004,AQ$5),AQ$8)&lt;Resumen!$C$4,"Caducado",IF(EDATE(_xlfn.MAXIFS(Acuses!$D$5:$D$3004,Acuses!$A$5:$A$3004,$A104,Acuses!$B$5:$B$3004,AQ$4,Acuses!$C$5:$C$3004,AQ$5),AQ$8)&lt;Resumen!$C$4+30,"Caduca pronto","OK"))))))</f>
        <v/>
      </c>
    </row>
    <row r="105" customFormat="false" ht="15" hidden="false" customHeight="false" outlineLevel="0" collapsed="false">
      <c r="A105" s="25" t="str">
        <f aca="false">IF(AND(Trabajadores!$A$100&lt;&gt;"",Trabajadores!$G$100&lt;&gt;"No"),Trabajadores!$A$100,"")</f>
        <v/>
      </c>
      <c r="B105" s="25" t="str">
        <f aca="false">IF($A105="","",Trabajadores!$B$100)</f>
        <v/>
      </c>
      <c r="C105" s="25" t="str">
        <f aca="false">IF($A105="","",Trabajadores!$C$100)</f>
        <v/>
      </c>
      <c r="D105" s="26" t="str">
        <f aca="false">IF(OR($A105="",D$4=""),"",IF(NOT(OR(D$6="Toda la plantilla",ISNUMBER(SEARCH(";"&amp;SUBSTITUTE($C105," ","")&amp;";",";"&amp;SUBSTITUTE(D$7," ","")&amp;";")))),"—",IF(_xlfn.MAXIFS(Acuses!$C$5:$C$3004,Acuses!$A$5:$A$3004,$A105,Acuses!$B$5:$B$3004,D$4)&lt;D$5,"Pendiente",IF(D$8=0,"OK",IF(EDATE(_xlfn.MAXIFS(Acuses!$D$5:$D$3004,Acuses!$A$5:$A$3004,$A105,Acuses!$B$5:$B$3004,D$4,Acuses!$C$5:$C$3004,D$5),D$8)&lt;Resumen!$C$4,"Caducado",IF(EDATE(_xlfn.MAXIFS(Acuses!$D$5:$D$3004,Acuses!$A$5:$A$3004,$A105,Acuses!$B$5:$B$3004,D$4,Acuses!$C$5:$C$3004,D$5),D$8)&lt;Resumen!$C$4+30,"Caduca pronto","OK"))))))</f>
        <v/>
      </c>
      <c r="E105" s="26" t="str">
        <f aca="false">IF(OR($A105="",E$4=""),"",IF(NOT(OR(E$6="Toda la plantilla",ISNUMBER(SEARCH(";"&amp;SUBSTITUTE($C105," ","")&amp;";",";"&amp;SUBSTITUTE(E$7," ","")&amp;";")))),"—",IF(_xlfn.MAXIFS(Acuses!$C$5:$C$3004,Acuses!$A$5:$A$3004,$A105,Acuses!$B$5:$B$3004,E$4)&lt;E$5,"Pendiente",IF(E$8=0,"OK",IF(EDATE(_xlfn.MAXIFS(Acuses!$D$5:$D$3004,Acuses!$A$5:$A$3004,$A105,Acuses!$B$5:$B$3004,E$4,Acuses!$C$5:$C$3004,E$5),E$8)&lt;Resumen!$C$4,"Caducado",IF(EDATE(_xlfn.MAXIFS(Acuses!$D$5:$D$3004,Acuses!$A$5:$A$3004,$A105,Acuses!$B$5:$B$3004,E$4,Acuses!$C$5:$C$3004,E$5),E$8)&lt;Resumen!$C$4+30,"Caduca pronto","OK"))))))</f>
        <v/>
      </c>
      <c r="F105" s="26" t="str">
        <f aca="false">IF(OR($A105="",F$4=""),"",IF(NOT(OR(F$6="Toda la plantilla",ISNUMBER(SEARCH(";"&amp;SUBSTITUTE($C105," ","")&amp;";",";"&amp;SUBSTITUTE(F$7," ","")&amp;";")))),"—",IF(_xlfn.MAXIFS(Acuses!$C$5:$C$3004,Acuses!$A$5:$A$3004,$A105,Acuses!$B$5:$B$3004,F$4)&lt;F$5,"Pendiente",IF(F$8=0,"OK",IF(EDATE(_xlfn.MAXIFS(Acuses!$D$5:$D$3004,Acuses!$A$5:$A$3004,$A105,Acuses!$B$5:$B$3004,F$4,Acuses!$C$5:$C$3004,F$5),F$8)&lt;Resumen!$C$4,"Caducado",IF(EDATE(_xlfn.MAXIFS(Acuses!$D$5:$D$3004,Acuses!$A$5:$A$3004,$A105,Acuses!$B$5:$B$3004,F$4,Acuses!$C$5:$C$3004,F$5),F$8)&lt;Resumen!$C$4+30,"Caduca pronto","OK"))))))</f>
        <v/>
      </c>
      <c r="G105" s="26" t="str">
        <f aca="false">IF(OR($A105="",G$4=""),"",IF(NOT(OR(G$6="Toda la plantilla",ISNUMBER(SEARCH(";"&amp;SUBSTITUTE($C105," ","")&amp;";",";"&amp;SUBSTITUTE(G$7," ","")&amp;";")))),"—",IF(_xlfn.MAXIFS(Acuses!$C$5:$C$3004,Acuses!$A$5:$A$3004,$A105,Acuses!$B$5:$B$3004,G$4)&lt;G$5,"Pendiente",IF(G$8=0,"OK",IF(EDATE(_xlfn.MAXIFS(Acuses!$D$5:$D$3004,Acuses!$A$5:$A$3004,$A105,Acuses!$B$5:$B$3004,G$4,Acuses!$C$5:$C$3004,G$5),G$8)&lt;Resumen!$C$4,"Caducado",IF(EDATE(_xlfn.MAXIFS(Acuses!$D$5:$D$3004,Acuses!$A$5:$A$3004,$A105,Acuses!$B$5:$B$3004,G$4,Acuses!$C$5:$C$3004,G$5),G$8)&lt;Resumen!$C$4+30,"Caduca pronto","OK"))))))</f>
        <v/>
      </c>
      <c r="H105" s="26" t="str">
        <f aca="false">IF(OR($A105="",H$4=""),"",IF(NOT(OR(H$6="Toda la plantilla",ISNUMBER(SEARCH(";"&amp;SUBSTITUTE($C105," ","")&amp;";",";"&amp;SUBSTITUTE(H$7," ","")&amp;";")))),"—",IF(_xlfn.MAXIFS(Acuses!$C$5:$C$3004,Acuses!$A$5:$A$3004,$A105,Acuses!$B$5:$B$3004,H$4)&lt;H$5,"Pendiente",IF(H$8=0,"OK",IF(EDATE(_xlfn.MAXIFS(Acuses!$D$5:$D$3004,Acuses!$A$5:$A$3004,$A105,Acuses!$B$5:$B$3004,H$4,Acuses!$C$5:$C$3004,H$5),H$8)&lt;Resumen!$C$4,"Caducado",IF(EDATE(_xlfn.MAXIFS(Acuses!$D$5:$D$3004,Acuses!$A$5:$A$3004,$A105,Acuses!$B$5:$B$3004,H$4,Acuses!$C$5:$C$3004,H$5),H$8)&lt;Resumen!$C$4+30,"Caduca pronto","OK"))))))</f>
        <v/>
      </c>
      <c r="I105" s="26" t="str">
        <f aca="false">IF(OR($A105="",I$4=""),"",IF(NOT(OR(I$6="Toda la plantilla",ISNUMBER(SEARCH(";"&amp;SUBSTITUTE($C105," ","")&amp;";",";"&amp;SUBSTITUTE(I$7," ","")&amp;";")))),"—",IF(_xlfn.MAXIFS(Acuses!$C$5:$C$3004,Acuses!$A$5:$A$3004,$A105,Acuses!$B$5:$B$3004,I$4)&lt;I$5,"Pendiente",IF(I$8=0,"OK",IF(EDATE(_xlfn.MAXIFS(Acuses!$D$5:$D$3004,Acuses!$A$5:$A$3004,$A105,Acuses!$B$5:$B$3004,I$4,Acuses!$C$5:$C$3004,I$5),I$8)&lt;Resumen!$C$4,"Caducado",IF(EDATE(_xlfn.MAXIFS(Acuses!$D$5:$D$3004,Acuses!$A$5:$A$3004,$A105,Acuses!$B$5:$B$3004,I$4,Acuses!$C$5:$C$3004,I$5),I$8)&lt;Resumen!$C$4+30,"Caduca pronto","OK"))))))</f>
        <v/>
      </c>
      <c r="J105" s="26" t="str">
        <f aca="false">IF(OR($A105="",J$4=""),"",IF(NOT(OR(J$6="Toda la plantilla",ISNUMBER(SEARCH(";"&amp;SUBSTITUTE($C105," ","")&amp;";",";"&amp;SUBSTITUTE(J$7," ","")&amp;";")))),"—",IF(_xlfn.MAXIFS(Acuses!$C$5:$C$3004,Acuses!$A$5:$A$3004,$A105,Acuses!$B$5:$B$3004,J$4)&lt;J$5,"Pendiente",IF(J$8=0,"OK",IF(EDATE(_xlfn.MAXIFS(Acuses!$D$5:$D$3004,Acuses!$A$5:$A$3004,$A105,Acuses!$B$5:$B$3004,J$4,Acuses!$C$5:$C$3004,J$5),J$8)&lt;Resumen!$C$4,"Caducado",IF(EDATE(_xlfn.MAXIFS(Acuses!$D$5:$D$3004,Acuses!$A$5:$A$3004,$A105,Acuses!$B$5:$B$3004,J$4,Acuses!$C$5:$C$3004,J$5),J$8)&lt;Resumen!$C$4+30,"Caduca pronto","OK"))))))</f>
        <v/>
      </c>
      <c r="K105" s="26" t="str">
        <f aca="false">IF(OR($A105="",K$4=""),"",IF(NOT(OR(K$6="Toda la plantilla",ISNUMBER(SEARCH(";"&amp;SUBSTITUTE($C105," ","")&amp;";",";"&amp;SUBSTITUTE(K$7," ","")&amp;";")))),"—",IF(_xlfn.MAXIFS(Acuses!$C$5:$C$3004,Acuses!$A$5:$A$3004,$A105,Acuses!$B$5:$B$3004,K$4)&lt;K$5,"Pendiente",IF(K$8=0,"OK",IF(EDATE(_xlfn.MAXIFS(Acuses!$D$5:$D$3004,Acuses!$A$5:$A$3004,$A105,Acuses!$B$5:$B$3004,K$4,Acuses!$C$5:$C$3004,K$5),K$8)&lt;Resumen!$C$4,"Caducado",IF(EDATE(_xlfn.MAXIFS(Acuses!$D$5:$D$3004,Acuses!$A$5:$A$3004,$A105,Acuses!$B$5:$B$3004,K$4,Acuses!$C$5:$C$3004,K$5),K$8)&lt;Resumen!$C$4+30,"Caduca pronto","OK"))))))</f>
        <v/>
      </c>
      <c r="L105" s="26" t="str">
        <f aca="false">IF(OR($A105="",L$4=""),"",IF(NOT(OR(L$6="Toda la plantilla",ISNUMBER(SEARCH(";"&amp;SUBSTITUTE($C105," ","")&amp;";",";"&amp;SUBSTITUTE(L$7," ","")&amp;";")))),"—",IF(_xlfn.MAXIFS(Acuses!$C$5:$C$3004,Acuses!$A$5:$A$3004,$A105,Acuses!$B$5:$B$3004,L$4)&lt;L$5,"Pendiente",IF(L$8=0,"OK",IF(EDATE(_xlfn.MAXIFS(Acuses!$D$5:$D$3004,Acuses!$A$5:$A$3004,$A105,Acuses!$B$5:$B$3004,L$4,Acuses!$C$5:$C$3004,L$5),L$8)&lt;Resumen!$C$4,"Caducado",IF(EDATE(_xlfn.MAXIFS(Acuses!$D$5:$D$3004,Acuses!$A$5:$A$3004,$A105,Acuses!$B$5:$B$3004,L$4,Acuses!$C$5:$C$3004,L$5),L$8)&lt;Resumen!$C$4+30,"Caduca pronto","OK"))))))</f>
        <v/>
      </c>
      <c r="M105" s="26" t="str">
        <f aca="false">IF(OR($A105="",M$4=""),"",IF(NOT(OR(M$6="Toda la plantilla",ISNUMBER(SEARCH(";"&amp;SUBSTITUTE($C105," ","")&amp;";",";"&amp;SUBSTITUTE(M$7," ","")&amp;";")))),"—",IF(_xlfn.MAXIFS(Acuses!$C$5:$C$3004,Acuses!$A$5:$A$3004,$A105,Acuses!$B$5:$B$3004,M$4)&lt;M$5,"Pendiente",IF(M$8=0,"OK",IF(EDATE(_xlfn.MAXIFS(Acuses!$D$5:$D$3004,Acuses!$A$5:$A$3004,$A105,Acuses!$B$5:$B$3004,M$4,Acuses!$C$5:$C$3004,M$5),M$8)&lt;Resumen!$C$4,"Caducado",IF(EDATE(_xlfn.MAXIFS(Acuses!$D$5:$D$3004,Acuses!$A$5:$A$3004,$A105,Acuses!$B$5:$B$3004,M$4,Acuses!$C$5:$C$3004,M$5),M$8)&lt;Resumen!$C$4+30,"Caduca pronto","OK"))))))</f>
        <v/>
      </c>
      <c r="N105" s="26" t="str">
        <f aca="false">IF(OR($A105="",N$4=""),"",IF(NOT(OR(N$6="Toda la plantilla",ISNUMBER(SEARCH(";"&amp;SUBSTITUTE($C105," ","")&amp;";",";"&amp;SUBSTITUTE(N$7," ","")&amp;";")))),"—",IF(_xlfn.MAXIFS(Acuses!$C$5:$C$3004,Acuses!$A$5:$A$3004,$A105,Acuses!$B$5:$B$3004,N$4)&lt;N$5,"Pendiente",IF(N$8=0,"OK",IF(EDATE(_xlfn.MAXIFS(Acuses!$D$5:$D$3004,Acuses!$A$5:$A$3004,$A105,Acuses!$B$5:$B$3004,N$4,Acuses!$C$5:$C$3004,N$5),N$8)&lt;Resumen!$C$4,"Caducado",IF(EDATE(_xlfn.MAXIFS(Acuses!$D$5:$D$3004,Acuses!$A$5:$A$3004,$A105,Acuses!$B$5:$B$3004,N$4,Acuses!$C$5:$C$3004,N$5),N$8)&lt;Resumen!$C$4+30,"Caduca pronto","OK"))))))</f>
        <v/>
      </c>
      <c r="O105" s="26" t="str">
        <f aca="false">IF(OR($A105="",O$4=""),"",IF(NOT(OR(O$6="Toda la plantilla",ISNUMBER(SEARCH(";"&amp;SUBSTITUTE($C105," ","")&amp;";",";"&amp;SUBSTITUTE(O$7," ","")&amp;";")))),"—",IF(_xlfn.MAXIFS(Acuses!$C$5:$C$3004,Acuses!$A$5:$A$3004,$A105,Acuses!$B$5:$B$3004,O$4)&lt;O$5,"Pendiente",IF(O$8=0,"OK",IF(EDATE(_xlfn.MAXIFS(Acuses!$D$5:$D$3004,Acuses!$A$5:$A$3004,$A105,Acuses!$B$5:$B$3004,O$4,Acuses!$C$5:$C$3004,O$5),O$8)&lt;Resumen!$C$4,"Caducado",IF(EDATE(_xlfn.MAXIFS(Acuses!$D$5:$D$3004,Acuses!$A$5:$A$3004,$A105,Acuses!$B$5:$B$3004,O$4,Acuses!$C$5:$C$3004,O$5),O$8)&lt;Resumen!$C$4+30,"Caduca pronto","OK"))))))</f>
        <v/>
      </c>
      <c r="P105" s="26" t="str">
        <f aca="false">IF(OR($A105="",P$4=""),"",IF(NOT(OR(P$6="Toda la plantilla",ISNUMBER(SEARCH(";"&amp;SUBSTITUTE($C105," ","")&amp;";",";"&amp;SUBSTITUTE(P$7," ","")&amp;";")))),"—",IF(_xlfn.MAXIFS(Acuses!$C$5:$C$3004,Acuses!$A$5:$A$3004,$A105,Acuses!$B$5:$B$3004,P$4)&lt;P$5,"Pendiente",IF(P$8=0,"OK",IF(EDATE(_xlfn.MAXIFS(Acuses!$D$5:$D$3004,Acuses!$A$5:$A$3004,$A105,Acuses!$B$5:$B$3004,P$4,Acuses!$C$5:$C$3004,P$5),P$8)&lt;Resumen!$C$4,"Caducado",IF(EDATE(_xlfn.MAXIFS(Acuses!$D$5:$D$3004,Acuses!$A$5:$A$3004,$A105,Acuses!$B$5:$B$3004,P$4,Acuses!$C$5:$C$3004,P$5),P$8)&lt;Resumen!$C$4+30,"Caduca pronto","OK"))))))</f>
        <v/>
      </c>
      <c r="Q105" s="26" t="str">
        <f aca="false">IF(OR($A105="",Q$4=""),"",IF(NOT(OR(Q$6="Toda la plantilla",ISNUMBER(SEARCH(";"&amp;SUBSTITUTE($C105," ","")&amp;";",";"&amp;SUBSTITUTE(Q$7," ","")&amp;";")))),"—",IF(_xlfn.MAXIFS(Acuses!$C$5:$C$3004,Acuses!$A$5:$A$3004,$A105,Acuses!$B$5:$B$3004,Q$4)&lt;Q$5,"Pendiente",IF(Q$8=0,"OK",IF(EDATE(_xlfn.MAXIFS(Acuses!$D$5:$D$3004,Acuses!$A$5:$A$3004,$A105,Acuses!$B$5:$B$3004,Q$4,Acuses!$C$5:$C$3004,Q$5),Q$8)&lt;Resumen!$C$4,"Caducado",IF(EDATE(_xlfn.MAXIFS(Acuses!$D$5:$D$3004,Acuses!$A$5:$A$3004,$A105,Acuses!$B$5:$B$3004,Q$4,Acuses!$C$5:$C$3004,Q$5),Q$8)&lt;Resumen!$C$4+30,"Caduca pronto","OK"))))))</f>
        <v/>
      </c>
      <c r="R105" s="26" t="str">
        <f aca="false">IF(OR($A105="",R$4=""),"",IF(NOT(OR(R$6="Toda la plantilla",ISNUMBER(SEARCH(";"&amp;SUBSTITUTE($C105," ","")&amp;";",";"&amp;SUBSTITUTE(R$7," ","")&amp;";")))),"—",IF(_xlfn.MAXIFS(Acuses!$C$5:$C$3004,Acuses!$A$5:$A$3004,$A105,Acuses!$B$5:$B$3004,R$4)&lt;R$5,"Pendiente",IF(R$8=0,"OK",IF(EDATE(_xlfn.MAXIFS(Acuses!$D$5:$D$3004,Acuses!$A$5:$A$3004,$A105,Acuses!$B$5:$B$3004,R$4,Acuses!$C$5:$C$3004,R$5),R$8)&lt;Resumen!$C$4,"Caducado",IF(EDATE(_xlfn.MAXIFS(Acuses!$D$5:$D$3004,Acuses!$A$5:$A$3004,$A105,Acuses!$B$5:$B$3004,R$4,Acuses!$C$5:$C$3004,R$5),R$8)&lt;Resumen!$C$4+30,"Caduca pronto","OK"))))))</f>
        <v/>
      </c>
      <c r="S105" s="26" t="str">
        <f aca="false">IF(OR($A105="",S$4=""),"",IF(NOT(OR(S$6="Toda la plantilla",ISNUMBER(SEARCH(";"&amp;SUBSTITUTE($C105," ","")&amp;";",";"&amp;SUBSTITUTE(S$7," ","")&amp;";")))),"—",IF(_xlfn.MAXIFS(Acuses!$C$5:$C$3004,Acuses!$A$5:$A$3004,$A105,Acuses!$B$5:$B$3004,S$4)&lt;S$5,"Pendiente",IF(S$8=0,"OK",IF(EDATE(_xlfn.MAXIFS(Acuses!$D$5:$D$3004,Acuses!$A$5:$A$3004,$A105,Acuses!$B$5:$B$3004,S$4,Acuses!$C$5:$C$3004,S$5),S$8)&lt;Resumen!$C$4,"Caducado",IF(EDATE(_xlfn.MAXIFS(Acuses!$D$5:$D$3004,Acuses!$A$5:$A$3004,$A105,Acuses!$B$5:$B$3004,S$4,Acuses!$C$5:$C$3004,S$5),S$8)&lt;Resumen!$C$4+30,"Caduca pronto","OK"))))))</f>
        <v/>
      </c>
      <c r="T105" s="26" t="str">
        <f aca="false">IF(OR($A105="",T$4=""),"",IF(NOT(OR(T$6="Toda la plantilla",ISNUMBER(SEARCH(";"&amp;SUBSTITUTE($C105," ","")&amp;";",";"&amp;SUBSTITUTE(T$7," ","")&amp;";")))),"—",IF(_xlfn.MAXIFS(Acuses!$C$5:$C$3004,Acuses!$A$5:$A$3004,$A105,Acuses!$B$5:$B$3004,T$4)&lt;T$5,"Pendiente",IF(T$8=0,"OK",IF(EDATE(_xlfn.MAXIFS(Acuses!$D$5:$D$3004,Acuses!$A$5:$A$3004,$A105,Acuses!$B$5:$B$3004,T$4,Acuses!$C$5:$C$3004,T$5),T$8)&lt;Resumen!$C$4,"Caducado",IF(EDATE(_xlfn.MAXIFS(Acuses!$D$5:$D$3004,Acuses!$A$5:$A$3004,$A105,Acuses!$B$5:$B$3004,T$4,Acuses!$C$5:$C$3004,T$5),T$8)&lt;Resumen!$C$4+30,"Caduca pronto","OK"))))))</f>
        <v/>
      </c>
      <c r="U105" s="26" t="str">
        <f aca="false">IF(OR($A105="",U$4=""),"",IF(NOT(OR(U$6="Toda la plantilla",ISNUMBER(SEARCH(";"&amp;SUBSTITUTE($C105," ","")&amp;";",";"&amp;SUBSTITUTE(U$7," ","")&amp;";")))),"—",IF(_xlfn.MAXIFS(Acuses!$C$5:$C$3004,Acuses!$A$5:$A$3004,$A105,Acuses!$B$5:$B$3004,U$4)&lt;U$5,"Pendiente",IF(U$8=0,"OK",IF(EDATE(_xlfn.MAXIFS(Acuses!$D$5:$D$3004,Acuses!$A$5:$A$3004,$A105,Acuses!$B$5:$B$3004,U$4,Acuses!$C$5:$C$3004,U$5),U$8)&lt;Resumen!$C$4,"Caducado",IF(EDATE(_xlfn.MAXIFS(Acuses!$D$5:$D$3004,Acuses!$A$5:$A$3004,$A105,Acuses!$B$5:$B$3004,U$4,Acuses!$C$5:$C$3004,U$5),U$8)&lt;Resumen!$C$4+30,"Caduca pronto","OK"))))))</f>
        <v/>
      </c>
      <c r="V105" s="26" t="str">
        <f aca="false">IF(OR($A105="",V$4=""),"",IF(NOT(OR(V$6="Toda la plantilla",ISNUMBER(SEARCH(";"&amp;SUBSTITUTE($C105," ","")&amp;";",";"&amp;SUBSTITUTE(V$7," ","")&amp;";")))),"—",IF(_xlfn.MAXIFS(Acuses!$C$5:$C$3004,Acuses!$A$5:$A$3004,$A105,Acuses!$B$5:$B$3004,V$4)&lt;V$5,"Pendiente",IF(V$8=0,"OK",IF(EDATE(_xlfn.MAXIFS(Acuses!$D$5:$D$3004,Acuses!$A$5:$A$3004,$A105,Acuses!$B$5:$B$3004,V$4,Acuses!$C$5:$C$3004,V$5),V$8)&lt;Resumen!$C$4,"Caducado",IF(EDATE(_xlfn.MAXIFS(Acuses!$D$5:$D$3004,Acuses!$A$5:$A$3004,$A105,Acuses!$B$5:$B$3004,V$4,Acuses!$C$5:$C$3004,V$5),V$8)&lt;Resumen!$C$4+30,"Caduca pronto","OK"))))))</f>
        <v/>
      </c>
      <c r="W105" s="26" t="str">
        <f aca="false">IF(OR($A105="",W$4=""),"",IF(NOT(OR(W$6="Toda la plantilla",ISNUMBER(SEARCH(";"&amp;SUBSTITUTE($C105," ","")&amp;";",";"&amp;SUBSTITUTE(W$7," ","")&amp;";")))),"—",IF(_xlfn.MAXIFS(Acuses!$C$5:$C$3004,Acuses!$A$5:$A$3004,$A105,Acuses!$B$5:$B$3004,W$4)&lt;W$5,"Pendiente",IF(W$8=0,"OK",IF(EDATE(_xlfn.MAXIFS(Acuses!$D$5:$D$3004,Acuses!$A$5:$A$3004,$A105,Acuses!$B$5:$B$3004,W$4,Acuses!$C$5:$C$3004,W$5),W$8)&lt;Resumen!$C$4,"Caducado",IF(EDATE(_xlfn.MAXIFS(Acuses!$D$5:$D$3004,Acuses!$A$5:$A$3004,$A105,Acuses!$B$5:$B$3004,W$4,Acuses!$C$5:$C$3004,W$5),W$8)&lt;Resumen!$C$4+30,"Caduca pronto","OK"))))))</f>
        <v/>
      </c>
      <c r="X105" s="26" t="str">
        <f aca="false">IF(OR($A105="",X$4=""),"",IF(NOT(OR(X$6="Toda la plantilla",ISNUMBER(SEARCH(";"&amp;SUBSTITUTE($C105," ","")&amp;";",";"&amp;SUBSTITUTE(X$7," ","")&amp;";")))),"—",IF(_xlfn.MAXIFS(Acuses!$C$5:$C$3004,Acuses!$A$5:$A$3004,$A105,Acuses!$B$5:$B$3004,X$4)&lt;X$5,"Pendiente",IF(X$8=0,"OK",IF(EDATE(_xlfn.MAXIFS(Acuses!$D$5:$D$3004,Acuses!$A$5:$A$3004,$A105,Acuses!$B$5:$B$3004,X$4,Acuses!$C$5:$C$3004,X$5),X$8)&lt;Resumen!$C$4,"Caducado",IF(EDATE(_xlfn.MAXIFS(Acuses!$D$5:$D$3004,Acuses!$A$5:$A$3004,$A105,Acuses!$B$5:$B$3004,X$4,Acuses!$C$5:$C$3004,X$5),X$8)&lt;Resumen!$C$4+30,"Caduca pronto","OK"))))))</f>
        <v/>
      </c>
      <c r="Y105" s="26" t="str">
        <f aca="false">IF(OR($A105="",Y$4=""),"",IF(NOT(OR(Y$6="Toda la plantilla",ISNUMBER(SEARCH(";"&amp;SUBSTITUTE($C105," ","")&amp;";",";"&amp;SUBSTITUTE(Y$7," ","")&amp;";")))),"—",IF(_xlfn.MAXIFS(Acuses!$C$5:$C$3004,Acuses!$A$5:$A$3004,$A105,Acuses!$B$5:$B$3004,Y$4)&lt;Y$5,"Pendiente",IF(Y$8=0,"OK",IF(EDATE(_xlfn.MAXIFS(Acuses!$D$5:$D$3004,Acuses!$A$5:$A$3004,$A105,Acuses!$B$5:$B$3004,Y$4,Acuses!$C$5:$C$3004,Y$5),Y$8)&lt;Resumen!$C$4,"Caducado",IF(EDATE(_xlfn.MAXIFS(Acuses!$D$5:$D$3004,Acuses!$A$5:$A$3004,$A105,Acuses!$B$5:$B$3004,Y$4,Acuses!$C$5:$C$3004,Y$5),Y$8)&lt;Resumen!$C$4+30,"Caduca pronto","OK"))))))</f>
        <v/>
      </c>
      <c r="Z105" s="26" t="str">
        <f aca="false">IF(OR($A105="",Z$4=""),"",IF(NOT(OR(Z$6="Toda la plantilla",ISNUMBER(SEARCH(";"&amp;SUBSTITUTE($C105," ","")&amp;";",";"&amp;SUBSTITUTE(Z$7," ","")&amp;";")))),"—",IF(_xlfn.MAXIFS(Acuses!$C$5:$C$3004,Acuses!$A$5:$A$3004,$A105,Acuses!$B$5:$B$3004,Z$4)&lt;Z$5,"Pendiente",IF(Z$8=0,"OK",IF(EDATE(_xlfn.MAXIFS(Acuses!$D$5:$D$3004,Acuses!$A$5:$A$3004,$A105,Acuses!$B$5:$B$3004,Z$4,Acuses!$C$5:$C$3004,Z$5),Z$8)&lt;Resumen!$C$4,"Caducado",IF(EDATE(_xlfn.MAXIFS(Acuses!$D$5:$D$3004,Acuses!$A$5:$A$3004,$A105,Acuses!$B$5:$B$3004,Z$4,Acuses!$C$5:$C$3004,Z$5),Z$8)&lt;Resumen!$C$4+30,"Caduca pronto","OK"))))))</f>
        <v/>
      </c>
      <c r="AA105" s="26" t="str">
        <f aca="false">IF(OR($A105="",AA$4=""),"",IF(NOT(OR(AA$6="Toda la plantilla",ISNUMBER(SEARCH(";"&amp;SUBSTITUTE($C105," ","")&amp;";",";"&amp;SUBSTITUTE(AA$7," ","")&amp;";")))),"—",IF(_xlfn.MAXIFS(Acuses!$C$5:$C$3004,Acuses!$A$5:$A$3004,$A105,Acuses!$B$5:$B$3004,AA$4)&lt;AA$5,"Pendiente",IF(AA$8=0,"OK",IF(EDATE(_xlfn.MAXIFS(Acuses!$D$5:$D$3004,Acuses!$A$5:$A$3004,$A105,Acuses!$B$5:$B$3004,AA$4,Acuses!$C$5:$C$3004,AA$5),AA$8)&lt;Resumen!$C$4,"Caducado",IF(EDATE(_xlfn.MAXIFS(Acuses!$D$5:$D$3004,Acuses!$A$5:$A$3004,$A105,Acuses!$B$5:$B$3004,AA$4,Acuses!$C$5:$C$3004,AA$5),AA$8)&lt;Resumen!$C$4+30,"Caduca pronto","OK"))))))</f>
        <v/>
      </c>
      <c r="AB105" s="26" t="str">
        <f aca="false">IF(OR($A105="",AB$4=""),"",IF(NOT(OR(AB$6="Toda la plantilla",ISNUMBER(SEARCH(";"&amp;SUBSTITUTE($C105," ","")&amp;";",";"&amp;SUBSTITUTE(AB$7," ","")&amp;";")))),"—",IF(_xlfn.MAXIFS(Acuses!$C$5:$C$3004,Acuses!$A$5:$A$3004,$A105,Acuses!$B$5:$B$3004,AB$4)&lt;AB$5,"Pendiente",IF(AB$8=0,"OK",IF(EDATE(_xlfn.MAXIFS(Acuses!$D$5:$D$3004,Acuses!$A$5:$A$3004,$A105,Acuses!$B$5:$B$3004,AB$4,Acuses!$C$5:$C$3004,AB$5),AB$8)&lt;Resumen!$C$4,"Caducado",IF(EDATE(_xlfn.MAXIFS(Acuses!$D$5:$D$3004,Acuses!$A$5:$A$3004,$A105,Acuses!$B$5:$B$3004,AB$4,Acuses!$C$5:$C$3004,AB$5),AB$8)&lt;Resumen!$C$4+30,"Caduca pronto","OK"))))))</f>
        <v/>
      </c>
      <c r="AC105" s="26" t="str">
        <f aca="false">IF(OR($A105="",AC$4=""),"",IF(NOT(OR(AC$6="Toda la plantilla",ISNUMBER(SEARCH(";"&amp;SUBSTITUTE($C105," ","")&amp;";",";"&amp;SUBSTITUTE(AC$7," ","")&amp;";")))),"—",IF(_xlfn.MAXIFS(Acuses!$C$5:$C$3004,Acuses!$A$5:$A$3004,$A105,Acuses!$B$5:$B$3004,AC$4)&lt;AC$5,"Pendiente",IF(AC$8=0,"OK",IF(EDATE(_xlfn.MAXIFS(Acuses!$D$5:$D$3004,Acuses!$A$5:$A$3004,$A105,Acuses!$B$5:$B$3004,AC$4,Acuses!$C$5:$C$3004,AC$5),AC$8)&lt;Resumen!$C$4,"Caducado",IF(EDATE(_xlfn.MAXIFS(Acuses!$D$5:$D$3004,Acuses!$A$5:$A$3004,$A105,Acuses!$B$5:$B$3004,AC$4,Acuses!$C$5:$C$3004,AC$5),AC$8)&lt;Resumen!$C$4+30,"Caduca pronto","OK"))))))</f>
        <v/>
      </c>
      <c r="AD105" s="26" t="str">
        <f aca="false">IF(OR($A105="",AD$4=""),"",IF(NOT(OR(AD$6="Toda la plantilla",ISNUMBER(SEARCH(";"&amp;SUBSTITUTE($C105," ","")&amp;";",";"&amp;SUBSTITUTE(AD$7," ","")&amp;";")))),"—",IF(_xlfn.MAXIFS(Acuses!$C$5:$C$3004,Acuses!$A$5:$A$3004,$A105,Acuses!$B$5:$B$3004,AD$4)&lt;AD$5,"Pendiente",IF(AD$8=0,"OK",IF(EDATE(_xlfn.MAXIFS(Acuses!$D$5:$D$3004,Acuses!$A$5:$A$3004,$A105,Acuses!$B$5:$B$3004,AD$4,Acuses!$C$5:$C$3004,AD$5),AD$8)&lt;Resumen!$C$4,"Caducado",IF(EDATE(_xlfn.MAXIFS(Acuses!$D$5:$D$3004,Acuses!$A$5:$A$3004,$A105,Acuses!$B$5:$B$3004,AD$4,Acuses!$C$5:$C$3004,AD$5),AD$8)&lt;Resumen!$C$4+30,"Caduca pronto","OK"))))))</f>
        <v/>
      </c>
      <c r="AE105" s="26" t="str">
        <f aca="false">IF(OR($A105="",AE$4=""),"",IF(NOT(OR(AE$6="Toda la plantilla",ISNUMBER(SEARCH(";"&amp;SUBSTITUTE($C105," ","")&amp;";",";"&amp;SUBSTITUTE(AE$7," ","")&amp;";")))),"—",IF(_xlfn.MAXIFS(Acuses!$C$5:$C$3004,Acuses!$A$5:$A$3004,$A105,Acuses!$B$5:$B$3004,AE$4)&lt;AE$5,"Pendiente",IF(AE$8=0,"OK",IF(EDATE(_xlfn.MAXIFS(Acuses!$D$5:$D$3004,Acuses!$A$5:$A$3004,$A105,Acuses!$B$5:$B$3004,AE$4,Acuses!$C$5:$C$3004,AE$5),AE$8)&lt;Resumen!$C$4,"Caducado",IF(EDATE(_xlfn.MAXIFS(Acuses!$D$5:$D$3004,Acuses!$A$5:$A$3004,$A105,Acuses!$B$5:$B$3004,AE$4,Acuses!$C$5:$C$3004,AE$5),AE$8)&lt;Resumen!$C$4+30,"Caduca pronto","OK"))))))</f>
        <v/>
      </c>
      <c r="AF105" s="26" t="str">
        <f aca="false">IF(OR($A105="",AF$4=""),"",IF(NOT(OR(AF$6="Toda la plantilla",ISNUMBER(SEARCH(";"&amp;SUBSTITUTE($C105," ","")&amp;";",";"&amp;SUBSTITUTE(AF$7," ","")&amp;";")))),"—",IF(_xlfn.MAXIFS(Acuses!$C$5:$C$3004,Acuses!$A$5:$A$3004,$A105,Acuses!$B$5:$B$3004,AF$4)&lt;AF$5,"Pendiente",IF(AF$8=0,"OK",IF(EDATE(_xlfn.MAXIFS(Acuses!$D$5:$D$3004,Acuses!$A$5:$A$3004,$A105,Acuses!$B$5:$B$3004,AF$4,Acuses!$C$5:$C$3004,AF$5),AF$8)&lt;Resumen!$C$4,"Caducado",IF(EDATE(_xlfn.MAXIFS(Acuses!$D$5:$D$3004,Acuses!$A$5:$A$3004,$A105,Acuses!$B$5:$B$3004,AF$4,Acuses!$C$5:$C$3004,AF$5),AF$8)&lt;Resumen!$C$4+30,"Caduca pronto","OK"))))))</f>
        <v/>
      </c>
      <c r="AG105" s="26" t="str">
        <f aca="false">IF(OR($A105="",AG$4=""),"",IF(NOT(OR(AG$6="Toda la plantilla",ISNUMBER(SEARCH(";"&amp;SUBSTITUTE($C105," ","")&amp;";",";"&amp;SUBSTITUTE(AG$7," ","")&amp;";")))),"—",IF(_xlfn.MAXIFS(Acuses!$C$5:$C$3004,Acuses!$A$5:$A$3004,$A105,Acuses!$B$5:$B$3004,AG$4)&lt;AG$5,"Pendiente",IF(AG$8=0,"OK",IF(EDATE(_xlfn.MAXIFS(Acuses!$D$5:$D$3004,Acuses!$A$5:$A$3004,$A105,Acuses!$B$5:$B$3004,AG$4,Acuses!$C$5:$C$3004,AG$5),AG$8)&lt;Resumen!$C$4,"Caducado",IF(EDATE(_xlfn.MAXIFS(Acuses!$D$5:$D$3004,Acuses!$A$5:$A$3004,$A105,Acuses!$B$5:$B$3004,AG$4,Acuses!$C$5:$C$3004,AG$5),AG$8)&lt;Resumen!$C$4+30,"Caduca pronto","OK"))))))</f>
        <v/>
      </c>
      <c r="AH105" s="26" t="str">
        <f aca="false">IF(OR($A105="",AH$4=""),"",IF(NOT(OR(AH$6="Toda la plantilla",ISNUMBER(SEARCH(";"&amp;SUBSTITUTE($C105," ","")&amp;";",";"&amp;SUBSTITUTE(AH$7," ","")&amp;";")))),"—",IF(_xlfn.MAXIFS(Acuses!$C$5:$C$3004,Acuses!$A$5:$A$3004,$A105,Acuses!$B$5:$B$3004,AH$4)&lt;AH$5,"Pendiente",IF(AH$8=0,"OK",IF(EDATE(_xlfn.MAXIFS(Acuses!$D$5:$D$3004,Acuses!$A$5:$A$3004,$A105,Acuses!$B$5:$B$3004,AH$4,Acuses!$C$5:$C$3004,AH$5),AH$8)&lt;Resumen!$C$4,"Caducado",IF(EDATE(_xlfn.MAXIFS(Acuses!$D$5:$D$3004,Acuses!$A$5:$A$3004,$A105,Acuses!$B$5:$B$3004,AH$4,Acuses!$C$5:$C$3004,AH$5),AH$8)&lt;Resumen!$C$4+30,"Caduca pronto","OK"))))))</f>
        <v/>
      </c>
      <c r="AI105" s="26" t="str">
        <f aca="false">IF(OR($A105="",AI$4=""),"",IF(NOT(OR(AI$6="Toda la plantilla",ISNUMBER(SEARCH(";"&amp;SUBSTITUTE($C105," ","")&amp;";",";"&amp;SUBSTITUTE(AI$7," ","")&amp;";")))),"—",IF(_xlfn.MAXIFS(Acuses!$C$5:$C$3004,Acuses!$A$5:$A$3004,$A105,Acuses!$B$5:$B$3004,AI$4)&lt;AI$5,"Pendiente",IF(AI$8=0,"OK",IF(EDATE(_xlfn.MAXIFS(Acuses!$D$5:$D$3004,Acuses!$A$5:$A$3004,$A105,Acuses!$B$5:$B$3004,AI$4,Acuses!$C$5:$C$3004,AI$5),AI$8)&lt;Resumen!$C$4,"Caducado",IF(EDATE(_xlfn.MAXIFS(Acuses!$D$5:$D$3004,Acuses!$A$5:$A$3004,$A105,Acuses!$B$5:$B$3004,AI$4,Acuses!$C$5:$C$3004,AI$5),AI$8)&lt;Resumen!$C$4+30,"Caduca pronto","OK"))))))</f>
        <v/>
      </c>
      <c r="AJ105" s="26" t="str">
        <f aca="false">IF(OR($A105="",AJ$4=""),"",IF(NOT(OR(AJ$6="Toda la plantilla",ISNUMBER(SEARCH(";"&amp;SUBSTITUTE($C105," ","")&amp;";",";"&amp;SUBSTITUTE(AJ$7," ","")&amp;";")))),"—",IF(_xlfn.MAXIFS(Acuses!$C$5:$C$3004,Acuses!$A$5:$A$3004,$A105,Acuses!$B$5:$B$3004,AJ$4)&lt;AJ$5,"Pendiente",IF(AJ$8=0,"OK",IF(EDATE(_xlfn.MAXIFS(Acuses!$D$5:$D$3004,Acuses!$A$5:$A$3004,$A105,Acuses!$B$5:$B$3004,AJ$4,Acuses!$C$5:$C$3004,AJ$5),AJ$8)&lt;Resumen!$C$4,"Caducado",IF(EDATE(_xlfn.MAXIFS(Acuses!$D$5:$D$3004,Acuses!$A$5:$A$3004,$A105,Acuses!$B$5:$B$3004,AJ$4,Acuses!$C$5:$C$3004,AJ$5),AJ$8)&lt;Resumen!$C$4+30,"Caduca pronto","OK"))))))</f>
        <v/>
      </c>
      <c r="AK105" s="26" t="str">
        <f aca="false">IF(OR($A105="",AK$4=""),"",IF(NOT(OR(AK$6="Toda la plantilla",ISNUMBER(SEARCH(";"&amp;SUBSTITUTE($C105," ","")&amp;";",";"&amp;SUBSTITUTE(AK$7," ","")&amp;";")))),"—",IF(_xlfn.MAXIFS(Acuses!$C$5:$C$3004,Acuses!$A$5:$A$3004,$A105,Acuses!$B$5:$B$3004,AK$4)&lt;AK$5,"Pendiente",IF(AK$8=0,"OK",IF(EDATE(_xlfn.MAXIFS(Acuses!$D$5:$D$3004,Acuses!$A$5:$A$3004,$A105,Acuses!$B$5:$B$3004,AK$4,Acuses!$C$5:$C$3004,AK$5),AK$8)&lt;Resumen!$C$4,"Caducado",IF(EDATE(_xlfn.MAXIFS(Acuses!$D$5:$D$3004,Acuses!$A$5:$A$3004,$A105,Acuses!$B$5:$B$3004,AK$4,Acuses!$C$5:$C$3004,AK$5),AK$8)&lt;Resumen!$C$4+30,"Caduca pronto","OK"))))))</f>
        <v/>
      </c>
      <c r="AL105" s="26" t="str">
        <f aca="false">IF(OR($A105="",AL$4=""),"",IF(NOT(OR(AL$6="Toda la plantilla",ISNUMBER(SEARCH(";"&amp;SUBSTITUTE($C105," ","")&amp;";",";"&amp;SUBSTITUTE(AL$7," ","")&amp;";")))),"—",IF(_xlfn.MAXIFS(Acuses!$C$5:$C$3004,Acuses!$A$5:$A$3004,$A105,Acuses!$B$5:$B$3004,AL$4)&lt;AL$5,"Pendiente",IF(AL$8=0,"OK",IF(EDATE(_xlfn.MAXIFS(Acuses!$D$5:$D$3004,Acuses!$A$5:$A$3004,$A105,Acuses!$B$5:$B$3004,AL$4,Acuses!$C$5:$C$3004,AL$5),AL$8)&lt;Resumen!$C$4,"Caducado",IF(EDATE(_xlfn.MAXIFS(Acuses!$D$5:$D$3004,Acuses!$A$5:$A$3004,$A105,Acuses!$B$5:$B$3004,AL$4,Acuses!$C$5:$C$3004,AL$5),AL$8)&lt;Resumen!$C$4+30,"Caduca pronto","OK"))))))</f>
        <v/>
      </c>
      <c r="AM105" s="26" t="str">
        <f aca="false">IF(OR($A105="",AM$4=""),"",IF(NOT(OR(AM$6="Toda la plantilla",ISNUMBER(SEARCH(";"&amp;SUBSTITUTE($C105," ","")&amp;";",";"&amp;SUBSTITUTE(AM$7," ","")&amp;";")))),"—",IF(_xlfn.MAXIFS(Acuses!$C$5:$C$3004,Acuses!$A$5:$A$3004,$A105,Acuses!$B$5:$B$3004,AM$4)&lt;AM$5,"Pendiente",IF(AM$8=0,"OK",IF(EDATE(_xlfn.MAXIFS(Acuses!$D$5:$D$3004,Acuses!$A$5:$A$3004,$A105,Acuses!$B$5:$B$3004,AM$4,Acuses!$C$5:$C$3004,AM$5),AM$8)&lt;Resumen!$C$4,"Caducado",IF(EDATE(_xlfn.MAXIFS(Acuses!$D$5:$D$3004,Acuses!$A$5:$A$3004,$A105,Acuses!$B$5:$B$3004,AM$4,Acuses!$C$5:$C$3004,AM$5),AM$8)&lt;Resumen!$C$4+30,"Caduca pronto","OK"))))))</f>
        <v/>
      </c>
      <c r="AN105" s="26" t="str">
        <f aca="false">IF(OR($A105="",AN$4=""),"",IF(NOT(OR(AN$6="Toda la plantilla",ISNUMBER(SEARCH(";"&amp;SUBSTITUTE($C105," ","")&amp;";",";"&amp;SUBSTITUTE(AN$7," ","")&amp;";")))),"—",IF(_xlfn.MAXIFS(Acuses!$C$5:$C$3004,Acuses!$A$5:$A$3004,$A105,Acuses!$B$5:$B$3004,AN$4)&lt;AN$5,"Pendiente",IF(AN$8=0,"OK",IF(EDATE(_xlfn.MAXIFS(Acuses!$D$5:$D$3004,Acuses!$A$5:$A$3004,$A105,Acuses!$B$5:$B$3004,AN$4,Acuses!$C$5:$C$3004,AN$5),AN$8)&lt;Resumen!$C$4,"Caducado",IF(EDATE(_xlfn.MAXIFS(Acuses!$D$5:$D$3004,Acuses!$A$5:$A$3004,$A105,Acuses!$B$5:$B$3004,AN$4,Acuses!$C$5:$C$3004,AN$5),AN$8)&lt;Resumen!$C$4+30,"Caduca pronto","OK"))))))</f>
        <v/>
      </c>
      <c r="AO105" s="26" t="str">
        <f aca="false">IF(OR($A105="",AO$4=""),"",IF(NOT(OR(AO$6="Toda la plantilla",ISNUMBER(SEARCH(";"&amp;SUBSTITUTE($C105," ","")&amp;";",";"&amp;SUBSTITUTE(AO$7," ","")&amp;";")))),"—",IF(_xlfn.MAXIFS(Acuses!$C$5:$C$3004,Acuses!$A$5:$A$3004,$A105,Acuses!$B$5:$B$3004,AO$4)&lt;AO$5,"Pendiente",IF(AO$8=0,"OK",IF(EDATE(_xlfn.MAXIFS(Acuses!$D$5:$D$3004,Acuses!$A$5:$A$3004,$A105,Acuses!$B$5:$B$3004,AO$4,Acuses!$C$5:$C$3004,AO$5),AO$8)&lt;Resumen!$C$4,"Caducado",IF(EDATE(_xlfn.MAXIFS(Acuses!$D$5:$D$3004,Acuses!$A$5:$A$3004,$A105,Acuses!$B$5:$B$3004,AO$4,Acuses!$C$5:$C$3004,AO$5),AO$8)&lt;Resumen!$C$4+30,"Caduca pronto","OK"))))))</f>
        <v/>
      </c>
      <c r="AP105" s="26" t="str">
        <f aca="false">IF(OR($A105="",AP$4=""),"",IF(NOT(OR(AP$6="Toda la plantilla",ISNUMBER(SEARCH(";"&amp;SUBSTITUTE($C105," ","")&amp;";",";"&amp;SUBSTITUTE(AP$7," ","")&amp;";")))),"—",IF(_xlfn.MAXIFS(Acuses!$C$5:$C$3004,Acuses!$A$5:$A$3004,$A105,Acuses!$B$5:$B$3004,AP$4)&lt;AP$5,"Pendiente",IF(AP$8=0,"OK",IF(EDATE(_xlfn.MAXIFS(Acuses!$D$5:$D$3004,Acuses!$A$5:$A$3004,$A105,Acuses!$B$5:$B$3004,AP$4,Acuses!$C$5:$C$3004,AP$5),AP$8)&lt;Resumen!$C$4,"Caducado",IF(EDATE(_xlfn.MAXIFS(Acuses!$D$5:$D$3004,Acuses!$A$5:$A$3004,$A105,Acuses!$B$5:$B$3004,AP$4,Acuses!$C$5:$C$3004,AP$5),AP$8)&lt;Resumen!$C$4+30,"Caduca pronto","OK"))))))</f>
        <v/>
      </c>
      <c r="AQ105" s="26" t="str">
        <f aca="false">IF(OR($A105="",AQ$4=""),"",IF(NOT(OR(AQ$6="Toda la plantilla",ISNUMBER(SEARCH(";"&amp;SUBSTITUTE($C105," ","")&amp;";",";"&amp;SUBSTITUTE(AQ$7," ","")&amp;";")))),"—",IF(_xlfn.MAXIFS(Acuses!$C$5:$C$3004,Acuses!$A$5:$A$3004,$A105,Acuses!$B$5:$B$3004,AQ$4)&lt;AQ$5,"Pendiente",IF(AQ$8=0,"OK",IF(EDATE(_xlfn.MAXIFS(Acuses!$D$5:$D$3004,Acuses!$A$5:$A$3004,$A105,Acuses!$B$5:$B$3004,AQ$4,Acuses!$C$5:$C$3004,AQ$5),AQ$8)&lt;Resumen!$C$4,"Caducado",IF(EDATE(_xlfn.MAXIFS(Acuses!$D$5:$D$3004,Acuses!$A$5:$A$3004,$A105,Acuses!$B$5:$B$3004,AQ$4,Acuses!$C$5:$C$3004,AQ$5),AQ$8)&lt;Resumen!$C$4+30,"Caduca pronto","OK"))))))</f>
        <v/>
      </c>
    </row>
    <row r="106" customFormat="false" ht="15" hidden="false" customHeight="false" outlineLevel="0" collapsed="false">
      <c r="A106" s="25" t="str">
        <f aca="false">IF(AND(Trabajadores!$A$101&lt;&gt;"",Trabajadores!$G$101&lt;&gt;"No"),Trabajadores!$A$101,"")</f>
        <v/>
      </c>
      <c r="B106" s="25" t="str">
        <f aca="false">IF($A106="","",Trabajadores!$B$101)</f>
        <v/>
      </c>
      <c r="C106" s="25" t="str">
        <f aca="false">IF($A106="","",Trabajadores!$C$101)</f>
        <v/>
      </c>
      <c r="D106" s="26" t="str">
        <f aca="false">IF(OR($A106="",D$4=""),"",IF(NOT(OR(D$6="Toda la plantilla",ISNUMBER(SEARCH(";"&amp;SUBSTITUTE($C106," ","")&amp;";",";"&amp;SUBSTITUTE(D$7," ","")&amp;";")))),"—",IF(_xlfn.MAXIFS(Acuses!$C$5:$C$3004,Acuses!$A$5:$A$3004,$A106,Acuses!$B$5:$B$3004,D$4)&lt;D$5,"Pendiente",IF(D$8=0,"OK",IF(EDATE(_xlfn.MAXIFS(Acuses!$D$5:$D$3004,Acuses!$A$5:$A$3004,$A106,Acuses!$B$5:$B$3004,D$4,Acuses!$C$5:$C$3004,D$5),D$8)&lt;Resumen!$C$4,"Caducado",IF(EDATE(_xlfn.MAXIFS(Acuses!$D$5:$D$3004,Acuses!$A$5:$A$3004,$A106,Acuses!$B$5:$B$3004,D$4,Acuses!$C$5:$C$3004,D$5),D$8)&lt;Resumen!$C$4+30,"Caduca pronto","OK"))))))</f>
        <v/>
      </c>
      <c r="E106" s="26" t="str">
        <f aca="false">IF(OR($A106="",E$4=""),"",IF(NOT(OR(E$6="Toda la plantilla",ISNUMBER(SEARCH(";"&amp;SUBSTITUTE($C106," ","")&amp;";",";"&amp;SUBSTITUTE(E$7," ","")&amp;";")))),"—",IF(_xlfn.MAXIFS(Acuses!$C$5:$C$3004,Acuses!$A$5:$A$3004,$A106,Acuses!$B$5:$B$3004,E$4)&lt;E$5,"Pendiente",IF(E$8=0,"OK",IF(EDATE(_xlfn.MAXIFS(Acuses!$D$5:$D$3004,Acuses!$A$5:$A$3004,$A106,Acuses!$B$5:$B$3004,E$4,Acuses!$C$5:$C$3004,E$5),E$8)&lt;Resumen!$C$4,"Caducado",IF(EDATE(_xlfn.MAXIFS(Acuses!$D$5:$D$3004,Acuses!$A$5:$A$3004,$A106,Acuses!$B$5:$B$3004,E$4,Acuses!$C$5:$C$3004,E$5),E$8)&lt;Resumen!$C$4+30,"Caduca pronto","OK"))))))</f>
        <v/>
      </c>
      <c r="F106" s="26" t="str">
        <f aca="false">IF(OR($A106="",F$4=""),"",IF(NOT(OR(F$6="Toda la plantilla",ISNUMBER(SEARCH(";"&amp;SUBSTITUTE($C106," ","")&amp;";",";"&amp;SUBSTITUTE(F$7," ","")&amp;";")))),"—",IF(_xlfn.MAXIFS(Acuses!$C$5:$C$3004,Acuses!$A$5:$A$3004,$A106,Acuses!$B$5:$B$3004,F$4)&lt;F$5,"Pendiente",IF(F$8=0,"OK",IF(EDATE(_xlfn.MAXIFS(Acuses!$D$5:$D$3004,Acuses!$A$5:$A$3004,$A106,Acuses!$B$5:$B$3004,F$4,Acuses!$C$5:$C$3004,F$5),F$8)&lt;Resumen!$C$4,"Caducado",IF(EDATE(_xlfn.MAXIFS(Acuses!$D$5:$D$3004,Acuses!$A$5:$A$3004,$A106,Acuses!$B$5:$B$3004,F$4,Acuses!$C$5:$C$3004,F$5),F$8)&lt;Resumen!$C$4+30,"Caduca pronto","OK"))))))</f>
        <v/>
      </c>
      <c r="G106" s="26" t="str">
        <f aca="false">IF(OR($A106="",G$4=""),"",IF(NOT(OR(G$6="Toda la plantilla",ISNUMBER(SEARCH(";"&amp;SUBSTITUTE($C106," ","")&amp;";",";"&amp;SUBSTITUTE(G$7," ","")&amp;";")))),"—",IF(_xlfn.MAXIFS(Acuses!$C$5:$C$3004,Acuses!$A$5:$A$3004,$A106,Acuses!$B$5:$B$3004,G$4)&lt;G$5,"Pendiente",IF(G$8=0,"OK",IF(EDATE(_xlfn.MAXIFS(Acuses!$D$5:$D$3004,Acuses!$A$5:$A$3004,$A106,Acuses!$B$5:$B$3004,G$4,Acuses!$C$5:$C$3004,G$5),G$8)&lt;Resumen!$C$4,"Caducado",IF(EDATE(_xlfn.MAXIFS(Acuses!$D$5:$D$3004,Acuses!$A$5:$A$3004,$A106,Acuses!$B$5:$B$3004,G$4,Acuses!$C$5:$C$3004,G$5),G$8)&lt;Resumen!$C$4+30,"Caduca pronto","OK"))))))</f>
        <v/>
      </c>
      <c r="H106" s="26" t="str">
        <f aca="false">IF(OR($A106="",H$4=""),"",IF(NOT(OR(H$6="Toda la plantilla",ISNUMBER(SEARCH(";"&amp;SUBSTITUTE($C106," ","")&amp;";",";"&amp;SUBSTITUTE(H$7," ","")&amp;";")))),"—",IF(_xlfn.MAXIFS(Acuses!$C$5:$C$3004,Acuses!$A$5:$A$3004,$A106,Acuses!$B$5:$B$3004,H$4)&lt;H$5,"Pendiente",IF(H$8=0,"OK",IF(EDATE(_xlfn.MAXIFS(Acuses!$D$5:$D$3004,Acuses!$A$5:$A$3004,$A106,Acuses!$B$5:$B$3004,H$4,Acuses!$C$5:$C$3004,H$5),H$8)&lt;Resumen!$C$4,"Caducado",IF(EDATE(_xlfn.MAXIFS(Acuses!$D$5:$D$3004,Acuses!$A$5:$A$3004,$A106,Acuses!$B$5:$B$3004,H$4,Acuses!$C$5:$C$3004,H$5),H$8)&lt;Resumen!$C$4+30,"Caduca pronto","OK"))))))</f>
        <v/>
      </c>
      <c r="I106" s="26" t="str">
        <f aca="false">IF(OR($A106="",I$4=""),"",IF(NOT(OR(I$6="Toda la plantilla",ISNUMBER(SEARCH(";"&amp;SUBSTITUTE($C106," ","")&amp;";",";"&amp;SUBSTITUTE(I$7," ","")&amp;";")))),"—",IF(_xlfn.MAXIFS(Acuses!$C$5:$C$3004,Acuses!$A$5:$A$3004,$A106,Acuses!$B$5:$B$3004,I$4)&lt;I$5,"Pendiente",IF(I$8=0,"OK",IF(EDATE(_xlfn.MAXIFS(Acuses!$D$5:$D$3004,Acuses!$A$5:$A$3004,$A106,Acuses!$B$5:$B$3004,I$4,Acuses!$C$5:$C$3004,I$5),I$8)&lt;Resumen!$C$4,"Caducado",IF(EDATE(_xlfn.MAXIFS(Acuses!$D$5:$D$3004,Acuses!$A$5:$A$3004,$A106,Acuses!$B$5:$B$3004,I$4,Acuses!$C$5:$C$3004,I$5),I$8)&lt;Resumen!$C$4+30,"Caduca pronto","OK"))))))</f>
        <v/>
      </c>
      <c r="J106" s="26" t="str">
        <f aca="false">IF(OR($A106="",J$4=""),"",IF(NOT(OR(J$6="Toda la plantilla",ISNUMBER(SEARCH(";"&amp;SUBSTITUTE($C106," ","")&amp;";",";"&amp;SUBSTITUTE(J$7," ","")&amp;";")))),"—",IF(_xlfn.MAXIFS(Acuses!$C$5:$C$3004,Acuses!$A$5:$A$3004,$A106,Acuses!$B$5:$B$3004,J$4)&lt;J$5,"Pendiente",IF(J$8=0,"OK",IF(EDATE(_xlfn.MAXIFS(Acuses!$D$5:$D$3004,Acuses!$A$5:$A$3004,$A106,Acuses!$B$5:$B$3004,J$4,Acuses!$C$5:$C$3004,J$5),J$8)&lt;Resumen!$C$4,"Caducado",IF(EDATE(_xlfn.MAXIFS(Acuses!$D$5:$D$3004,Acuses!$A$5:$A$3004,$A106,Acuses!$B$5:$B$3004,J$4,Acuses!$C$5:$C$3004,J$5),J$8)&lt;Resumen!$C$4+30,"Caduca pronto","OK"))))))</f>
        <v/>
      </c>
      <c r="K106" s="26" t="str">
        <f aca="false">IF(OR($A106="",K$4=""),"",IF(NOT(OR(K$6="Toda la plantilla",ISNUMBER(SEARCH(";"&amp;SUBSTITUTE($C106," ","")&amp;";",";"&amp;SUBSTITUTE(K$7," ","")&amp;";")))),"—",IF(_xlfn.MAXIFS(Acuses!$C$5:$C$3004,Acuses!$A$5:$A$3004,$A106,Acuses!$B$5:$B$3004,K$4)&lt;K$5,"Pendiente",IF(K$8=0,"OK",IF(EDATE(_xlfn.MAXIFS(Acuses!$D$5:$D$3004,Acuses!$A$5:$A$3004,$A106,Acuses!$B$5:$B$3004,K$4,Acuses!$C$5:$C$3004,K$5),K$8)&lt;Resumen!$C$4,"Caducado",IF(EDATE(_xlfn.MAXIFS(Acuses!$D$5:$D$3004,Acuses!$A$5:$A$3004,$A106,Acuses!$B$5:$B$3004,K$4,Acuses!$C$5:$C$3004,K$5),K$8)&lt;Resumen!$C$4+30,"Caduca pronto","OK"))))))</f>
        <v/>
      </c>
      <c r="L106" s="26" t="str">
        <f aca="false">IF(OR($A106="",L$4=""),"",IF(NOT(OR(L$6="Toda la plantilla",ISNUMBER(SEARCH(";"&amp;SUBSTITUTE($C106," ","")&amp;";",";"&amp;SUBSTITUTE(L$7," ","")&amp;";")))),"—",IF(_xlfn.MAXIFS(Acuses!$C$5:$C$3004,Acuses!$A$5:$A$3004,$A106,Acuses!$B$5:$B$3004,L$4)&lt;L$5,"Pendiente",IF(L$8=0,"OK",IF(EDATE(_xlfn.MAXIFS(Acuses!$D$5:$D$3004,Acuses!$A$5:$A$3004,$A106,Acuses!$B$5:$B$3004,L$4,Acuses!$C$5:$C$3004,L$5),L$8)&lt;Resumen!$C$4,"Caducado",IF(EDATE(_xlfn.MAXIFS(Acuses!$D$5:$D$3004,Acuses!$A$5:$A$3004,$A106,Acuses!$B$5:$B$3004,L$4,Acuses!$C$5:$C$3004,L$5),L$8)&lt;Resumen!$C$4+30,"Caduca pronto","OK"))))))</f>
        <v/>
      </c>
      <c r="M106" s="26" t="str">
        <f aca="false">IF(OR($A106="",M$4=""),"",IF(NOT(OR(M$6="Toda la plantilla",ISNUMBER(SEARCH(";"&amp;SUBSTITUTE($C106," ","")&amp;";",";"&amp;SUBSTITUTE(M$7," ","")&amp;";")))),"—",IF(_xlfn.MAXIFS(Acuses!$C$5:$C$3004,Acuses!$A$5:$A$3004,$A106,Acuses!$B$5:$B$3004,M$4)&lt;M$5,"Pendiente",IF(M$8=0,"OK",IF(EDATE(_xlfn.MAXIFS(Acuses!$D$5:$D$3004,Acuses!$A$5:$A$3004,$A106,Acuses!$B$5:$B$3004,M$4,Acuses!$C$5:$C$3004,M$5),M$8)&lt;Resumen!$C$4,"Caducado",IF(EDATE(_xlfn.MAXIFS(Acuses!$D$5:$D$3004,Acuses!$A$5:$A$3004,$A106,Acuses!$B$5:$B$3004,M$4,Acuses!$C$5:$C$3004,M$5),M$8)&lt;Resumen!$C$4+30,"Caduca pronto","OK"))))))</f>
        <v/>
      </c>
      <c r="N106" s="26" t="str">
        <f aca="false">IF(OR($A106="",N$4=""),"",IF(NOT(OR(N$6="Toda la plantilla",ISNUMBER(SEARCH(";"&amp;SUBSTITUTE($C106," ","")&amp;";",";"&amp;SUBSTITUTE(N$7," ","")&amp;";")))),"—",IF(_xlfn.MAXIFS(Acuses!$C$5:$C$3004,Acuses!$A$5:$A$3004,$A106,Acuses!$B$5:$B$3004,N$4)&lt;N$5,"Pendiente",IF(N$8=0,"OK",IF(EDATE(_xlfn.MAXIFS(Acuses!$D$5:$D$3004,Acuses!$A$5:$A$3004,$A106,Acuses!$B$5:$B$3004,N$4,Acuses!$C$5:$C$3004,N$5),N$8)&lt;Resumen!$C$4,"Caducado",IF(EDATE(_xlfn.MAXIFS(Acuses!$D$5:$D$3004,Acuses!$A$5:$A$3004,$A106,Acuses!$B$5:$B$3004,N$4,Acuses!$C$5:$C$3004,N$5),N$8)&lt;Resumen!$C$4+30,"Caduca pronto","OK"))))))</f>
        <v/>
      </c>
      <c r="O106" s="26" t="str">
        <f aca="false">IF(OR($A106="",O$4=""),"",IF(NOT(OR(O$6="Toda la plantilla",ISNUMBER(SEARCH(";"&amp;SUBSTITUTE($C106," ","")&amp;";",";"&amp;SUBSTITUTE(O$7," ","")&amp;";")))),"—",IF(_xlfn.MAXIFS(Acuses!$C$5:$C$3004,Acuses!$A$5:$A$3004,$A106,Acuses!$B$5:$B$3004,O$4)&lt;O$5,"Pendiente",IF(O$8=0,"OK",IF(EDATE(_xlfn.MAXIFS(Acuses!$D$5:$D$3004,Acuses!$A$5:$A$3004,$A106,Acuses!$B$5:$B$3004,O$4,Acuses!$C$5:$C$3004,O$5),O$8)&lt;Resumen!$C$4,"Caducado",IF(EDATE(_xlfn.MAXIFS(Acuses!$D$5:$D$3004,Acuses!$A$5:$A$3004,$A106,Acuses!$B$5:$B$3004,O$4,Acuses!$C$5:$C$3004,O$5),O$8)&lt;Resumen!$C$4+30,"Caduca pronto","OK"))))))</f>
        <v/>
      </c>
      <c r="P106" s="26" t="str">
        <f aca="false">IF(OR($A106="",P$4=""),"",IF(NOT(OR(P$6="Toda la plantilla",ISNUMBER(SEARCH(";"&amp;SUBSTITUTE($C106," ","")&amp;";",";"&amp;SUBSTITUTE(P$7," ","")&amp;";")))),"—",IF(_xlfn.MAXIFS(Acuses!$C$5:$C$3004,Acuses!$A$5:$A$3004,$A106,Acuses!$B$5:$B$3004,P$4)&lt;P$5,"Pendiente",IF(P$8=0,"OK",IF(EDATE(_xlfn.MAXIFS(Acuses!$D$5:$D$3004,Acuses!$A$5:$A$3004,$A106,Acuses!$B$5:$B$3004,P$4,Acuses!$C$5:$C$3004,P$5),P$8)&lt;Resumen!$C$4,"Caducado",IF(EDATE(_xlfn.MAXIFS(Acuses!$D$5:$D$3004,Acuses!$A$5:$A$3004,$A106,Acuses!$B$5:$B$3004,P$4,Acuses!$C$5:$C$3004,P$5),P$8)&lt;Resumen!$C$4+30,"Caduca pronto","OK"))))))</f>
        <v/>
      </c>
      <c r="Q106" s="26" t="str">
        <f aca="false">IF(OR($A106="",Q$4=""),"",IF(NOT(OR(Q$6="Toda la plantilla",ISNUMBER(SEARCH(";"&amp;SUBSTITUTE($C106," ","")&amp;";",";"&amp;SUBSTITUTE(Q$7," ","")&amp;";")))),"—",IF(_xlfn.MAXIFS(Acuses!$C$5:$C$3004,Acuses!$A$5:$A$3004,$A106,Acuses!$B$5:$B$3004,Q$4)&lt;Q$5,"Pendiente",IF(Q$8=0,"OK",IF(EDATE(_xlfn.MAXIFS(Acuses!$D$5:$D$3004,Acuses!$A$5:$A$3004,$A106,Acuses!$B$5:$B$3004,Q$4,Acuses!$C$5:$C$3004,Q$5),Q$8)&lt;Resumen!$C$4,"Caducado",IF(EDATE(_xlfn.MAXIFS(Acuses!$D$5:$D$3004,Acuses!$A$5:$A$3004,$A106,Acuses!$B$5:$B$3004,Q$4,Acuses!$C$5:$C$3004,Q$5),Q$8)&lt;Resumen!$C$4+30,"Caduca pronto","OK"))))))</f>
        <v/>
      </c>
      <c r="R106" s="26" t="str">
        <f aca="false">IF(OR($A106="",R$4=""),"",IF(NOT(OR(R$6="Toda la plantilla",ISNUMBER(SEARCH(";"&amp;SUBSTITUTE($C106," ","")&amp;";",";"&amp;SUBSTITUTE(R$7," ","")&amp;";")))),"—",IF(_xlfn.MAXIFS(Acuses!$C$5:$C$3004,Acuses!$A$5:$A$3004,$A106,Acuses!$B$5:$B$3004,R$4)&lt;R$5,"Pendiente",IF(R$8=0,"OK",IF(EDATE(_xlfn.MAXIFS(Acuses!$D$5:$D$3004,Acuses!$A$5:$A$3004,$A106,Acuses!$B$5:$B$3004,R$4,Acuses!$C$5:$C$3004,R$5),R$8)&lt;Resumen!$C$4,"Caducado",IF(EDATE(_xlfn.MAXIFS(Acuses!$D$5:$D$3004,Acuses!$A$5:$A$3004,$A106,Acuses!$B$5:$B$3004,R$4,Acuses!$C$5:$C$3004,R$5),R$8)&lt;Resumen!$C$4+30,"Caduca pronto","OK"))))))</f>
        <v/>
      </c>
      <c r="S106" s="26" t="str">
        <f aca="false">IF(OR($A106="",S$4=""),"",IF(NOT(OR(S$6="Toda la plantilla",ISNUMBER(SEARCH(";"&amp;SUBSTITUTE($C106," ","")&amp;";",";"&amp;SUBSTITUTE(S$7," ","")&amp;";")))),"—",IF(_xlfn.MAXIFS(Acuses!$C$5:$C$3004,Acuses!$A$5:$A$3004,$A106,Acuses!$B$5:$B$3004,S$4)&lt;S$5,"Pendiente",IF(S$8=0,"OK",IF(EDATE(_xlfn.MAXIFS(Acuses!$D$5:$D$3004,Acuses!$A$5:$A$3004,$A106,Acuses!$B$5:$B$3004,S$4,Acuses!$C$5:$C$3004,S$5),S$8)&lt;Resumen!$C$4,"Caducado",IF(EDATE(_xlfn.MAXIFS(Acuses!$D$5:$D$3004,Acuses!$A$5:$A$3004,$A106,Acuses!$B$5:$B$3004,S$4,Acuses!$C$5:$C$3004,S$5),S$8)&lt;Resumen!$C$4+30,"Caduca pronto","OK"))))))</f>
        <v/>
      </c>
      <c r="T106" s="26" t="str">
        <f aca="false">IF(OR($A106="",T$4=""),"",IF(NOT(OR(T$6="Toda la plantilla",ISNUMBER(SEARCH(";"&amp;SUBSTITUTE($C106," ","")&amp;";",";"&amp;SUBSTITUTE(T$7," ","")&amp;";")))),"—",IF(_xlfn.MAXIFS(Acuses!$C$5:$C$3004,Acuses!$A$5:$A$3004,$A106,Acuses!$B$5:$B$3004,T$4)&lt;T$5,"Pendiente",IF(T$8=0,"OK",IF(EDATE(_xlfn.MAXIFS(Acuses!$D$5:$D$3004,Acuses!$A$5:$A$3004,$A106,Acuses!$B$5:$B$3004,T$4,Acuses!$C$5:$C$3004,T$5),T$8)&lt;Resumen!$C$4,"Caducado",IF(EDATE(_xlfn.MAXIFS(Acuses!$D$5:$D$3004,Acuses!$A$5:$A$3004,$A106,Acuses!$B$5:$B$3004,T$4,Acuses!$C$5:$C$3004,T$5),T$8)&lt;Resumen!$C$4+30,"Caduca pronto","OK"))))))</f>
        <v/>
      </c>
      <c r="U106" s="26" t="str">
        <f aca="false">IF(OR($A106="",U$4=""),"",IF(NOT(OR(U$6="Toda la plantilla",ISNUMBER(SEARCH(";"&amp;SUBSTITUTE($C106," ","")&amp;";",";"&amp;SUBSTITUTE(U$7," ","")&amp;";")))),"—",IF(_xlfn.MAXIFS(Acuses!$C$5:$C$3004,Acuses!$A$5:$A$3004,$A106,Acuses!$B$5:$B$3004,U$4)&lt;U$5,"Pendiente",IF(U$8=0,"OK",IF(EDATE(_xlfn.MAXIFS(Acuses!$D$5:$D$3004,Acuses!$A$5:$A$3004,$A106,Acuses!$B$5:$B$3004,U$4,Acuses!$C$5:$C$3004,U$5),U$8)&lt;Resumen!$C$4,"Caducado",IF(EDATE(_xlfn.MAXIFS(Acuses!$D$5:$D$3004,Acuses!$A$5:$A$3004,$A106,Acuses!$B$5:$B$3004,U$4,Acuses!$C$5:$C$3004,U$5),U$8)&lt;Resumen!$C$4+30,"Caduca pronto","OK"))))))</f>
        <v/>
      </c>
      <c r="V106" s="26" t="str">
        <f aca="false">IF(OR($A106="",V$4=""),"",IF(NOT(OR(V$6="Toda la plantilla",ISNUMBER(SEARCH(";"&amp;SUBSTITUTE($C106," ","")&amp;";",";"&amp;SUBSTITUTE(V$7," ","")&amp;";")))),"—",IF(_xlfn.MAXIFS(Acuses!$C$5:$C$3004,Acuses!$A$5:$A$3004,$A106,Acuses!$B$5:$B$3004,V$4)&lt;V$5,"Pendiente",IF(V$8=0,"OK",IF(EDATE(_xlfn.MAXIFS(Acuses!$D$5:$D$3004,Acuses!$A$5:$A$3004,$A106,Acuses!$B$5:$B$3004,V$4,Acuses!$C$5:$C$3004,V$5),V$8)&lt;Resumen!$C$4,"Caducado",IF(EDATE(_xlfn.MAXIFS(Acuses!$D$5:$D$3004,Acuses!$A$5:$A$3004,$A106,Acuses!$B$5:$B$3004,V$4,Acuses!$C$5:$C$3004,V$5),V$8)&lt;Resumen!$C$4+30,"Caduca pronto","OK"))))))</f>
        <v/>
      </c>
      <c r="W106" s="26" t="str">
        <f aca="false">IF(OR($A106="",W$4=""),"",IF(NOT(OR(W$6="Toda la plantilla",ISNUMBER(SEARCH(";"&amp;SUBSTITUTE($C106," ","")&amp;";",";"&amp;SUBSTITUTE(W$7," ","")&amp;";")))),"—",IF(_xlfn.MAXIFS(Acuses!$C$5:$C$3004,Acuses!$A$5:$A$3004,$A106,Acuses!$B$5:$B$3004,W$4)&lt;W$5,"Pendiente",IF(W$8=0,"OK",IF(EDATE(_xlfn.MAXIFS(Acuses!$D$5:$D$3004,Acuses!$A$5:$A$3004,$A106,Acuses!$B$5:$B$3004,W$4,Acuses!$C$5:$C$3004,W$5),W$8)&lt;Resumen!$C$4,"Caducado",IF(EDATE(_xlfn.MAXIFS(Acuses!$D$5:$D$3004,Acuses!$A$5:$A$3004,$A106,Acuses!$B$5:$B$3004,W$4,Acuses!$C$5:$C$3004,W$5),W$8)&lt;Resumen!$C$4+30,"Caduca pronto","OK"))))))</f>
        <v/>
      </c>
      <c r="X106" s="26" t="str">
        <f aca="false">IF(OR($A106="",X$4=""),"",IF(NOT(OR(X$6="Toda la plantilla",ISNUMBER(SEARCH(";"&amp;SUBSTITUTE($C106," ","")&amp;";",";"&amp;SUBSTITUTE(X$7," ","")&amp;";")))),"—",IF(_xlfn.MAXIFS(Acuses!$C$5:$C$3004,Acuses!$A$5:$A$3004,$A106,Acuses!$B$5:$B$3004,X$4)&lt;X$5,"Pendiente",IF(X$8=0,"OK",IF(EDATE(_xlfn.MAXIFS(Acuses!$D$5:$D$3004,Acuses!$A$5:$A$3004,$A106,Acuses!$B$5:$B$3004,X$4,Acuses!$C$5:$C$3004,X$5),X$8)&lt;Resumen!$C$4,"Caducado",IF(EDATE(_xlfn.MAXIFS(Acuses!$D$5:$D$3004,Acuses!$A$5:$A$3004,$A106,Acuses!$B$5:$B$3004,X$4,Acuses!$C$5:$C$3004,X$5),X$8)&lt;Resumen!$C$4+30,"Caduca pronto","OK"))))))</f>
        <v/>
      </c>
      <c r="Y106" s="26" t="str">
        <f aca="false">IF(OR($A106="",Y$4=""),"",IF(NOT(OR(Y$6="Toda la plantilla",ISNUMBER(SEARCH(";"&amp;SUBSTITUTE($C106," ","")&amp;";",";"&amp;SUBSTITUTE(Y$7," ","")&amp;";")))),"—",IF(_xlfn.MAXIFS(Acuses!$C$5:$C$3004,Acuses!$A$5:$A$3004,$A106,Acuses!$B$5:$B$3004,Y$4)&lt;Y$5,"Pendiente",IF(Y$8=0,"OK",IF(EDATE(_xlfn.MAXIFS(Acuses!$D$5:$D$3004,Acuses!$A$5:$A$3004,$A106,Acuses!$B$5:$B$3004,Y$4,Acuses!$C$5:$C$3004,Y$5),Y$8)&lt;Resumen!$C$4,"Caducado",IF(EDATE(_xlfn.MAXIFS(Acuses!$D$5:$D$3004,Acuses!$A$5:$A$3004,$A106,Acuses!$B$5:$B$3004,Y$4,Acuses!$C$5:$C$3004,Y$5),Y$8)&lt;Resumen!$C$4+30,"Caduca pronto","OK"))))))</f>
        <v/>
      </c>
      <c r="Z106" s="26" t="str">
        <f aca="false">IF(OR($A106="",Z$4=""),"",IF(NOT(OR(Z$6="Toda la plantilla",ISNUMBER(SEARCH(";"&amp;SUBSTITUTE($C106," ","")&amp;";",";"&amp;SUBSTITUTE(Z$7," ","")&amp;";")))),"—",IF(_xlfn.MAXIFS(Acuses!$C$5:$C$3004,Acuses!$A$5:$A$3004,$A106,Acuses!$B$5:$B$3004,Z$4)&lt;Z$5,"Pendiente",IF(Z$8=0,"OK",IF(EDATE(_xlfn.MAXIFS(Acuses!$D$5:$D$3004,Acuses!$A$5:$A$3004,$A106,Acuses!$B$5:$B$3004,Z$4,Acuses!$C$5:$C$3004,Z$5),Z$8)&lt;Resumen!$C$4,"Caducado",IF(EDATE(_xlfn.MAXIFS(Acuses!$D$5:$D$3004,Acuses!$A$5:$A$3004,$A106,Acuses!$B$5:$B$3004,Z$4,Acuses!$C$5:$C$3004,Z$5),Z$8)&lt;Resumen!$C$4+30,"Caduca pronto","OK"))))))</f>
        <v/>
      </c>
      <c r="AA106" s="26" t="str">
        <f aca="false">IF(OR($A106="",AA$4=""),"",IF(NOT(OR(AA$6="Toda la plantilla",ISNUMBER(SEARCH(";"&amp;SUBSTITUTE($C106," ","")&amp;";",";"&amp;SUBSTITUTE(AA$7," ","")&amp;";")))),"—",IF(_xlfn.MAXIFS(Acuses!$C$5:$C$3004,Acuses!$A$5:$A$3004,$A106,Acuses!$B$5:$B$3004,AA$4)&lt;AA$5,"Pendiente",IF(AA$8=0,"OK",IF(EDATE(_xlfn.MAXIFS(Acuses!$D$5:$D$3004,Acuses!$A$5:$A$3004,$A106,Acuses!$B$5:$B$3004,AA$4,Acuses!$C$5:$C$3004,AA$5),AA$8)&lt;Resumen!$C$4,"Caducado",IF(EDATE(_xlfn.MAXIFS(Acuses!$D$5:$D$3004,Acuses!$A$5:$A$3004,$A106,Acuses!$B$5:$B$3004,AA$4,Acuses!$C$5:$C$3004,AA$5),AA$8)&lt;Resumen!$C$4+30,"Caduca pronto","OK"))))))</f>
        <v/>
      </c>
      <c r="AB106" s="26" t="str">
        <f aca="false">IF(OR($A106="",AB$4=""),"",IF(NOT(OR(AB$6="Toda la plantilla",ISNUMBER(SEARCH(";"&amp;SUBSTITUTE($C106," ","")&amp;";",";"&amp;SUBSTITUTE(AB$7," ","")&amp;";")))),"—",IF(_xlfn.MAXIFS(Acuses!$C$5:$C$3004,Acuses!$A$5:$A$3004,$A106,Acuses!$B$5:$B$3004,AB$4)&lt;AB$5,"Pendiente",IF(AB$8=0,"OK",IF(EDATE(_xlfn.MAXIFS(Acuses!$D$5:$D$3004,Acuses!$A$5:$A$3004,$A106,Acuses!$B$5:$B$3004,AB$4,Acuses!$C$5:$C$3004,AB$5),AB$8)&lt;Resumen!$C$4,"Caducado",IF(EDATE(_xlfn.MAXIFS(Acuses!$D$5:$D$3004,Acuses!$A$5:$A$3004,$A106,Acuses!$B$5:$B$3004,AB$4,Acuses!$C$5:$C$3004,AB$5),AB$8)&lt;Resumen!$C$4+30,"Caduca pronto","OK"))))))</f>
        <v/>
      </c>
      <c r="AC106" s="26" t="str">
        <f aca="false">IF(OR($A106="",AC$4=""),"",IF(NOT(OR(AC$6="Toda la plantilla",ISNUMBER(SEARCH(";"&amp;SUBSTITUTE($C106," ","")&amp;";",";"&amp;SUBSTITUTE(AC$7," ","")&amp;";")))),"—",IF(_xlfn.MAXIFS(Acuses!$C$5:$C$3004,Acuses!$A$5:$A$3004,$A106,Acuses!$B$5:$B$3004,AC$4)&lt;AC$5,"Pendiente",IF(AC$8=0,"OK",IF(EDATE(_xlfn.MAXIFS(Acuses!$D$5:$D$3004,Acuses!$A$5:$A$3004,$A106,Acuses!$B$5:$B$3004,AC$4,Acuses!$C$5:$C$3004,AC$5),AC$8)&lt;Resumen!$C$4,"Caducado",IF(EDATE(_xlfn.MAXIFS(Acuses!$D$5:$D$3004,Acuses!$A$5:$A$3004,$A106,Acuses!$B$5:$B$3004,AC$4,Acuses!$C$5:$C$3004,AC$5),AC$8)&lt;Resumen!$C$4+30,"Caduca pronto","OK"))))))</f>
        <v/>
      </c>
      <c r="AD106" s="26" t="str">
        <f aca="false">IF(OR($A106="",AD$4=""),"",IF(NOT(OR(AD$6="Toda la plantilla",ISNUMBER(SEARCH(";"&amp;SUBSTITUTE($C106," ","")&amp;";",";"&amp;SUBSTITUTE(AD$7," ","")&amp;";")))),"—",IF(_xlfn.MAXIFS(Acuses!$C$5:$C$3004,Acuses!$A$5:$A$3004,$A106,Acuses!$B$5:$B$3004,AD$4)&lt;AD$5,"Pendiente",IF(AD$8=0,"OK",IF(EDATE(_xlfn.MAXIFS(Acuses!$D$5:$D$3004,Acuses!$A$5:$A$3004,$A106,Acuses!$B$5:$B$3004,AD$4,Acuses!$C$5:$C$3004,AD$5),AD$8)&lt;Resumen!$C$4,"Caducado",IF(EDATE(_xlfn.MAXIFS(Acuses!$D$5:$D$3004,Acuses!$A$5:$A$3004,$A106,Acuses!$B$5:$B$3004,AD$4,Acuses!$C$5:$C$3004,AD$5),AD$8)&lt;Resumen!$C$4+30,"Caduca pronto","OK"))))))</f>
        <v/>
      </c>
      <c r="AE106" s="26" t="str">
        <f aca="false">IF(OR($A106="",AE$4=""),"",IF(NOT(OR(AE$6="Toda la plantilla",ISNUMBER(SEARCH(";"&amp;SUBSTITUTE($C106," ","")&amp;";",";"&amp;SUBSTITUTE(AE$7," ","")&amp;";")))),"—",IF(_xlfn.MAXIFS(Acuses!$C$5:$C$3004,Acuses!$A$5:$A$3004,$A106,Acuses!$B$5:$B$3004,AE$4)&lt;AE$5,"Pendiente",IF(AE$8=0,"OK",IF(EDATE(_xlfn.MAXIFS(Acuses!$D$5:$D$3004,Acuses!$A$5:$A$3004,$A106,Acuses!$B$5:$B$3004,AE$4,Acuses!$C$5:$C$3004,AE$5),AE$8)&lt;Resumen!$C$4,"Caducado",IF(EDATE(_xlfn.MAXIFS(Acuses!$D$5:$D$3004,Acuses!$A$5:$A$3004,$A106,Acuses!$B$5:$B$3004,AE$4,Acuses!$C$5:$C$3004,AE$5),AE$8)&lt;Resumen!$C$4+30,"Caduca pronto","OK"))))))</f>
        <v/>
      </c>
      <c r="AF106" s="26" t="str">
        <f aca="false">IF(OR($A106="",AF$4=""),"",IF(NOT(OR(AF$6="Toda la plantilla",ISNUMBER(SEARCH(";"&amp;SUBSTITUTE($C106," ","")&amp;";",";"&amp;SUBSTITUTE(AF$7," ","")&amp;";")))),"—",IF(_xlfn.MAXIFS(Acuses!$C$5:$C$3004,Acuses!$A$5:$A$3004,$A106,Acuses!$B$5:$B$3004,AF$4)&lt;AF$5,"Pendiente",IF(AF$8=0,"OK",IF(EDATE(_xlfn.MAXIFS(Acuses!$D$5:$D$3004,Acuses!$A$5:$A$3004,$A106,Acuses!$B$5:$B$3004,AF$4,Acuses!$C$5:$C$3004,AF$5),AF$8)&lt;Resumen!$C$4,"Caducado",IF(EDATE(_xlfn.MAXIFS(Acuses!$D$5:$D$3004,Acuses!$A$5:$A$3004,$A106,Acuses!$B$5:$B$3004,AF$4,Acuses!$C$5:$C$3004,AF$5),AF$8)&lt;Resumen!$C$4+30,"Caduca pronto","OK"))))))</f>
        <v/>
      </c>
      <c r="AG106" s="26" t="str">
        <f aca="false">IF(OR($A106="",AG$4=""),"",IF(NOT(OR(AG$6="Toda la plantilla",ISNUMBER(SEARCH(";"&amp;SUBSTITUTE($C106," ","")&amp;";",";"&amp;SUBSTITUTE(AG$7," ","")&amp;";")))),"—",IF(_xlfn.MAXIFS(Acuses!$C$5:$C$3004,Acuses!$A$5:$A$3004,$A106,Acuses!$B$5:$B$3004,AG$4)&lt;AG$5,"Pendiente",IF(AG$8=0,"OK",IF(EDATE(_xlfn.MAXIFS(Acuses!$D$5:$D$3004,Acuses!$A$5:$A$3004,$A106,Acuses!$B$5:$B$3004,AG$4,Acuses!$C$5:$C$3004,AG$5),AG$8)&lt;Resumen!$C$4,"Caducado",IF(EDATE(_xlfn.MAXIFS(Acuses!$D$5:$D$3004,Acuses!$A$5:$A$3004,$A106,Acuses!$B$5:$B$3004,AG$4,Acuses!$C$5:$C$3004,AG$5),AG$8)&lt;Resumen!$C$4+30,"Caduca pronto","OK"))))))</f>
        <v/>
      </c>
      <c r="AH106" s="26" t="str">
        <f aca="false">IF(OR($A106="",AH$4=""),"",IF(NOT(OR(AH$6="Toda la plantilla",ISNUMBER(SEARCH(";"&amp;SUBSTITUTE($C106," ","")&amp;";",";"&amp;SUBSTITUTE(AH$7," ","")&amp;";")))),"—",IF(_xlfn.MAXIFS(Acuses!$C$5:$C$3004,Acuses!$A$5:$A$3004,$A106,Acuses!$B$5:$B$3004,AH$4)&lt;AH$5,"Pendiente",IF(AH$8=0,"OK",IF(EDATE(_xlfn.MAXIFS(Acuses!$D$5:$D$3004,Acuses!$A$5:$A$3004,$A106,Acuses!$B$5:$B$3004,AH$4,Acuses!$C$5:$C$3004,AH$5),AH$8)&lt;Resumen!$C$4,"Caducado",IF(EDATE(_xlfn.MAXIFS(Acuses!$D$5:$D$3004,Acuses!$A$5:$A$3004,$A106,Acuses!$B$5:$B$3004,AH$4,Acuses!$C$5:$C$3004,AH$5),AH$8)&lt;Resumen!$C$4+30,"Caduca pronto","OK"))))))</f>
        <v/>
      </c>
      <c r="AI106" s="26" t="str">
        <f aca="false">IF(OR($A106="",AI$4=""),"",IF(NOT(OR(AI$6="Toda la plantilla",ISNUMBER(SEARCH(";"&amp;SUBSTITUTE($C106," ","")&amp;";",";"&amp;SUBSTITUTE(AI$7," ","")&amp;";")))),"—",IF(_xlfn.MAXIFS(Acuses!$C$5:$C$3004,Acuses!$A$5:$A$3004,$A106,Acuses!$B$5:$B$3004,AI$4)&lt;AI$5,"Pendiente",IF(AI$8=0,"OK",IF(EDATE(_xlfn.MAXIFS(Acuses!$D$5:$D$3004,Acuses!$A$5:$A$3004,$A106,Acuses!$B$5:$B$3004,AI$4,Acuses!$C$5:$C$3004,AI$5),AI$8)&lt;Resumen!$C$4,"Caducado",IF(EDATE(_xlfn.MAXIFS(Acuses!$D$5:$D$3004,Acuses!$A$5:$A$3004,$A106,Acuses!$B$5:$B$3004,AI$4,Acuses!$C$5:$C$3004,AI$5),AI$8)&lt;Resumen!$C$4+30,"Caduca pronto","OK"))))))</f>
        <v/>
      </c>
      <c r="AJ106" s="26" t="str">
        <f aca="false">IF(OR($A106="",AJ$4=""),"",IF(NOT(OR(AJ$6="Toda la plantilla",ISNUMBER(SEARCH(";"&amp;SUBSTITUTE($C106," ","")&amp;";",";"&amp;SUBSTITUTE(AJ$7," ","")&amp;";")))),"—",IF(_xlfn.MAXIFS(Acuses!$C$5:$C$3004,Acuses!$A$5:$A$3004,$A106,Acuses!$B$5:$B$3004,AJ$4)&lt;AJ$5,"Pendiente",IF(AJ$8=0,"OK",IF(EDATE(_xlfn.MAXIFS(Acuses!$D$5:$D$3004,Acuses!$A$5:$A$3004,$A106,Acuses!$B$5:$B$3004,AJ$4,Acuses!$C$5:$C$3004,AJ$5),AJ$8)&lt;Resumen!$C$4,"Caducado",IF(EDATE(_xlfn.MAXIFS(Acuses!$D$5:$D$3004,Acuses!$A$5:$A$3004,$A106,Acuses!$B$5:$B$3004,AJ$4,Acuses!$C$5:$C$3004,AJ$5),AJ$8)&lt;Resumen!$C$4+30,"Caduca pronto","OK"))))))</f>
        <v/>
      </c>
      <c r="AK106" s="26" t="str">
        <f aca="false">IF(OR($A106="",AK$4=""),"",IF(NOT(OR(AK$6="Toda la plantilla",ISNUMBER(SEARCH(";"&amp;SUBSTITUTE($C106," ","")&amp;";",";"&amp;SUBSTITUTE(AK$7," ","")&amp;";")))),"—",IF(_xlfn.MAXIFS(Acuses!$C$5:$C$3004,Acuses!$A$5:$A$3004,$A106,Acuses!$B$5:$B$3004,AK$4)&lt;AK$5,"Pendiente",IF(AK$8=0,"OK",IF(EDATE(_xlfn.MAXIFS(Acuses!$D$5:$D$3004,Acuses!$A$5:$A$3004,$A106,Acuses!$B$5:$B$3004,AK$4,Acuses!$C$5:$C$3004,AK$5),AK$8)&lt;Resumen!$C$4,"Caducado",IF(EDATE(_xlfn.MAXIFS(Acuses!$D$5:$D$3004,Acuses!$A$5:$A$3004,$A106,Acuses!$B$5:$B$3004,AK$4,Acuses!$C$5:$C$3004,AK$5),AK$8)&lt;Resumen!$C$4+30,"Caduca pronto","OK"))))))</f>
        <v/>
      </c>
      <c r="AL106" s="26" t="str">
        <f aca="false">IF(OR($A106="",AL$4=""),"",IF(NOT(OR(AL$6="Toda la plantilla",ISNUMBER(SEARCH(";"&amp;SUBSTITUTE($C106," ","")&amp;";",";"&amp;SUBSTITUTE(AL$7," ","")&amp;";")))),"—",IF(_xlfn.MAXIFS(Acuses!$C$5:$C$3004,Acuses!$A$5:$A$3004,$A106,Acuses!$B$5:$B$3004,AL$4)&lt;AL$5,"Pendiente",IF(AL$8=0,"OK",IF(EDATE(_xlfn.MAXIFS(Acuses!$D$5:$D$3004,Acuses!$A$5:$A$3004,$A106,Acuses!$B$5:$B$3004,AL$4,Acuses!$C$5:$C$3004,AL$5),AL$8)&lt;Resumen!$C$4,"Caducado",IF(EDATE(_xlfn.MAXIFS(Acuses!$D$5:$D$3004,Acuses!$A$5:$A$3004,$A106,Acuses!$B$5:$B$3004,AL$4,Acuses!$C$5:$C$3004,AL$5),AL$8)&lt;Resumen!$C$4+30,"Caduca pronto","OK"))))))</f>
        <v/>
      </c>
      <c r="AM106" s="26" t="str">
        <f aca="false">IF(OR($A106="",AM$4=""),"",IF(NOT(OR(AM$6="Toda la plantilla",ISNUMBER(SEARCH(";"&amp;SUBSTITUTE($C106," ","")&amp;";",";"&amp;SUBSTITUTE(AM$7," ","")&amp;";")))),"—",IF(_xlfn.MAXIFS(Acuses!$C$5:$C$3004,Acuses!$A$5:$A$3004,$A106,Acuses!$B$5:$B$3004,AM$4)&lt;AM$5,"Pendiente",IF(AM$8=0,"OK",IF(EDATE(_xlfn.MAXIFS(Acuses!$D$5:$D$3004,Acuses!$A$5:$A$3004,$A106,Acuses!$B$5:$B$3004,AM$4,Acuses!$C$5:$C$3004,AM$5),AM$8)&lt;Resumen!$C$4,"Caducado",IF(EDATE(_xlfn.MAXIFS(Acuses!$D$5:$D$3004,Acuses!$A$5:$A$3004,$A106,Acuses!$B$5:$B$3004,AM$4,Acuses!$C$5:$C$3004,AM$5),AM$8)&lt;Resumen!$C$4+30,"Caduca pronto","OK"))))))</f>
        <v/>
      </c>
      <c r="AN106" s="26" t="str">
        <f aca="false">IF(OR($A106="",AN$4=""),"",IF(NOT(OR(AN$6="Toda la plantilla",ISNUMBER(SEARCH(";"&amp;SUBSTITUTE($C106," ","")&amp;";",";"&amp;SUBSTITUTE(AN$7," ","")&amp;";")))),"—",IF(_xlfn.MAXIFS(Acuses!$C$5:$C$3004,Acuses!$A$5:$A$3004,$A106,Acuses!$B$5:$B$3004,AN$4)&lt;AN$5,"Pendiente",IF(AN$8=0,"OK",IF(EDATE(_xlfn.MAXIFS(Acuses!$D$5:$D$3004,Acuses!$A$5:$A$3004,$A106,Acuses!$B$5:$B$3004,AN$4,Acuses!$C$5:$C$3004,AN$5),AN$8)&lt;Resumen!$C$4,"Caducado",IF(EDATE(_xlfn.MAXIFS(Acuses!$D$5:$D$3004,Acuses!$A$5:$A$3004,$A106,Acuses!$B$5:$B$3004,AN$4,Acuses!$C$5:$C$3004,AN$5),AN$8)&lt;Resumen!$C$4+30,"Caduca pronto","OK"))))))</f>
        <v/>
      </c>
      <c r="AO106" s="26" t="str">
        <f aca="false">IF(OR($A106="",AO$4=""),"",IF(NOT(OR(AO$6="Toda la plantilla",ISNUMBER(SEARCH(";"&amp;SUBSTITUTE($C106," ","")&amp;";",";"&amp;SUBSTITUTE(AO$7," ","")&amp;";")))),"—",IF(_xlfn.MAXIFS(Acuses!$C$5:$C$3004,Acuses!$A$5:$A$3004,$A106,Acuses!$B$5:$B$3004,AO$4)&lt;AO$5,"Pendiente",IF(AO$8=0,"OK",IF(EDATE(_xlfn.MAXIFS(Acuses!$D$5:$D$3004,Acuses!$A$5:$A$3004,$A106,Acuses!$B$5:$B$3004,AO$4,Acuses!$C$5:$C$3004,AO$5),AO$8)&lt;Resumen!$C$4,"Caducado",IF(EDATE(_xlfn.MAXIFS(Acuses!$D$5:$D$3004,Acuses!$A$5:$A$3004,$A106,Acuses!$B$5:$B$3004,AO$4,Acuses!$C$5:$C$3004,AO$5),AO$8)&lt;Resumen!$C$4+30,"Caduca pronto","OK"))))))</f>
        <v/>
      </c>
      <c r="AP106" s="26" t="str">
        <f aca="false">IF(OR($A106="",AP$4=""),"",IF(NOT(OR(AP$6="Toda la plantilla",ISNUMBER(SEARCH(";"&amp;SUBSTITUTE($C106," ","")&amp;";",";"&amp;SUBSTITUTE(AP$7," ","")&amp;";")))),"—",IF(_xlfn.MAXIFS(Acuses!$C$5:$C$3004,Acuses!$A$5:$A$3004,$A106,Acuses!$B$5:$B$3004,AP$4)&lt;AP$5,"Pendiente",IF(AP$8=0,"OK",IF(EDATE(_xlfn.MAXIFS(Acuses!$D$5:$D$3004,Acuses!$A$5:$A$3004,$A106,Acuses!$B$5:$B$3004,AP$4,Acuses!$C$5:$C$3004,AP$5),AP$8)&lt;Resumen!$C$4,"Caducado",IF(EDATE(_xlfn.MAXIFS(Acuses!$D$5:$D$3004,Acuses!$A$5:$A$3004,$A106,Acuses!$B$5:$B$3004,AP$4,Acuses!$C$5:$C$3004,AP$5),AP$8)&lt;Resumen!$C$4+30,"Caduca pronto","OK"))))))</f>
        <v/>
      </c>
      <c r="AQ106" s="26" t="str">
        <f aca="false">IF(OR($A106="",AQ$4=""),"",IF(NOT(OR(AQ$6="Toda la plantilla",ISNUMBER(SEARCH(";"&amp;SUBSTITUTE($C106," ","")&amp;";",";"&amp;SUBSTITUTE(AQ$7," ","")&amp;";")))),"—",IF(_xlfn.MAXIFS(Acuses!$C$5:$C$3004,Acuses!$A$5:$A$3004,$A106,Acuses!$B$5:$B$3004,AQ$4)&lt;AQ$5,"Pendiente",IF(AQ$8=0,"OK",IF(EDATE(_xlfn.MAXIFS(Acuses!$D$5:$D$3004,Acuses!$A$5:$A$3004,$A106,Acuses!$B$5:$B$3004,AQ$4,Acuses!$C$5:$C$3004,AQ$5),AQ$8)&lt;Resumen!$C$4,"Caducado",IF(EDATE(_xlfn.MAXIFS(Acuses!$D$5:$D$3004,Acuses!$A$5:$A$3004,$A106,Acuses!$B$5:$B$3004,AQ$4,Acuses!$C$5:$C$3004,AQ$5),AQ$8)&lt;Resumen!$C$4+30,"Caduca pronto","OK"))))))</f>
        <v/>
      </c>
    </row>
    <row r="107" customFormat="false" ht="15" hidden="false" customHeight="false" outlineLevel="0" collapsed="false">
      <c r="A107" s="25" t="str">
        <f aca="false">IF(AND(Trabajadores!$A$102&lt;&gt;"",Trabajadores!$G$102&lt;&gt;"No"),Trabajadores!$A$102,"")</f>
        <v/>
      </c>
      <c r="B107" s="25" t="str">
        <f aca="false">IF($A107="","",Trabajadores!$B$102)</f>
        <v/>
      </c>
      <c r="C107" s="25" t="str">
        <f aca="false">IF($A107="","",Trabajadores!$C$102)</f>
        <v/>
      </c>
      <c r="D107" s="26" t="str">
        <f aca="false">IF(OR($A107="",D$4=""),"",IF(NOT(OR(D$6="Toda la plantilla",ISNUMBER(SEARCH(";"&amp;SUBSTITUTE($C107," ","")&amp;";",";"&amp;SUBSTITUTE(D$7," ","")&amp;";")))),"—",IF(_xlfn.MAXIFS(Acuses!$C$5:$C$3004,Acuses!$A$5:$A$3004,$A107,Acuses!$B$5:$B$3004,D$4)&lt;D$5,"Pendiente",IF(D$8=0,"OK",IF(EDATE(_xlfn.MAXIFS(Acuses!$D$5:$D$3004,Acuses!$A$5:$A$3004,$A107,Acuses!$B$5:$B$3004,D$4,Acuses!$C$5:$C$3004,D$5),D$8)&lt;Resumen!$C$4,"Caducado",IF(EDATE(_xlfn.MAXIFS(Acuses!$D$5:$D$3004,Acuses!$A$5:$A$3004,$A107,Acuses!$B$5:$B$3004,D$4,Acuses!$C$5:$C$3004,D$5),D$8)&lt;Resumen!$C$4+30,"Caduca pronto","OK"))))))</f>
        <v/>
      </c>
      <c r="E107" s="26" t="str">
        <f aca="false">IF(OR($A107="",E$4=""),"",IF(NOT(OR(E$6="Toda la plantilla",ISNUMBER(SEARCH(";"&amp;SUBSTITUTE($C107," ","")&amp;";",";"&amp;SUBSTITUTE(E$7," ","")&amp;";")))),"—",IF(_xlfn.MAXIFS(Acuses!$C$5:$C$3004,Acuses!$A$5:$A$3004,$A107,Acuses!$B$5:$B$3004,E$4)&lt;E$5,"Pendiente",IF(E$8=0,"OK",IF(EDATE(_xlfn.MAXIFS(Acuses!$D$5:$D$3004,Acuses!$A$5:$A$3004,$A107,Acuses!$B$5:$B$3004,E$4,Acuses!$C$5:$C$3004,E$5),E$8)&lt;Resumen!$C$4,"Caducado",IF(EDATE(_xlfn.MAXIFS(Acuses!$D$5:$D$3004,Acuses!$A$5:$A$3004,$A107,Acuses!$B$5:$B$3004,E$4,Acuses!$C$5:$C$3004,E$5),E$8)&lt;Resumen!$C$4+30,"Caduca pronto","OK"))))))</f>
        <v/>
      </c>
      <c r="F107" s="26" t="str">
        <f aca="false">IF(OR($A107="",F$4=""),"",IF(NOT(OR(F$6="Toda la plantilla",ISNUMBER(SEARCH(";"&amp;SUBSTITUTE($C107," ","")&amp;";",";"&amp;SUBSTITUTE(F$7," ","")&amp;";")))),"—",IF(_xlfn.MAXIFS(Acuses!$C$5:$C$3004,Acuses!$A$5:$A$3004,$A107,Acuses!$B$5:$B$3004,F$4)&lt;F$5,"Pendiente",IF(F$8=0,"OK",IF(EDATE(_xlfn.MAXIFS(Acuses!$D$5:$D$3004,Acuses!$A$5:$A$3004,$A107,Acuses!$B$5:$B$3004,F$4,Acuses!$C$5:$C$3004,F$5),F$8)&lt;Resumen!$C$4,"Caducado",IF(EDATE(_xlfn.MAXIFS(Acuses!$D$5:$D$3004,Acuses!$A$5:$A$3004,$A107,Acuses!$B$5:$B$3004,F$4,Acuses!$C$5:$C$3004,F$5),F$8)&lt;Resumen!$C$4+30,"Caduca pronto","OK"))))))</f>
        <v/>
      </c>
      <c r="G107" s="26" t="str">
        <f aca="false">IF(OR($A107="",G$4=""),"",IF(NOT(OR(G$6="Toda la plantilla",ISNUMBER(SEARCH(";"&amp;SUBSTITUTE($C107," ","")&amp;";",";"&amp;SUBSTITUTE(G$7," ","")&amp;";")))),"—",IF(_xlfn.MAXIFS(Acuses!$C$5:$C$3004,Acuses!$A$5:$A$3004,$A107,Acuses!$B$5:$B$3004,G$4)&lt;G$5,"Pendiente",IF(G$8=0,"OK",IF(EDATE(_xlfn.MAXIFS(Acuses!$D$5:$D$3004,Acuses!$A$5:$A$3004,$A107,Acuses!$B$5:$B$3004,G$4,Acuses!$C$5:$C$3004,G$5),G$8)&lt;Resumen!$C$4,"Caducado",IF(EDATE(_xlfn.MAXIFS(Acuses!$D$5:$D$3004,Acuses!$A$5:$A$3004,$A107,Acuses!$B$5:$B$3004,G$4,Acuses!$C$5:$C$3004,G$5),G$8)&lt;Resumen!$C$4+30,"Caduca pronto","OK"))))))</f>
        <v/>
      </c>
      <c r="H107" s="26" t="str">
        <f aca="false">IF(OR($A107="",H$4=""),"",IF(NOT(OR(H$6="Toda la plantilla",ISNUMBER(SEARCH(";"&amp;SUBSTITUTE($C107," ","")&amp;";",";"&amp;SUBSTITUTE(H$7," ","")&amp;";")))),"—",IF(_xlfn.MAXIFS(Acuses!$C$5:$C$3004,Acuses!$A$5:$A$3004,$A107,Acuses!$B$5:$B$3004,H$4)&lt;H$5,"Pendiente",IF(H$8=0,"OK",IF(EDATE(_xlfn.MAXIFS(Acuses!$D$5:$D$3004,Acuses!$A$5:$A$3004,$A107,Acuses!$B$5:$B$3004,H$4,Acuses!$C$5:$C$3004,H$5),H$8)&lt;Resumen!$C$4,"Caducado",IF(EDATE(_xlfn.MAXIFS(Acuses!$D$5:$D$3004,Acuses!$A$5:$A$3004,$A107,Acuses!$B$5:$B$3004,H$4,Acuses!$C$5:$C$3004,H$5),H$8)&lt;Resumen!$C$4+30,"Caduca pronto","OK"))))))</f>
        <v/>
      </c>
      <c r="I107" s="26" t="str">
        <f aca="false">IF(OR($A107="",I$4=""),"",IF(NOT(OR(I$6="Toda la plantilla",ISNUMBER(SEARCH(";"&amp;SUBSTITUTE($C107," ","")&amp;";",";"&amp;SUBSTITUTE(I$7," ","")&amp;";")))),"—",IF(_xlfn.MAXIFS(Acuses!$C$5:$C$3004,Acuses!$A$5:$A$3004,$A107,Acuses!$B$5:$B$3004,I$4)&lt;I$5,"Pendiente",IF(I$8=0,"OK",IF(EDATE(_xlfn.MAXIFS(Acuses!$D$5:$D$3004,Acuses!$A$5:$A$3004,$A107,Acuses!$B$5:$B$3004,I$4,Acuses!$C$5:$C$3004,I$5),I$8)&lt;Resumen!$C$4,"Caducado",IF(EDATE(_xlfn.MAXIFS(Acuses!$D$5:$D$3004,Acuses!$A$5:$A$3004,$A107,Acuses!$B$5:$B$3004,I$4,Acuses!$C$5:$C$3004,I$5),I$8)&lt;Resumen!$C$4+30,"Caduca pronto","OK"))))))</f>
        <v/>
      </c>
      <c r="J107" s="26" t="str">
        <f aca="false">IF(OR($A107="",J$4=""),"",IF(NOT(OR(J$6="Toda la plantilla",ISNUMBER(SEARCH(";"&amp;SUBSTITUTE($C107," ","")&amp;";",";"&amp;SUBSTITUTE(J$7," ","")&amp;";")))),"—",IF(_xlfn.MAXIFS(Acuses!$C$5:$C$3004,Acuses!$A$5:$A$3004,$A107,Acuses!$B$5:$B$3004,J$4)&lt;J$5,"Pendiente",IF(J$8=0,"OK",IF(EDATE(_xlfn.MAXIFS(Acuses!$D$5:$D$3004,Acuses!$A$5:$A$3004,$A107,Acuses!$B$5:$B$3004,J$4,Acuses!$C$5:$C$3004,J$5),J$8)&lt;Resumen!$C$4,"Caducado",IF(EDATE(_xlfn.MAXIFS(Acuses!$D$5:$D$3004,Acuses!$A$5:$A$3004,$A107,Acuses!$B$5:$B$3004,J$4,Acuses!$C$5:$C$3004,J$5),J$8)&lt;Resumen!$C$4+30,"Caduca pronto","OK"))))))</f>
        <v/>
      </c>
      <c r="K107" s="26" t="str">
        <f aca="false">IF(OR($A107="",K$4=""),"",IF(NOT(OR(K$6="Toda la plantilla",ISNUMBER(SEARCH(";"&amp;SUBSTITUTE($C107," ","")&amp;";",";"&amp;SUBSTITUTE(K$7," ","")&amp;";")))),"—",IF(_xlfn.MAXIFS(Acuses!$C$5:$C$3004,Acuses!$A$5:$A$3004,$A107,Acuses!$B$5:$B$3004,K$4)&lt;K$5,"Pendiente",IF(K$8=0,"OK",IF(EDATE(_xlfn.MAXIFS(Acuses!$D$5:$D$3004,Acuses!$A$5:$A$3004,$A107,Acuses!$B$5:$B$3004,K$4,Acuses!$C$5:$C$3004,K$5),K$8)&lt;Resumen!$C$4,"Caducado",IF(EDATE(_xlfn.MAXIFS(Acuses!$D$5:$D$3004,Acuses!$A$5:$A$3004,$A107,Acuses!$B$5:$B$3004,K$4,Acuses!$C$5:$C$3004,K$5),K$8)&lt;Resumen!$C$4+30,"Caduca pronto","OK"))))))</f>
        <v/>
      </c>
      <c r="L107" s="26" t="str">
        <f aca="false">IF(OR($A107="",L$4=""),"",IF(NOT(OR(L$6="Toda la plantilla",ISNUMBER(SEARCH(";"&amp;SUBSTITUTE($C107," ","")&amp;";",";"&amp;SUBSTITUTE(L$7," ","")&amp;";")))),"—",IF(_xlfn.MAXIFS(Acuses!$C$5:$C$3004,Acuses!$A$5:$A$3004,$A107,Acuses!$B$5:$B$3004,L$4)&lt;L$5,"Pendiente",IF(L$8=0,"OK",IF(EDATE(_xlfn.MAXIFS(Acuses!$D$5:$D$3004,Acuses!$A$5:$A$3004,$A107,Acuses!$B$5:$B$3004,L$4,Acuses!$C$5:$C$3004,L$5),L$8)&lt;Resumen!$C$4,"Caducado",IF(EDATE(_xlfn.MAXIFS(Acuses!$D$5:$D$3004,Acuses!$A$5:$A$3004,$A107,Acuses!$B$5:$B$3004,L$4,Acuses!$C$5:$C$3004,L$5),L$8)&lt;Resumen!$C$4+30,"Caduca pronto","OK"))))))</f>
        <v/>
      </c>
      <c r="M107" s="26" t="str">
        <f aca="false">IF(OR($A107="",M$4=""),"",IF(NOT(OR(M$6="Toda la plantilla",ISNUMBER(SEARCH(";"&amp;SUBSTITUTE($C107," ","")&amp;";",";"&amp;SUBSTITUTE(M$7," ","")&amp;";")))),"—",IF(_xlfn.MAXIFS(Acuses!$C$5:$C$3004,Acuses!$A$5:$A$3004,$A107,Acuses!$B$5:$B$3004,M$4)&lt;M$5,"Pendiente",IF(M$8=0,"OK",IF(EDATE(_xlfn.MAXIFS(Acuses!$D$5:$D$3004,Acuses!$A$5:$A$3004,$A107,Acuses!$B$5:$B$3004,M$4,Acuses!$C$5:$C$3004,M$5),M$8)&lt;Resumen!$C$4,"Caducado",IF(EDATE(_xlfn.MAXIFS(Acuses!$D$5:$D$3004,Acuses!$A$5:$A$3004,$A107,Acuses!$B$5:$B$3004,M$4,Acuses!$C$5:$C$3004,M$5),M$8)&lt;Resumen!$C$4+30,"Caduca pronto","OK"))))))</f>
        <v/>
      </c>
      <c r="N107" s="26" t="str">
        <f aca="false">IF(OR($A107="",N$4=""),"",IF(NOT(OR(N$6="Toda la plantilla",ISNUMBER(SEARCH(";"&amp;SUBSTITUTE($C107," ","")&amp;";",";"&amp;SUBSTITUTE(N$7," ","")&amp;";")))),"—",IF(_xlfn.MAXIFS(Acuses!$C$5:$C$3004,Acuses!$A$5:$A$3004,$A107,Acuses!$B$5:$B$3004,N$4)&lt;N$5,"Pendiente",IF(N$8=0,"OK",IF(EDATE(_xlfn.MAXIFS(Acuses!$D$5:$D$3004,Acuses!$A$5:$A$3004,$A107,Acuses!$B$5:$B$3004,N$4,Acuses!$C$5:$C$3004,N$5),N$8)&lt;Resumen!$C$4,"Caducado",IF(EDATE(_xlfn.MAXIFS(Acuses!$D$5:$D$3004,Acuses!$A$5:$A$3004,$A107,Acuses!$B$5:$B$3004,N$4,Acuses!$C$5:$C$3004,N$5),N$8)&lt;Resumen!$C$4+30,"Caduca pronto","OK"))))))</f>
        <v/>
      </c>
      <c r="O107" s="26" t="str">
        <f aca="false">IF(OR($A107="",O$4=""),"",IF(NOT(OR(O$6="Toda la plantilla",ISNUMBER(SEARCH(";"&amp;SUBSTITUTE($C107," ","")&amp;";",";"&amp;SUBSTITUTE(O$7," ","")&amp;";")))),"—",IF(_xlfn.MAXIFS(Acuses!$C$5:$C$3004,Acuses!$A$5:$A$3004,$A107,Acuses!$B$5:$B$3004,O$4)&lt;O$5,"Pendiente",IF(O$8=0,"OK",IF(EDATE(_xlfn.MAXIFS(Acuses!$D$5:$D$3004,Acuses!$A$5:$A$3004,$A107,Acuses!$B$5:$B$3004,O$4,Acuses!$C$5:$C$3004,O$5),O$8)&lt;Resumen!$C$4,"Caducado",IF(EDATE(_xlfn.MAXIFS(Acuses!$D$5:$D$3004,Acuses!$A$5:$A$3004,$A107,Acuses!$B$5:$B$3004,O$4,Acuses!$C$5:$C$3004,O$5),O$8)&lt;Resumen!$C$4+30,"Caduca pronto","OK"))))))</f>
        <v/>
      </c>
      <c r="P107" s="26" t="str">
        <f aca="false">IF(OR($A107="",P$4=""),"",IF(NOT(OR(P$6="Toda la plantilla",ISNUMBER(SEARCH(";"&amp;SUBSTITUTE($C107," ","")&amp;";",";"&amp;SUBSTITUTE(P$7," ","")&amp;";")))),"—",IF(_xlfn.MAXIFS(Acuses!$C$5:$C$3004,Acuses!$A$5:$A$3004,$A107,Acuses!$B$5:$B$3004,P$4)&lt;P$5,"Pendiente",IF(P$8=0,"OK",IF(EDATE(_xlfn.MAXIFS(Acuses!$D$5:$D$3004,Acuses!$A$5:$A$3004,$A107,Acuses!$B$5:$B$3004,P$4,Acuses!$C$5:$C$3004,P$5),P$8)&lt;Resumen!$C$4,"Caducado",IF(EDATE(_xlfn.MAXIFS(Acuses!$D$5:$D$3004,Acuses!$A$5:$A$3004,$A107,Acuses!$B$5:$B$3004,P$4,Acuses!$C$5:$C$3004,P$5),P$8)&lt;Resumen!$C$4+30,"Caduca pronto","OK"))))))</f>
        <v/>
      </c>
      <c r="Q107" s="26" t="str">
        <f aca="false">IF(OR($A107="",Q$4=""),"",IF(NOT(OR(Q$6="Toda la plantilla",ISNUMBER(SEARCH(";"&amp;SUBSTITUTE($C107," ","")&amp;";",";"&amp;SUBSTITUTE(Q$7," ","")&amp;";")))),"—",IF(_xlfn.MAXIFS(Acuses!$C$5:$C$3004,Acuses!$A$5:$A$3004,$A107,Acuses!$B$5:$B$3004,Q$4)&lt;Q$5,"Pendiente",IF(Q$8=0,"OK",IF(EDATE(_xlfn.MAXIFS(Acuses!$D$5:$D$3004,Acuses!$A$5:$A$3004,$A107,Acuses!$B$5:$B$3004,Q$4,Acuses!$C$5:$C$3004,Q$5),Q$8)&lt;Resumen!$C$4,"Caducado",IF(EDATE(_xlfn.MAXIFS(Acuses!$D$5:$D$3004,Acuses!$A$5:$A$3004,$A107,Acuses!$B$5:$B$3004,Q$4,Acuses!$C$5:$C$3004,Q$5),Q$8)&lt;Resumen!$C$4+30,"Caduca pronto","OK"))))))</f>
        <v/>
      </c>
      <c r="R107" s="26" t="str">
        <f aca="false">IF(OR($A107="",R$4=""),"",IF(NOT(OR(R$6="Toda la plantilla",ISNUMBER(SEARCH(";"&amp;SUBSTITUTE($C107," ","")&amp;";",";"&amp;SUBSTITUTE(R$7," ","")&amp;";")))),"—",IF(_xlfn.MAXIFS(Acuses!$C$5:$C$3004,Acuses!$A$5:$A$3004,$A107,Acuses!$B$5:$B$3004,R$4)&lt;R$5,"Pendiente",IF(R$8=0,"OK",IF(EDATE(_xlfn.MAXIFS(Acuses!$D$5:$D$3004,Acuses!$A$5:$A$3004,$A107,Acuses!$B$5:$B$3004,R$4,Acuses!$C$5:$C$3004,R$5),R$8)&lt;Resumen!$C$4,"Caducado",IF(EDATE(_xlfn.MAXIFS(Acuses!$D$5:$D$3004,Acuses!$A$5:$A$3004,$A107,Acuses!$B$5:$B$3004,R$4,Acuses!$C$5:$C$3004,R$5),R$8)&lt;Resumen!$C$4+30,"Caduca pronto","OK"))))))</f>
        <v/>
      </c>
      <c r="S107" s="26" t="str">
        <f aca="false">IF(OR($A107="",S$4=""),"",IF(NOT(OR(S$6="Toda la plantilla",ISNUMBER(SEARCH(";"&amp;SUBSTITUTE($C107," ","")&amp;";",";"&amp;SUBSTITUTE(S$7," ","")&amp;";")))),"—",IF(_xlfn.MAXIFS(Acuses!$C$5:$C$3004,Acuses!$A$5:$A$3004,$A107,Acuses!$B$5:$B$3004,S$4)&lt;S$5,"Pendiente",IF(S$8=0,"OK",IF(EDATE(_xlfn.MAXIFS(Acuses!$D$5:$D$3004,Acuses!$A$5:$A$3004,$A107,Acuses!$B$5:$B$3004,S$4,Acuses!$C$5:$C$3004,S$5),S$8)&lt;Resumen!$C$4,"Caducado",IF(EDATE(_xlfn.MAXIFS(Acuses!$D$5:$D$3004,Acuses!$A$5:$A$3004,$A107,Acuses!$B$5:$B$3004,S$4,Acuses!$C$5:$C$3004,S$5),S$8)&lt;Resumen!$C$4+30,"Caduca pronto","OK"))))))</f>
        <v/>
      </c>
      <c r="T107" s="26" t="str">
        <f aca="false">IF(OR($A107="",T$4=""),"",IF(NOT(OR(T$6="Toda la plantilla",ISNUMBER(SEARCH(";"&amp;SUBSTITUTE($C107," ","")&amp;";",";"&amp;SUBSTITUTE(T$7," ","")&amp;";")))),"—",IF(_xlfn.MAXIFS(Acuses!$C$5:$C$3004,Acuses!$A$5:$A$3004,$A107,Acuses!$B$5:$B$3004,T$4)&lt;T$5,"Pendiente",IF(T$8=0,"OK",IF(EDATE(_xlfn.MAXIFS(Acuses!$D$5:$D$3004,Acuses!$A$5:$A$3004,$A107,Acuses!$B$5:$B$3004,T$4,Acuses!$C$5:$C$3004,T$5),T$8)&lt;Resumen!$C$4,"Caducado",IF(EDATE(_xlfn.MAXIFS(Acuses!$D$5:$D$3004,Acuses!$A$5:$A$3004,$A107,Acuses!$B$5:$B$3004,T$4,Acuses!$C$5:$C$3004,T$5),T$8)&lt;Resumen!$C$4+30,"Caduca pronto","OK"))))))</f>
        <v/>
      </c>
      <c r="U107" s="26" t="str">
        <f aca="false">IF(OR($A107="",U$4=""),"",IF(NOT(OR(U$6="Toda la plantilla",ISNUMBER(SEARCH(";"&amp;SUBSTITUTE($C107," ","")&amp;";",";"&amp;SUBSTITUTE(U$7," ","")&amp;";")))),"—",IF(_xlfn.MAXIFS(Acuses!$C$5:$C$3004,Acuses!$A$5:$A$3004,$A107,Acuses!$B$5:$B$3004,U$4)&lt;U$5,"Pendiente",IF(U$8=0,"OK",IF(EDATE(_xlfn.MAXIFS(Acuses!$D$5:$D$3004,Acuses!$A$5:$A$3004,$A107,Acuses!$B$5:$B$3004,U$4,Acuses!$C$5:$C$3004,U$5),U$8)&lt;Resumen!$C$4,"Caducado",IF(EDATE(_xlfn.MAXIFS(Acuses!$D$5:$D$3004,Acuses!$A$5:$A$3004,$A107,Acuses!$B$5:$B$3004,U$4,Acuses!$C$5:$C$3004,U$5),U$8)&lt;Resumen!$C$4+30,"Caduca pronto","OK"))))))</f>
        <v/>
      </c>
      <c r="V107" s="26" t="str">
        <f aca="false">IF(OR($A107="",V$4=""),"",IF(NOT(OR(V$6="Toda la plantilla",ISNUMBER(SEARCH(";"&amp;SUBSTITUTE($C107," ","")&amp;";",";"&amp;SUBSTITUTE(V$7," ","")&amp;";")))),"—",IF(_xlfn.MAXIFS(Acuses!$C$5:$C$3004,Acuses!$A$5:$A$3004,$A107,Acuses!$B$5:$B$3004,V$4)&lt;V$5,"Pendiente",IF(V$8=0,"OK",IF(EDATE(_xlfn.MAXIFS(Acuses!$D$5:$D$3004,Acuses!$A$5:$A$3004,$A107,Acuses!$B$5:$B$3004,V$4,Acuses!$C$5:$C$3004,V$5),V$8)&lt;Resumen!$C$4,"Caducado",IF(EDATE(_xlfn.MAXIFS(Acuses!$D$5:$D$3004,Acuses!$A$5:$A$3004,$A107,Acuses!$B$5:$B$3004,V$4,Acuses!$C$5:$C$3004,V$5),V$8)&lt;Resumen!$C$4+30,"Caduca pronto","OK"))))))</f>
        <v/>
      </c>
      <c r="W107" s="26" t="str">
        <f aca="false">IF(OR($A107="",W$4=""),"",IF(NOT(OR(W$6="Toda la plantilla",ISNUMBER(SEARCH(";"&amp;SUBSTITUTE($C107," ","")&amp;";",";"&amp;SUBSTITUTE(W$7," ","")&amp;";")))),"—",IF(_xlfn.MAXIFS(Acuses!$C$5:$C$3004,Acuses!$A$5:$A$3004,$A107,Acuses!$B$5:$B$3004,W$4)&lt;W$5,"Pendiente",IF(W$8=0,"OK",IF(EDATE(_xlfn.MAXIFS(Acuses!$D$5:$D$3004,Acuses!$A$5:$A$3004,$A107,Acuses!$B$5:$B$3004,W$4,Acuses!$C$5:$C$3004,W$5),W$8)&lt;Resumen!$C$4,"Caducado",IF(EDATE(_xlfn.MAXIFS(Acuses!$D$5:$D$3004,Acuses!$A$5:$A$3004,$A107,Acuses!$B$5:$B$3004,W$4,Acuses!$C$5:$C$3004,W$5),W$8)&lt;Resumen!$C$4+30,"Caduca pronto","OK"))))))</f>
        <v/>
      </c>
      <c r="X107" s="26" t="str">
        <f aca="false">IF(OR($A107="",X$4=""),"",IF(NOT(OR(X$6="Toda la plantilla",ISNUMBER(SEARCH(";"&amp;SUBSTITUTE($C107," ","")&amp;";",";"&amp;SUBSTITUTE(X$7," ","")&amp;";")))),"—",IF(_xlfn.MAXIFS(Acuses!$C$5:$C$3004,Acuses!$A$5:$A$3004,$A107,Acuses!$B$5:$B$3004,X$4)&lt;X$5,"Pendiente",IF(X$8=0,"OK",IF(EDATE(_xlfn.MAXIFS(Acuses!$D$5:$D$3004,Acuses!$A$5:$A$3004,$A107,Acuses!$B$5:$B$3004,X$4,Acuses!$C$5:$C$3004,X$5),X$8)&lt;Resumen!$C$4,"Caducado",IF(EDATE(_xlfn.MAXIFS(Acuses!$D$5:$D$3004,Acuses!$A$5:$A$3004,$A107,Acuses!$B$5:$B$3004,X$4,Acuses!$C$5:$C$3004,X$5),X$8)&lt;Resumen!$C$4+30,"Caduca pronto","OK"))))))</f>
        <v/>
      </c>
      <c r="Y107" s="26" t="str">
        <f aca="false">IF(OR($A107="",Y$4=""),"",IF(NOT(OR(Y$6="Toda la plantilla",ISNUMBER(SEARCH(";"&amp;SUBSTITUTE($C107," ","")&amp;";",";"&amp;SUBSTITUTE(Y$7," ","")&amp;";")))),"—",IF(_xlfn.MAXIFS(Acuses!$C$5:$C$3004,Acuses!$A$5:$A$3004,$A107,Acuses!$B$5:$B$3004,Y$4)&lt;Y$5,"Pendiente",IF(Y$8=0,"OK",IF(EDATE(_xlfn.MAXIFS(Acuses!$D$5:$D$3004,Acuses!$A$5:$A$3004,$A107,Acuses!$B$5:$B$3004,Y$4,Acuses!$C$5:$C$3004,Y$5),Y$8)&lt;Resumen!$C$4,"Caducado",IF(EDATE(_xlfn.MAXIFS(Acuses!$D$5:$D$3004,Acuses!$A$5:$A$3004,$A107,Acuses!$B$5:$B$3004,Y$4,Acuses!$C$5:$C$3004,Y$5),Y$8)&lt;Resumen!$C$4+30,"Caduca pronto","OK"))))))</f>
        <v/>
      </c>
      <c r="Z107" s="26" t="str">
        <f aca="false">IF(OR($A107="",Z$4=""),"",IF(NOT(OR(Z$6="Toda la plantilla",ISNUMBER(SEARCH(";"&amp;SUBSTITUTE($C107," ","")&amp;";",";"&amp;SUBSTITUTE(Z$7," ","")&amp;";")))),"—",IF(_xlfn.MAXIFS(Acuses!$C$5:$C$3004,Acuses!$A$5:$A$3004,$A107,Acuses!$B$5:$B$3004,Z$4)&lt;Z$5,"Pendiente",IF(Z$8=0,"OK",IF(EDATE(_xlfn.MAXIFS(Acuses!$D$5:$D$3004,Acuses!$A$5:$A$3004,$A107,Acuses!$B$5:$B$3004,Z$4,Acuses!$C$5:$C$3004,Z$5),Z$8)&lt;Resumen!$C$4,"Caducado",IF(EDATE(_xlfn.MAXIFS(Acuses!$D$5:$D$3004,Acuses!$A$5:$A$3004,$A107,Acuses!$B$5:$B$3004,Z$4,Acuses!$C$5:$C$3004,Z$5),Z$8)&lt;Resumen!$C$4+30,"Caduca pronto","OK"))))))</f>
        <v/>
      </c>
      <c r="AA107" s="26" t="str">
        <f aca="false">IF(OR($A107="",AA$4=""),"",IF(NOT(OR(AA$6="Toda la plantilla",ISNUMBER(SEARCH(";"&amp;SUBSTITUTE($C107," ","")&amp;";",";"&amp;SUBSTITUTE(AA$7," ","")&amp;";")))),"—",IF(_xlfn.MAXIFS(Acuses!$C$5:$C$3004,Acuses!$A$5:$A$3004,$A107,Acuses!$B$5:$B$3004,AA$4)&lt;AA$5,"Pendiente",IF(AA$8=0,"OK",IF(EDATE(_xlfn.MAXIFS(Acuses!$D$5:$D$3004,Acuses!$A$5:$A$3004,$A107,Acuses!$B$5:$B$3004,AA$4,Acuses!$C$5:$C$3004,AA$5),AA$8)&lt;Resumen!$C$4,"Caducado",IF(EDATE(_xlfn.MAXIFS(Acuses!$D$5:$D$3004,Acuses!$A$5:$A$3004,$A107,Acuses!$B$5:$B$3004,AA$4,Acuses!$C$5:$C$3004,AA$5),AA$8)&lt;Resumen!$C$4+30,"Caduca pronto","OK"))))))</f>
        <v/>
      </c>
      <c r="AB107" s="26" t="str">
        <f aca="false">IF(OR($A107="",AB$4=""),"",IF(NOT(OR(AB$6="Toda la plantilla",ISNUMBER(SEARCH(";"&amp;SUBSTITUTE($C107," ","")&amp;";",";"&amp;SUBSTITUTE(AB$7," ","")&amp;";")))),"—",IF(_xlfn.MAXIFS(Acuses!$C$5:$C$3004,Acuses!$A$5:$A$3004,$A107,Acuses!$B$5:$B$3004,AB$4)&lt;AB$5,"Pendiente",IF(AB$8=0,"OK",IF(EDATE(_xlfn.MAXIFS(Acuses!$D$5:$D$3004,Acuses!$A$5:$A$3004,$A107,Acuses!$B$5:$B$3004,AB$4,Acuses!$C$5:$C$3004,AB$5),AB$8)&lt;Resumen!$C$4,"Caducado",IF(EDATE(_xlfn.MAXIFS(Acuses!$D$5:$D$3004,Acuses!$A$5:$A$3004,$A107,Acuses!$B$5:$B$3004,AB$4,Acuses!$C$5:$C$3004,AB$5),AB$8)&lt;Resumen!$C$4+30,"Caduca pronto","OK"))))))</f>
        <v/>
      </c>
      <c r="AC107" s="26" t="str">
        <f aca="false">IF(OR($A107="",AC$4=""),"",IF(NOT(OR(AC$6="Toda la plantilla",ISNUMBER(SEARCH(";"&amp;SUBSTITUTE($C107," ","")&amp;";",";"&amp;SUBSTITUTE(AC$7," ","")&amp;";")))),"—",IF(_xlfn.MAXIFS(Acuses!$C$5:$C$3004,Acuses!$A$5:$A$3004,$A107,Acuses!$B$5:$B$3004,AC$4)&lt;AC$5,"Pendiente",IF(AC$8=0,"OK",IF(EDATE(_xlfn.MAXIFS(Acuses!$D$5:$D$3004,Acuses!$A$5:$A$3004,$A107,Acuses!$B$5:$B$3004,AC$4,Acuses!$C$5:$C$3004,AC$5),AC$8)&lt;Resumen!$C$4,"Caducado",IF(EDATE(_xlfn.MAXIFS(Acuses!$D$5:$D$3004,Acuses!$A$5:$A$3004,$A107,Acuses!$B$5:$B$3004,AC$4,Acuses!$C$5:$C$3004,AC$5),AC$8)&lt;Resumen!$C$4+30,"Caduca pronto","OK"))))))</f>
        <v/>
      </c>
      <c r="AD107" s="26" t="str">
        <f aca="false">IF(OR($A107="",AD$4=""),"",IF(NOT(OR(AD$6="Toda la plantilla",ISNUMBER(SEARCH(";"&amp;SUBSTITUTE($C107," ","")&amp;";",";"&amp;SUBSTITUTE(AD$7," ","")&amp;";")))),"—",IF(_xlfn.MAXIFS(Acuses!$C$5:$C$3004,Acuses!$A$5:$A$3004,$A107,Acuses!$B$5:$B$3004,AD$4)&lt;AD$5,"Pendiente",IF(AD$8=0,"OK",IF(EDATE(_xlfn.MAXIFS(Acuses!$D$5:$D$3004,Acuses!$A$5:$A$3004,$A107,Acuses!$B$5:$B$3004,AD$4,Acuses!$C$5:$C$3004,AD$5),AD$8)&lt;Resumen!$C$4,"Caducado",IF(EDATE(_xlfn.MAXIFS(Acuses!$D$5:$D$3004,Acuses!$A$5:$A$3004,$A107,Acuses!$B$5:$B$3004,AD$4,Acuses!$C$5:$C$3004,AD$5),AD$8)&lt;Resumen!$C$4+30,"Caduca pronto","OK"))))))</f>
        <v/>
      </c>
      <c r="AE107" s="26" t="str">
        <f aca="false">IF(OR($A107="",AE$4=""),"",IF(NOT(OR(AE$6="Toda la plantilla",ISNUMBER(SEARCH(";"&amp;SUBSTITUTE($C107," ","")&amp;";",";"&amp;SUBSTITUTE(AE$7," ","")&amp;";")))),"—",IF(_xlfn.MAXIFS(Acuses!$C$5:$C$3004,Acuses!$A$5:$A$3004,$A107,Acuses!$B$5:$B$3004,AE$4)&lt;AE$5,"Pendiente",IF(AE$8=0,"OK",IF(EDATE(_xlfn.MAXIFS(Acuses!$D$5:$D$3004,Acuses!$A$5:$A$3004,$A107,Acuses!$B$5:$B$3004,AE$4,Acuses!$C$5:$C$3004,AE$5),AE$8)&lt;Resumen!$C$4,"Caducado",IF(EDATE(_xlfn.MAXIFS(Acuses!$D$5:$D$3004,Acuses!$A$5:$A$3004,$A107,Acuses!$B$5:$B$3004,AE$4,Acuses!$C$5:$C$3004,AE$5),AE$8)&lt;Resumen!$C$4+30,"Caduca pronto","OK"))))))</f>
        <v/>
      </c>
      <c r="AF107" s="26" t="str">
        <f aca="false">IF(OR($A107="",AF$4=""),"",IF(NOT(OR(AF$6="Toda la plantilla",ISNUMBER(SEARCH(";"&amp;SUBSTITUTE($C107," ","")&amp;";",";"&amp;SUBSTITUTE(AF$7," ","")&amp;";")))),"—",IF(_xlfn.MAXIFS(Acuses!$C$5:$C$3004,Acuses!$A$5:$A$3004,$A107,Acuses!$B$5:$B$3004,AF$4)&lt;AF$5,"Pendiente",IF(AF$8=0,"OK",IF(EDATE(_xlfn.MAXIFS(Acuses!$D$5:$D$3004,Acuses!$A$5:$A$3004,$A107,Acuses!$B$5:$B$3004,AF$4,Acuses!$C$5:$C$3004,AF$5),AF$8)&lt;Resumen!$C$4,"Caducado",IF(EDATE(_xlfn.MAXIFS(Acuses!$D$5:$D$3004,Acuses!$A$5:$A$3004,$A107,Acuses!$B$5:$B$3004,AF$4,Acuses!$C$5:$C$3004,AF$5),AF$8)&lt;Resumen!$C$4+30,"Caduca pronto","OK"))))))</f>
        <v/>
      </c>
      <c r="AG107" s="26" t="str">
        <f aca="false">IF(OR($A107="",AG$4=""),"",IF(NOT(OR(AG$6="Toda la plantilla",ISNUMBER(SEARCH(";"&amp;SUBSTITUTE($C107," ","")&amp;";",";"&amp;SUBSTITUTE(AG$7," ","")&amp;";")))),"—",IF(_xlfn.MAXIFS(Acuses!$C$5:$C$3004,Acuses!$A$5:$A$3004,$A107,Acuses!$B$5:$B$3004,AG$4)&lt;AG$5,"Pendiente",IF(AG$8=0,"OK",IF(EDATE(_xlfn.MAXIFS(Acuses!$D$5:$D$3004,Acuses!$A$5:$A$3004,$A107,Acuses!$B$5:$B$3004,AG$4,Acuses!$C$5:$C$3004,AG$5),AG$8)&lt;Resumen!$C$4,"Caducado",IF(EDATE(_xlfn.MAXIFS(Acuses!$D$5:$D$3004,Acuses!$A$5:$A$3004,$A107,Acuses!$B$5:$B$3004,AG$4,Acuses!$C$5:$C$3004,AG$5),AG$8)&lt;Resumen!$C$4+30,"Caduca pronto","OK"))))))</f>
        <v/>
      </c>
      <c r="AH107" s="26" t="str">
        <f aca="false">IF(OR($A107="",AH$4=""),"",IF(NOT(OR(AH$6="Toda la plantilla",ISNUMBER(SEARCH(";"&amp;SUBSTITUTE($C107," ","")&amp;";",";"&amp;SUBSTITUTE(AH$7," ","")&amp;";")))),"—",IF(_xlfn.MAXIFS(Acuses!$C$5:$C$3004,Acuses!$A$5:$A$3004,$A107,Acuses!$B$5:$B$3004,AH$4)&lt;AH$5,"Pendiente",IF(AH$8=0,"OK",IF(EDATE(_xlfn.MAXIFS(Acuses!$D$5:$D$3004,Acuses!$A$5:$A$3004,$A107,Acuses!$B$5:$B$3004,AH$4,Acuses!$C$5:$C$3004,AH$5),AH$8)&lt;Resumen!$C$4,"Caducado",IF(EDATE(_xlfn.MAXIFS(Acuses!$D$5:$D$3004,Acuses!$A$5:$A$3004,$A107,Acuses!$B$5:$B$3004,AH$4,Acuses!$C$5:$C$3004,AH$5),AH$8)&lt;Resumen!$C$4+30,"Caduca pronto","OK"))))))</f>
        <v/>
      </c>
      <c r="AI107" s="26" t="str">
        <f aca="false">IF(OR($A107="",AI$4=""),"",IF(NOT(OR(AI$6="Toda la plantilla",ISNUMBER(SEARCH(";"&amp;SUBSTITUTE($C107," ","")&amp;";",";"&amp;SUBSTITUTE(AI$7," ","")&amp;";")))),"—",IF(_xlfn.MAXIFS(Acuses!$C$5:$C$3004,Acuses!$A$5:$A$3004,$A107,Acuses!$B$5:$B$3004,AI$4)&lt;AI$5,"Pendiente",IF(AI$8=0,"OK",IF(EDATE(_xlfn.MAXIFS(Acuses!$D$5:$D$3004,Acuses!$A$5:$A$3004,$A107,Acuses!$B$5:$B$3004,AI$4,Acuses!$C$5:$C$3004,AI$5),AI$8)&lt;Resumen!$C$4,"Caducado",IF(EDATE(_xlfn.MAXIFS(Acuses!$D$5:$D$3004,Acuses!$A$5:$A$3004,$A107,Acuses!$B$5:$B$3004,AI$4,Acuses!$C$5:$C$3004,AI$5),AI$8)&lt;Resumen!$C$4+30,"Caduca pronto","OK"))))))</f>
        <v/>
      </c>
      <c r="AJ107" s="26" t="str">
        <f aca="false">IF(OR($A107="",AJ$4=""),"",IF(NOT(OR(AJ$6="Toda la plantilla",ISNUMBER(SEARCH(";"&amp;SUBSTITUTE($C107," ","")&amp;";",";"&amp;SUBSTITUTE(AJ$7," ","")&amp;";")))),"—",IF(_xlfn.MAXIFS(Acuses!$C$5:$C$3004,Acuses!$A$5:$A$3004,$A107,Acuses!$B$5:$B$3004,AJ$4)&lt;AJ$5,"Pendiente",IF(AJ$8=0,"OK",IF(EDATE(_xlfn.MAXIFS(Acuses!$D$5:$D$3004,Acuses!$A$5:$A$3004,$A107,Acuses!$B$5:$B$3004,AJ$4,Acuses!$C$5:$C$3004,AJ$5),AJ$8)&lt;Resumen!$C$4,"Caducado",IF(EDATE(_xlfn.MAXIFS(Acuses!$D$5:$D$3004,Acuses!$A$5:$A$3004,$A107,Acuses!$B$5:$B$3004,AJ$4,Acuses!$C$5:$C$3004,AJ$5),AJ$8)&lt;Resumen!$C$4+30,"Caduca pronto","OK"))))))</f>
        <v/>
      </c>
      <c r="AK107" s="26" t="str">
        <f aca="false">IF(OR($A107="",AK$4=""),"",IF(NOT(OR(AK$6="Toda la plantilla",ISNUMBER(SEARCH(";"&amp;SUBSTITUTE($C107," ","")&amp;";",";"&amp;SUBSTITUTE(AK$7," ","")&amp;";")))),"—",IF(_xlfn.MAXIFS(Acuses!$C$5:$C$3004,Acuses!$A$5:$A$3004,$A107,Acuses!$B$5:$B$3004,AK$4)&lt;AK$5,"Pendiente",IF(AK$8=0,"OK",IF(EDATE(_xlfn.MAXIFS(Acuses!$D$5:$D$3004,Acuses!$A$5:$A$3004,$A107,Acuses!$B$5:$B$3004,AK$4,Acuses!$C$5:$C$3004,AK$5),AK$8)&lt;Resumen!$C$4,"Caducado",IF(EDATE(_xlfn.MAXIFS(Acuses!$D$5:$D$3004,Acuses!$A$5:$A$3004,$A107,Acuses!$B$5:$B$3004,AK$4,Acuses!$C$5:$C$3004,AK$5),AK$8)&lt;Resumen!$C$4+30,"Caduca pronto","OK"))))))</f>
        <v/>
      </c>
      <c r="AL107" s="26" t="str">
        <f aca="false">IF(OR($A107="",AL$4=""),"",IF(NOT(OR(AL$6="Toda la plantilla",ISNUMBER(SEARCH(";"&amp;SUBSTITUTE($C107," ","")&amp;";",";"&amp;SUBSTITUTE(AL$7," ","")&amp;";")))),"—",IF(_xlfn.MAXIFS(Acuses!$C$5:$C$3004,Acuses!$A$5:$A$3004,$A107,Acuses!$B$5:$B$3004,AL$4)&lt;AL$5,"Pendiente",IF(AL$8=0,"OK",IF(EDATE(_xlfn.MAXIFS(Acuses!$D$5:$D$3004,Acuses!$A$5:$A$3004,$A107,Acuses!$B$5:$B$3004,AL$4,Acuses!$C$5:$C$3004,AL$5),AL$8)&lt;Resumen!$C$4,"Caducado",IF(EDATE(_xlfn.MAXIFS(Acuses!$D$5:$D$3004,Acuses!$A$5:$A$3004,$A107,Acuses!$B$5:$B$3004,AL$4,Acuses!$C$5:$C$3004,AL$5),AL$8)&lt;Resumen!$C$4+30,"Caduca pronto","OK"))))))</f>
        <v/>
      </c>
      <c r="AM107" s="26" t="str">
        <f aca="false">IF(OR($A107="",AM$4=""),"",IF(NOT(OR(AM$6="Toda la plantilla",ISNUMBER(SEARCH(";"&amp;SUBSTITUTE($C107," ","")&amp;";",";"&amp;SUBSTITUTE(AM$7," ","")&amp;";")))),"—",IF(_xlfn.MAXIFS(Acuses!$C$5:$C$3004,Acuses!$A$5:$A$3004,$A107,Acuses!$B$5:$B$3004,AM$4)&lt;AM$5,"Pendiente",IF(AM$8=0,"OK",IF(EDATE(_xlfn.MAXIFS(Acuses!$D$5:$D$3004,Acuses!$A$5:$A$3004,$A107,Acuses!$B$5:$B$3004,AM$4,Acuses!$C$5:$C$3004,AM$5),AM$8)&lt;Resumen!$C$4,"Caducado",IF(EDATE(_xlfn.MAXIFS(Acuses!$D$5:$D$3004,Acuses!$A$5:$A$3004,$A107,Acuses!$B$5:$B$3004,AM$4,Acuses!$C$5:$C$3004,AM$5),AM$8)&lt;Resumen!$C$4+30,"Caduca pronto","OK"))))))</f>
        <v/>
      </c>
      <c r="AN107" s="26" t="str">
        <f aca="false">IF(OR($A107="",AN$4=""),"",IF(NOT(OR(AN$6="Toda la plantilla",ISNUMBER(SEARCH(";"&amp;SUBSTITUTE($C107," ","")&amp;";",";"&amp;SUBSTITUTE(AN$7," ","")&amp;";")))),"—",IF(_xlfn.MAXIFS(Acuses!$C$5:$C$3004,Acuses!$A$5:$A$3004,$A107,Acuses!$B$5:$B$3004,AN$4)&lt;AN$5,"Pendiente",IF(AN$8=0,"OK",IF(EDATE(_xlfn.MAXIFS(Acuses!$D$5:$D$3004,Acuses!$A$5:$A$3004,$A107,Acuses!$B$5:$B$3004,AN$4,Acuses!$C$5:$C$3004,AN$5),AN$8)&lt;Resumen!$C$4,"Caducado",IF(EDATE(_xlfn.MAXIFS(Acuses!$D$5:$D$3004,Acuses!$A$5:$A$3004,$A107,Acuses!$B$5:$B$3004,AN$4,Acuses!$C$5:$C$3004,AN$5),AN$8)&lt;Resumen!$C$4+30,"Caduca pronto","OK"))))))</f>
        <v/>
      </c>
      <c r="AO107" s="26" t="str">
        <f aca="false">IF(OR($A107="",AO$4=""),"",IF(NOT(OR(AO$6="Toda la plantilla",ISNUMBER(SEARCH(";"&amp;SUBSTITUTE($C107," ","")&amp;";",";"&amp;SUBSTITUTE(AO$7," ","")&amp;";")))),"—",IF(_xlfn.MAXIFS(Acuses!$C$5:$C$3004,Acuses!$A$5:$A$3004,$A107,Acuses!$B$5:$B$3004,AO$4)&lt;AO$5,"Pendiente",IF(AO$8=0,"OK",IF(EDATE(_xlfn.MAXIFS(Acuses!$D$5:$D$3004,Acuses!$A$5:$A$3004,$A107,Acuses!$B$5:$B$3004,AO$4,Acuses!$C$5:$C$3004,AO$5),AO$8)&lt;Resumen!$C$4,"Caducado",IF(EDATE(_xlfn.MAXIFS(Acuses!$D$5:$D$3004,Acuses!$A$5:$A$3004,$A107,Acuses!$B$5:$B$3004,AO$4,Acuses!$C$5:$C$3004,AO$5),AO$8)&lt;Resumen!$C$4+30,"Caduca pronto","OK"))))))</f>
        <v/>
      </c>
      <c r="AP107" s="26" t="str">
        <f aca="false">IF(OR($A107="",AP$4=""),"",IF(NOT(OR(AP$6="Toda la plantilla",ISNUMBER(SEARCH(";"&amp;SUBSTITUTE($C107," ","")&amp;";",";"&amp;SUBSTITUTE(AP$7," ","")&amp;";")))),"—",IF(_xlfn.MAXIFS(Acuses!$C$5:$C$3004,Acuses!$A$5:$A$3004,$A107,Acuses!$B$5:$B$3004,AP$4)&lt;AP$5,"Pendiente",IF(AP$8=0,"OK",IF(EDATE(_xlfn.MAXIFS(Acuses!$D$5:$D$3004,Acuses!$A$5:$A$3004,$A107,Acuses!$B$5:$B$3004,AP$4,Acuses!$C$5:$C$3004,AP$5),AP$8)&lt;Resumen!$C$4,"Caducado",IF(EDATE(_xlfn.MAXIFS(Acuses!$D$5:$D$3004,Acuses!$A$5:$A$3004,$A107,Acuses!$B$5:$B$3004,AP$4,Acuses!$C$5:$C$3004,AP$5),AP$8)&lt;Resumen!$C$4+30,"Caduca pronto","OK"))))))</f>
        <v/>
      </c>
      <c r="AQ107" s="26" t="str">
        <f aca="false">IF(OR($A107="",AQ$4=""),"",IF(NOT(OR(AQ$6="Toda la plantilla",ISNUMBER(SEARCH(";"&amp;SUBSTITUTE($C107," ","")&amp;";",";"&amp;SUBSTITUTE(AQ$7," ","")&amp;";")))),"—",IF(_xlfn.MAXIFS(Acuses!$C$5:$C$3004,Acuses!$A$5:$A$3004,$A107,Acuses!$B$5:$B$3004,AQ$4)&lt;AQ$5,"Pendiente",IF(AQ$8=0,"OK",IF(EDATE(_xlfn.MAXIFS(Acuses!$D$5:$D$3004,Acuses!$A$5:$A$3004,$A107,Acuses!$B$5:$B$3004,AQ$4,Acuses!$C$5:$C$3004,AQ$5),AQ$8)&lt;Resumen!$C$4,"Caducado",IF(EDATE(_xlfn.MAXIFS(Acuses!$D$5:$D$3004,Acuses!$A$5:$A$3004,$A107,Acuses!$B$5:$B$3004,AQ$4,Acuses!$C$5:$C$3004,AQ$5),AQ$8)&lt;Resumen!$C$4+30,"Caduca pronto","OK"))))))</f>
        <v/>
      </c>
    </row>
    <row r="108" customFormat="false" ht="15" hidden="false" customHeight="false" outlineLevel="0" collapsed="false">
      <c r="A108" s="25" t="str">
        <f aca="false">IF(AND(Trabajadores!$A$103&lt;&gt;"",Trabajadores!$G$103&lt;&gt;"No"),Trabajadores!$A$103,"")</f>
        <v/>
      </c>
      <c r="B108" s="25" t="str">
        <f aca="false">IF($A108="","",Trabajadores!$B$103)</f>
        <v/>
      </c>
      <c r="C108" s="25" t="str">
        <f aca="false">IF($A108="","",Trabajadores!$C$103)</f>
        <v/>
      </c>
      <c r="D108" s="26" t="str">
        <f aca="false">IF(OR($A108="",D$4=""),"",IF(NOT(OR(D$6="Toda la plantilla",ISNUMBER(SEARCH(";"&amp;SUBSTITUTE($C108," ","")&amp;";",";"&amp;SUBSTITUTE(D$7," ","")&amp;";")))),"—",IF(_xlfn.MAXIFS(Acuses!$C$5:$C$3004,Acuses!$A$5:$A$3004,$A108,Acuses!$B$5:$B$3004,D$4)&lt;D$5,"Pendiente",IF(D$8=0,"OK",IF(EDATE(_xlfn.MAXIFS(Acuses!$D$5:$D$3004,Acuses!$A$5:$A$3004,$A108,Acuses!$B$5:$B$3004,D$4,Acuses!$C$5:$C$3004,D$5),D$8)&lt;Resumen!$C$4,"Caducado",IF(EDATE(_xlfn.MAXIFS(Acuses!$D$5:$D$3004,Acuses!$A$5:$A$3004,$A108,Acuses!$B$5:$B$3004,D$4,Acuses!$C$5:$C$3004,D$5),D$8)&lt;Resumen!$C$4+30,"Caduca pronto","OK"))))))</f>
        <v/>
      </c>
      <c r="E108" s="26" t="str">
        <f aca="false">IF(OR($A108="",E$4=""),"",IF(NOT(OR(E$6="Toda la plantilla",ISNUMBER(SEARCH(";"&amp;SUBSTITUTE($C108," ","")&amp;";",";"&amp;SUBSTITUTE(E$7," ","")&amp;";")))),"—",IF(_xlfn.MAXIFS(Acuses!$C$5:$C$3004,Acuses!$A$5:$A$3004,$A108,Acuses!$B$5:$B$3004,E$4)&lt;E$5,"Pendiente",IF(E$8=0,"OK",IF(EDATE(_xlfn.MAXIFS(Acuses!$D$5:$D$3004,Acuses!$A$5:$A$3004,$A108,Acuses!$B$5:$B$3004,E$4,Acuses!$C$5:$C$3004,E$5),E$8)&lt;Resumen!$C$4,"Caducado",IF(EDATE(_xlfn.MAXIFS(Acuses!$D$5:$D$3004,Acuses!$A$5:$A$3004,$A108,Acuses!$B$5:$B$3004,E$4,Acuses!$C$5:$C$3004,E$5),E$8)&lt;Resumen!$C$4+30,"Caduca pronto","OK"))))))</f>
        <v/>
      </c>
      <c r="F108" s="26" t="str">
        <f aca="false">IF(OR($A108="",F$4=""),"",IF(NOT(OR(F$6="Toda la plantilla",ISNUMBER(SEARCH(";"&amp;SUBSTITUTE($C108," ","")&amp;";",";"&amp;SUBSTITUTE(F$7," ","")&amp;";")))),"—",IF(_xlfn.MAXIFS(Acuses!$C$5:$C$3004,Acuses!$A$5:$A$3004,$A108,Acuses!$B$5:$B$3004,F$4)&lt;F$5,"Pendiente",IF(F$8=0,"OK",IF(EDATE(_xlfn.MAXIFS(Acuses!$D$5:$D$3004,Acuses!$A$5:$A$3004,$A108,Acuses!$B$5:$B$3004,F$4,Acuses!$C$5:$C$3004,F$5),F$8)&lt;Resumen!$C$4,"Caducado",IF(EDATE(_xlfn.MAXIFS(Acuses!$D$5:$D$3004,Acuses!$A$5:$A$3004,$A108,Acuses!$B$5:$B$3004,F$4,Acuses!$C$5:$C$3004,F$5),F$8)&lt;Resumen!$C$4+30,"Caduca pronto","OK"))))))</f>
        <v/>
      </c>
      <c r="G108" s="26" t="str">
        <f aca="false">IF(OR($A108="",G$4=""),"",IF(NOT(OR(G$6="Toda la plantilla",ISNUMBER(SEARCH(";"&amp;SUBSTITUTE($C108," ","")&amp;";",";"&amp;SUBSTITUTE(G$7," ","")&amp;";")))),"—",IF(_xlfn.MAXIFS(Acuses!$C$5:$C$3004,Acuses!$A$5:$A$3004,$A108,Acuses!$B$5:$B$3004,G$4)&lt;G$5,"Pendiente",IF(G$8=0,"OK",IF(EDATE(_xlfn.MAXIFS(Acuses!$D$5:$D$3004,Acuses!$A$5:$A$3004,$A108,Acuses!$B$5:$B$3004,G$4,Acuses!$C$5:$C$3004,G$5),G$8)&lt;Resumen!$C$4,"Caducado",IF(EDATE(_xlfn.MAXIFS(Acuses!$D$5:$D$3004,Acuses!$A$5:$A$3004,$A108,Acuses!$B$5:$B$3004,G$4,Acuses!$C$5:$C$3004,G$5),G$8)&lt;Resumen!$C$4+30,"Caduca pronto","OK"))))))</f>
        <v/>
      </c>
      <c r="H108" s="26" t="str">
        <f aca="false">IF(OR($A108="",H$4=""),"",IF(NOT(OR(H$6="Toda la plantilla",ISNUMBER(SEARCH(";"&amp;SUBSTITUTE($C108," ","")&amp;";",";"&amp;SUBSTITUTE(H$7," ","")&amp;";")))),"—",IF(_xlfn.MAXIFS(Acuses!$C$5:$C$3004,Acuses!$A$5:$A$3004,$A108,Acuses!$B$5:$B$3004,H$4)&lt;H$5,"Pendiente",IF(H$8=0,"OK",IF(EDATE(_xlfn.MAXIFS(Acuses!$D$5:$D$3004,Acuses!$A$5:$A$3004,$A108,Acuses!$B$5:$B$3004,H$4,Acuses!$C$5:$C$3004,H$5),H$8)&lt;Resumen!$C$4,"Caducado",IF(EDATE(_xlfn.MAXIFS(Acuses!$D$5:$D$3004,Acuses!$A$5:$A$3004,$A108,Acuses!$B$5:$B$3004,H$4,Acuses!$C$5:$C$3004,H$5),H$8)&lt;Resumen!$C$4+30,"Caduca pronto","OK"))))))</f>
        <v/>
      </c>
      <c r="I108" s="26" t="str">
        <f aca="false">IF(OR($A108="",I$4=""),"",IF(NOT(OR(I$6="Toda la plantilla",ISNUMBER(SEARCH(";"&amp;SUBSTITUTE($C108," ","")&amp;";",";"&amp;SUBSTITUTE(I$7," ","")&amp;";")))),"—",IF(_xlfn.MAXIFS(Acuses!$C$5:$C$3004,Acuses!$A$5:$A$3004,$A108,Acuses!$B$5:$B$3004,I$4)&lt;I$5,"Pendiente",IF(I$8=0,"OK",IF(EDATE(_xlfn.MAXIFS(Acuses!$D$5:$D$3004,Acuses!$A$5:$A$3004,$A108,Acuses!$B$5:$B$3004,I$4,Acuses!$C$5:$C$3004,I$5),I$8)&lt;Resumen!$C$4,"Caducado",IF(EDATE(_xlfn.MAXIFS(Acuses!$D$5:$D$3004,Acuses!$A$5:$A$3004,$A108,Acuses!$B$5:$B$3004,I$4,Acuses!$C$5:$C$3004,I$5),I$8)&lt;Resumen!$C$4+30,"Caduca pronto","OK"))))))</f>
        <v/>
      </c>
      <c r="J108" s="26" t="str">
        <f aca="false">IF(OR($A108="",J$4=""),"",IF(NOT(OR(J$6="Toda la plantilla",ISNUMBER(SEARCH(";"&amp;SUBSTITUTE($C108," ","")&amp;";",";"&amp;SUBSTITUTE(J$7," ","")&amp;";")))),"—",IF(_xlfn.MAXIFS(Acuses!$C$5:$C$3004,Acuses!$A$5:$A$3004,$A108,Acuses!$B$5:$B$3004,J$4)&lt;J$5,"Pendiente",IF(J$8=0,"OK",IF(EDATE(_xlfn.MAXIFS(Acuses!$D$5:$D$3004,Acuses!$A$5:$A$3004,$A108,Acuses!$B$5:$B$3004,J$4,Acuses!$C$5:$C$3004,J$5),J$8)&lt;Resumen!$C$4,"Caducado",IF(EDATE(_xlfn.MAXIFS(Acuses!$D$5:$D$3004,Acuses!$A$5:$A$3004,$A108,Acuses!$B$5:$B$3004,J$4,Acuses!$C$5:$C$3004,J$5),J$8)&lt;Resumen!$C$4+30,"Caduca pronto","OK"))))))</f>
        <v/>
      </c>
      <c r="K108" s="26" t="str">
        <f aca="false">IF(OR($A108="",K$4=""),"",IF(NOT(OR(K$6="Toda la plantilla",ISNUMBER(SEARCH(";"&amp;SUBSTITUTE($C108," ","")&amp;";",";"&amp;SUBSTITUTE(K$7," ","")&amp;";")))),"—",IF(_xlfn.MAXIFS(Acuses!$C$5:$C$3004,Acuses!$A$5:$A$3004,$A108,Acuses!$B$5:$B$3004,K$4)&lt;K$5,"Pendiente",IF(K$8=0,"OK",IF(EDATE(_xlfn.MAXIFS(Acuses!$D$5:$D$3004,Acuses!$A$5:$A$3004,$A108,Acuses!$B$5:$B$3004,K$4,Acuses!$C$5:$C$3004,K$5),K$8)&lt;Resumen!$C$4,"Caducado",IF(EDATE(_xlfn.MAXIFS(Acuses!$D$5:$D$3004,Acuses!$A$5:$A$3004,$A108,Acuses!$B$5:$B$3004,K$4,Acuses!$C$5:$C$3004,K$5),K$8)&lt;Resumen!$C$4+30,"Caduca pronto","OK"))))))</f>
        <v/>
      </c>
      <c r="L108" s="26" t="str">
        <f aca="false">IF(OR($A108="",L$4=""),"",IF(NOT(OR(L$6="Toda la plantilla",ISNUMBER(SEARCH(";"&amp;SUBSTITUTE($C108," ","")&amp;";",";"&amp;SUBSTITUTE(L$7," ","")&amp;";")))),"—",IF(_xlfn.MAXIFS(Acuses!$C$5:$C$3004,Acuses!$A$5:$A$3004,$A108,Acuses!$B$5:$B$3004,L$4)&lt;L$5,"Pendiente",IF(L$8=0,"OK",IF(EDATE(_xlfn.MAXIFS(Acuses!$D$5:$D$3004,Acuses!$A$5:$A$3004,$A108,Acuses!$B$5:$B$3004,L$4,Acuses!$C$5:$C$3004,L$5),L$8)&lt;Resumen!$C$4,"Caducado",IF(EDATE(_xlfn.MAXIFS(Acuses!$D$5:$D$3004,Acuses!$A$5:$A$3004,$A108,Acuses!$B$5:$B$3004,L$4,Acuses!$C$5:$C$3004,L$5),L$8)&lt;Resumen!$C$4+30,"Caduca pronto","OK"))))))</f>
        <v/>
      </c>
      <c r="M108" s="26" t="str">
        <f aca="false">IF(OR($A108="",M$4=""),"",IF(NOT(OR(M$6="Toda la plantilla",ISNUMBER(SEARCH(";"&amp;SUBSTITUTE($C108," ","")&amp;";",";"&amp;SUBSTITUTE(M$7," ","")&amp;";")))),"—",IF(_xlfn.MAXIFS(Acuses!$C$5:$C$3004,Acuses!$A$5:$A$3004,$A108,Acuses!$B$5:$B$3004,M$4)&lt;M$5,"Pendiente",IF(M$8=0,"OK",IF(EDATE(_xlfn.MAXIFS(Acuses!$D$5:$D$3004,Acuses!$A$5:$A$3004,$A108,Acuses!$B$5:$B$3004,M$4,Acuses!$C$5:$C$3004,M$5),M$8)&lt;Resumen!$C$4,"Caducado",IF(EDATE(_xlfn.MAXIFS(Acuses!$D$5:$D$3004,Acuses!$A$5:$A$3004,$A108,Acuses!$B$5:$B$3004,M$4,Acuses!$C$5:$C$3004,M$5),M$8)&lt;Resumen!$C$4+30,"Caduca pronto","OK"))))))</f>
        <v/>
      </c>
      <c r="N108" s="26" t="str">
        <f aca="false">IF(OR($A108="",N$4=""),"",IF(NOT(OR(N$6="Toda la plantilla",ISNUMBER(SEARCH(";"&amp;SUBSTITUTE($C108," ","")&amp;";",";"&amp;SUBSTITUTE(N$7," ","")&amp;";")))),"—",IF(_xlfn.MAXIFS(Acuses!$C$5:$C$3004,Acuses!$A$5:$A$3004,$A108,Acuses!$B$5:$B$3004,N$4)&lt;N$5,"Pendiente",IF(N$8=0,"OK",IF(EDATE(_xlfn.MAXIFS(Acuses!$D$5:$D$3004,Acuses!$A$5:$A$3004,$A108,Acuses!$B$5:$B$3004,N$4,Acuses!$C$5:$C$3004,N$5),N$8)&lt;Resumen!$C$4,"Caducado",IF(EDATE(_xlfn.MAXIFS(Acuses!$D$5:$D$3004,Acuses!$A$5:$A$3004,$A108,Acuses!$B$5:$B$3004,N$4,Acuses!$C$5:$C$3004,N$5),N$8)&lt;Resumen!$C$4+30,"Caduca pronto","OK"))))))</f>
        <v/>
      </c>
      <c r="O108" s="26" t="str">
        <f aca="false">IF(OR($A108="",O$4=""),"",IF(NOT(OR(O$6="Toda la plantilla",ISNUMBER(SEARCH(";"&amp;SUBSTITUTE($C108," ","")&amp;";",";"&amp;SUBSTITUTE(O$7," ","")&amp;";")))),"—",IF(_xlfn.MAXIFS(Acuses!$C$5:$C$3004,Acuses!$A$5:$A$3004,$A108,Acuses!$B$5:$B$3004,O$4)&lt;O$5,"Pendiente",IF(O$8=0,"OK",IF(EDATE(_xlfn.MAXIFS(Acuses!$D$5:$D$3004,Acuses!$A$5:$A$3004,$A108,Acuses!$B$5:$B$3004,O$4,Acuses!$C$5:$C$3004,O$5),O$8)&lt;Resumen!$C$4,"Caducado",IF(EDATE(_xlfn.MAXIFS(Acuses!$D$5:$D$3004,Acuses!$A$5:$A$3004,$A108,Acuses!$B$5:$B$3004,O$4,Acuses!$C$5:$C$3004,O$5),O$8)&lt;Resumen!$C$4+30,"Caduca pronto","OK"))))))</f>
        <v/>
      </c>
      <c r="P108" s="26" t="str">
        <f aca="false">IF(OR($A108="",P$4=""),"",IF(NOT(OR(P$6="Toda la plantilla",ISNUMBER(SEARCH(";"&amp;SUBSTITUTE($C108," ","")&amp;";",";"&amp;SUBSTITUTE(P$7," ","")&amp;";")))),"—",IF(_xlfn.MAXIFS(Acuses!$C$5:$C$3004,Acuses!$A$5:$A$3004,$A108,Acuses!$B$5:$B$3004,P$4)&lt;P$5,"Pendiente",IF(P$8=0,"OK",IF(EDATE(_xlfn.MAXIFS(Acuses!$D$5:$D$3004,Acuses!$A$5:$A$3004,$A108,Acuses!$B$5:$B$3004,P$4,Acuses!$C$5:$C$3004,P$5),P$8)&lt;Resumen!$C$4,"Caducado",IF(EDATE(_xlfn.MAXIFS(Acuses!$D$5:$D$3004,Acuses!$A$5:$A$3004,$A108,Acuses!$B$5:$B$3004,P$4,Acuses!$C$5:$C$3004,P$5),P$8)&lt;Resumen!$C$4+30,"Caduca pronto","OK"))))))</f>
        <v/>
      </c>
      <c r="Q108" s="26" t="str">
        <f aca="false">IF(OR($A108="",Q$4=""),"",IF(NOT(OR(Q$6="Toda la plantilla",ISNUMBER(SEARCH(";"&amp;SUBSTITUTE($C108," ","")&amp;";",";"&amp;SUBSTITUTE(Q$7," ","")&amp;";")))),"—",IF(_xlfn.MAXIFS(Acuses!$C$5:$C$3004,Acuses!$A$5:$A$3004,$A108,Acuses!$B$5:$B$3004,Q$4)&lt;Q$5,"Pendiente",IF(Q$8=0,"OK",IF(EDATE(_xlfn.MAXIFS(Acuses!$D$5:$D$3004,Acuses!$A$5:$A$3004,$A108,Acuses!$B$5:$B$3004,Q$4,Acuses!$C$5:$C$3004,Q$5),Q$8)&lt;Resumen!$C$4,"Caducado",IF(EDATE(_xlfn.MAXIFS(Acuses!$D$5:$D$3004,Acuses!$A$5:$A$3004,$A108,Acuses!$B$5:$B$3004,Q$4,Acuses!$C$5:$C$3004,Q$5),Q$8)&lt;Resumen!$C$4+30,"Caduca pronto","OK"))))))</f>
        <v/>
      </c>
      <c r="R108" s="26" t="str">
        <f aca="false">IF(OR($A108="",R$4=""),"",IF(NOT(OR(R$6="Toda la plantilla",ISNUMBER(SEARCH(";"&amp;SUBSTITUTE($C108," ","")&amp;";",";"&amp;SUBSTITUTE(R$7," ","")&amp;";")))),"—",IF(_xlfn.MAXIFS(Acuses!$C$5:$C$3004,Acuses!$A$5:$A$3004,$A108,Acuses!$B$5:$B$3004,R$4)&lt;R$5,"Pendiente",IF(R$8=0,"OK",IF(EDATE(_xlfn.MAXIFS(Acuses!$D$5:$D$3004,Acuses!$A$5:$A$3004,$A108,Acuses!$B$5:$B$3004,R$4,Acuses!$C$5:$C$3004,R$5),R$8)&lt;Resumen!$C$4,"Caducado",IF(EDATE(_xlfn.MAXIFS(Acuses!$D$5:$D$3004,Acuses!$A$5:$A$3004,$A108,Acuses!$B$5:$B$3004,R$4,Acuses!$C$5:$C$3004,R$5),R$8)&lt;Resumen!$C$4+30,"Caduca pronto","OK"))))))</f>
        <v/>
      </c>
      <c r="S108" s="26" t="str">
        <f aca="false">IF(OR($A108="",S$4=""),"",IF(NOT(OR(S$6="Toda la plantilla",ISNUMBER(SEARCH(";"&amp;SUBSTITUTE($C108," ","")&amp;";",";"&amp;SUBSTITUTE(S$7," ","")&amp;";")))),"—",IF(_xlfn.MAXIFS(Acuses!$C$5:$C$3004,Acuses!$A$5:$A$3004,$A108,Acuses!$B$5:$B$3004,S$4)&lt;S$5,"Pendiente",IF(S$8=0,"OK",IF(EDATE(_xlfn.MAXIFS(Acuses!$D$5:$D$3004,Acuses!$A$5:$A$3004,$A108,Acuses!$B$5:$B$3004,S$4,Acuses!$C$5:$C$3004,S$5),S$8)&lt;Resumen!$C$4,"Caducado",IF(EDATE(_xlfn.MAXIFS(Acuses!$D$5:$D$3004,Acuses!$A$5:$A$3004,$A108,Acuses!$B$5:$B$3004,S$4,Acuses!$C$5:$C$3004,S$5),S$8)&lt;Resumen!$C$4+30,"Caduca pronto","OK"))))))</f>
        <v/>
      </c>
      <c r="T108" s="26" t="str">
        <f aca="false">IF(OR($A108="",T$4=""),"",IF(NOT(OR(T$6="Toda la plantilla",ISNUMBER(SEARCH(";"&amp;SUBSTITUTE($C108," ","")&amp;";",";"&amp;SUBSTITUTE(T$7," ","")&amp;";")))),"—",IF(_xlfn.MAXIFS(Acuses!$C$5:$C$3004,Acuses!$A$5:$A$3004,$A108,Acuses!$B$5:$B$3004,T$4)&lt;T$5,"Pendiente",IF(T$8=0,"OK",IF(EDATE(_xlfn.MAXIFS(Acuses!$D$5:$D$3004,Acuses!$A$5:$A$3004,$A108,Acuses!$B$5:$B$3004,T$4,Acuses!$C$5:$C$3004,T$5),T$8)&lt;Resumen!$C$4,"Caducado",IF(EDATE(_xlfn.MAXIFS(Acuses!$D$5:$D$3004,Acuses!$A$5:$A$3004,$A108,Acuses!$B$5:$B$3004,T$4,Acuses!$C$5:$C$3004,T$5),T$8)&lt;Resumen!$C$4+30,"Caduca pronto","OK"))))))</f>
        <v/>
      </c>
      <c r="U108" s="26" t="str">
        <f aca="false">IF(OR($A108="",U$4=""),"",IF(NOT(OR(U$6="Toda la plantilla",ISNUMBER(SEARCH(";"&amp;SUBSTITUTE($C108," ","")&amp;";",";"&amp;SUBSTITUTE(U$7," ","")&amp;";")))),"—",IF(_xlfn.MAXIFS(Acuses!$C$5:$C$3004,Acuses!$A$5:$A$3004,$A108,Acuses!$B$5:$B$3004,U$4)&lt;U$5,"Pendiente",IF(U$8=0,"OK",IF(EDATE(_xlfn.MAXIFS(Acuses!$D$5:$D$3004,Acuses!$A$5:$A$3004,$A108,Acuses!$B$5:$B$3004,U$4,Acuses!$C$5:$C$3004,U$5),U$8)&lt;Resumen!$C$4,"Caducado",IF(EDATE(_xlfn.MAXIFS(Acuses!$D$5:$D$3004,Acuses!$A$5:$A$3004,$A108,Acuses!$B$5:$B$3004,U$4,Acuses!$C$5:$C$3004,U$5),U$8)&lt;Resumen!$C$4+30,"Caduca pronto","OK"))))))</f>
        <v/>
      </c>
      <c r="V108" s="26" t="str">
        <f aca="false">IF(OR($A108="",V$4=""),"",IF(NOT(OR(V$6="Toda la plantilla",ISNUMBER(SEARCH(";"&amp;SUBSTITUTE($C108," ","")&amp;";",";"&amp;SUBSTITUTE(V$7," ","")&amp;";")))),"—",IF(_xlfn.MAXIFS(Acuses!$C$5:$C$3004,Acuses!$A$5:$A$3004,$A108,Acuses!$B$5:$B$3004,V$4)&lt;V$5,"Pendiente",IF(V$8=0,"OK",IF(EDATE(_xlfn.MAXIFS(Acuses!$D$5:$D$3004,Acuses!$A$5:$A$3004,$A108,Acuses!$B$5:$B$3004,V$4,Acuses!$C$5:$C$3004,V$5),V$8)&lt;Resumen!$C$4,"Caducado",IF(EDATE(_xlfn.MAXIFS(Acuses!$D$5:$D$3004,Acuses!$A$5:$A$3004,$A108,Acuses!$B$5:$B$3004,V$4,Acuses!$C$5:$C$3004,V$5),V$8)&lt;Resumen!$C$4+30,"Caduca pronto","OK"))))))</f>
        <v/>
      </c>
      <c r="W108" s="26" t="str">
        <f aca="false">IF(OR($A108="",W$4=""),"",IF(NOT(OR(W$6="Toda la plantilla",ISNUMBER(SEARCH(";"&amp;SUBSTITUTE($C108," ","")&amp;";",";"&amp;SUBSTITUTE(W$7," ","")&amp;";")))),"—",IF(_xlfn.MAXIFS(Acuses!$C$5:$C$3004,Acuses!$A$5:$A$3004,$A108,Acuses!$B$5:$B$3004,W$4)&lt;W$5,"Pendiente",IF(W$8=0,"OK",IF(EDATE(_xlfn.MAXIFS(Acuses!$D$5:$D$3004,Acuses!$A$5:$A$3004,$A108,Acuses!$B$5:$B$3004,W$4,Acuses!$C$5:$C$3004,W$5),W$8)&lt;Resumen!$C$4,"Caducado",IF(EDATE(_xlfn.MAXIFS(Acuses!$D$5:$D$3004,Acuses!$A$5:$A$3004,$A108,Acuses!$B$5:$B$3004,W$4,Acuses!$C$5:$C$3004,W$5),W$8)&lt;Resumen!$C$4+30,"Caduca pronto","OK"))))))</f>
        <v/>
      </c>
      <c r="X108" s="26" t="str">
        <f aca="false">IF(OR($A108="",X$4=""),"",IF(NOT(OR(X$6="Toda la plantilla",ISNUMBER(SEARCH(";"&amp;SUBSTITUTE($C108," ","")&amp;";",";"&amp;SUBSTITUTE(X$7," ","")&amp;";")))),"—",IF(_xlfn.MAXIFS(Acuses!$C$5:$C$3004,Acuses!$A$5:$A$3004,$A108,Acuses!$B$5:$B$3004,X$4)&lt;X$5,"Pendiente",IF(X$8=0,"OK",IF(EDATE(_xlfn.MAXIFS(Acuses!$D$5:$D$3004,Acuses!$A$5:$A$3004,$A108,Acuses!$B$5:$B$3004,X$4,Acuses!$C$5:$C$3004,X$5),X$8)&lt;Resumen!$C$4,"Caducado",IF(EDATE(_xlfn.MAXIFS(Acuses!$D$5:$D$3004,Acuses!$A$5:$A$3004,$A108,Acuses!$B$5:$B$3004,X$4,Acuses!$C$5:$C$3004,X$5),X$8)&lt;Resumen!$C$4+30,"Caduca pronto","OK"))))))</f>
        <v/>
      </c>
      <c r="Y108" s="26" t="str">
        <f aca="false">IF(OR($A108="",Y$4=""),"",IF(NOT(OR(Y$6="Toda la plantilla",ISNUMBER(SEARCH(";"&amp;SUBSTITUTE($C108," ","")&amp;";",";"&amp;SUBSTITUTE(Y$7," ","")&amp;";")))),"—",IF(_xlfn.MAXIFS(Acuses!$C$5:$C$3004,Acuses!$A$5:$A$3004,$A108,Acuses!$B$5:$B$3004,Y$4)&lt;Y$5,"Pendiente",IF(Y$8=0,"OK",IF(EDATE(_xlfn.MAXIFS(Acuses!$D$5:$D$3004,Acuses!$A$5:$A$3004,$A108,Acuses!$B$5:$B$3004,Y$4,Acuses!$C$5:$C$3004,Y$5),Y$8)&lt;Resumen!$C$4,"Caducado",IF(EDATE(_xlfn.MAXIFS(Acuses!$D$5:$D$3004,Acuses!$A$5:$A$3004,$A108,Acuses!$B$5:$B$3004,Y$4,Acuses!$C$5:$C$3004,Y$5),Y$8)&lt;Resumen!$C$4+30,"Caduca pronto","OK"))))))</f>
        <v/>
      </c>
      <c r="Z108" s="26" t="str">
        <f aca="false">IF(OR($A108="",Z$4=""),"",IF(NOT(OR(Z$6="Toda la plantilla",ISNUMBER(SEARCH(";"&amp;SUBSTITUTE($C108," ","")&amp;";",";"&amp;SUBSTITUTE(Z$7," ","")&amp;";")))),"—",IF(_xlfn.MAXIFS(Acuses!$C$5:$C$3004,Acuses!$A$5:$A$3004,$A108,Acuses!$B$5:$B$3004,Z$4)&lt;Z$5,"Pendiente",IF(Z$8=0,"OK",IF(EDATE(_xlfn.MAXIFS(Acuses!$D$5:$D$3004,Acuses!$A$5:$A$3004,$A108,Acuses!$B$5:$B$3004,Z$4,Acuses!$C$5:$C$3004,Z$5),Z$8)&lt;Resumen!$C$4,"Caducado",IF(EDATE(_xlfn.MAXIFS(Acuses!$D$5:$D$3004,Acuses!$A$5:$A$3004,$A108,Acuses!$B$5:$B$3004,Z$4,Acuses!$C$5:$C$3004,Z$5),Z$8)&lt;Resumen!$C$4+30,"Caduca pronto","OK"))))))</f>
        <v/>
      </c>
      <c r="AA108" s="26" t="str">
        <f aca="false">IF(OR($A108="",AA$4=""),"",IF(NOT(OR(AA$6="Toda la plantilla",ISNUMBER(SEARCH(";"&amp;SUBSTITUTE($C108," ","")&amp;";",";"&amp;SUBSTITUTE(AA$7," ","")&amp;";")))),"—",IF(_xlfn.MAXIFS(Acuses!$C$5:$C$3004,Acuses!$A$5:$A$3004,$A108,Acuses!$B$5:$B$3004,AA$4)&lt;AA$5,"Pendiente",IF(AA$8=0,"OK",IF(EDATE(_xlfn.MAXIFS(Acuses!$D$5:$D$3004,Acuses!$A$5:$A$3004,$A108,Acuses!$B$5:$B$3004,AA$4,Acuses!$C$5:$C$3004,AA$5),AA$8)&lt;Resumen!$C$4,"Caducado",IF(EDATE(_xlfn.MAXIFS(Acuses!$D$5:$D$3004,Acuses!$A$5:$A$3004,$A108,Acuses!$B$5:$B$3004,AA$4,Acuses!$C$5:$C$3004,AA$5),AA$8)&lt;Resumen!$C$4+30,"Caduca pronto","OK"))))))</f>
        <v/>
      </c>
      <c r="AB108" s="26" t="str">
        <f aca="false">IF(OR($A108="",AB$4=""),"",IF(NOT(OR(AB$6="Toda la plantilla",ISNUMBER(SEARCH(";"&amp;SUBSTITUTE($C108," ","")&amp;";",";"&amp;SUBSTITUTE(AB$7," ","")&amp;";")))),"—",IF(_xlfn.MAXIFS(Acuses!$C$5:$C$3004,Acuses!$A$5:$A$3004,$A108,Acuses!$B$5:$B$3004,AB$4)&lt;AB$5,"Pendiente",IF(AB$8=0,"OK",IF(EDATE(_xlfn.MAXIFS(Acuses!$D$5:$D$3004,Acuses!$A$5:$A$3004,$A108,Acuses!$B$5:$B$3004,AB$4,Acuses!$C$5:$C$3004,AB$5),AB$8)&lt;Resumen!$C$4,"Caducado",IF(EDATE(_xlfn.MAXIFS(Acuses!$D$5:$D$3004,Acuses!$A$5:$A$3004,$A108,Acuses!$B$5:$B$3004,AB$4,Acuses!$C$5:$C$3004,AB$5),AB$8)&lt;Resumen!$C$4+30,"Caduca pronto","OK"))))))</f>
        <v/>
      </c>
      <c r="AC108" s="26" t="str">
        <f aca="false">IF(OR($A108="",AC$4=""),"",IF(NOT(OR(AC$6="Toda la plantilla",ISNUMBER(SEARCH(";"&amp;SUBSTITUTE($C108," ","")&amp;";",";"&amp;SUBSTITUTE(AC$7," ","")&amp;";")))),"—",IF(_xlfn.MAXIFS(Acuses!$C$5:$C$3004,Acuses!$A$5:$A$3004,$A108,Acuses!$B$5:$B$3004,AC$4)&lt;AC$5,"Pendiente",IF(AC$8=0,"OK",IF(EDATE(_xlfn.MAXIFS(Acuses!$D$5:$D$3004,Acuses!$A$5:$A$3004,$A108,Acuses!$B$5:$B$3004,AC$4,Acuses!$C$5:$C$3004,AC$5),AC$8)&lt;Resumen!$C$4,"Caducado",IF(EDATE(_xlfn.MAXIFS(Acuses!$D$5:$D$3004,Acuses!$A$5:$A$3004,$A108,Acuses!$B$5:$B$3004,AC$4,Acuses!$C$5:$C$3004,AC$5),AC$8)&lt;Resumen!$C$4+30,"Caduca pronto","OK"))))))</f>
        <v/>
      </c>
      <c r="AD108" s="26" t="str">
        <f aca="false">IF(OR($A108="",AD$4=""),"",IF(NOT(OR(AD$6="Toda la plantilla",ISNUMBER(SEARCH(";"&amp;SUBSTITUTE($C108," ","")&amp;";",";"&amp;SUBSTITUTE(AD$7," ","")&amp;";")))),"—",IF(_xlfn.MAXIFS(Acuses!$C$5:$C$3004,Acuses!$A$5:$A$3004,$A108,Acuses!$B$5:$B$3004,AD$4)&lt;AD$5,"Pendiente",IF(AD$8=0,"OK",IF(EDATE(_xlfn.MAXIFS(Acuses!$D$5:$D$3004,Acuses!$A$5:$A$3004,$A108,Acuses!$B$5:$B$3004,AD$4,Acuses!$C$5:$C$3004,AD$5),AD$8)&lt;Resumen!$C$4,"Caducado",IF(EDATE(_xlfn.MAXIFS(Acuses!$D$5:$D$3004,Acuses!$A$5:$A$3004,$A108,Acuses!$B$5:$B$3004,AD$4,Acuses!$C$5:$C$3004,AD$5),AD$8)&lt;Resumen!$C$4+30,"Caduca pronto","OK"))))))</f>
        <v/>
      </c>
      <c r="AE108" s="26" t="str">
        <f aca="false">IF(OR($A108="",AE$4=""),"",IF(NOT(OR(AE$6="Toda la plantilla",ISNUMBER(SEARCH(";"&amp;SUBSTITUTE($C108," ","")&amp;";",";"&amp;SUBSTITUTE(AE$7," ","")&amp;";")))),"—",IF(_xlfn.MAXIFS(Acuses!$C$5:$C$3004,Acuses!$A$5:$A$3004,$A108,Acuses!$B$5:$B$3004,AE$4)&lt;AE$5,"Pendiente",IF(AE$8=0,"OK",IF(EDATE(_xlfn.MAXIFS(Acuses!$D$5:$D$3004,Acuses!$A$5:$A$3004,$A108,Acuses!$B$5:$B$3004,AE$4,Acuses!$C$5:$C$3004,AE$5),AE$8)&lt;Resumen!$C$4,"Caducado",IF(EDATE(_xlfn.MAXIFS(Acuses!$D$5:$D$3004,Acuses!$A$5:$A$3004,$A108,Acuses!$B$5:$B$3004,AE$4,Acuses!$C$5:$C$3004,AE$5),AE$8)&lt;Resumen!$C$4+30,"Caduca pronto","OK"))))))</f>
        <v/>
      </c>
      <c r="AF108" s="26" t="str">
        <f aca="false">IF(OR($A108="",AF$4=""),"",IF(NOT(OR(AF$6="Toda la plantilla",ISNUMBER(SEARCH(";"&amp;SUBSTITUTE($C108," ","")&amp;";",";"&amp;SUBSTITUTE(AF$7," ","")&amp;";")))),"—",IF(_xlfn.MAXIFS(Acuses!$C$5:$C$3004,Acuses!$A$5:$A$3004,$A108,Acuses!$B$5:$B$3004,AF$4)&lt;AF$5,"Pendiente",IF(AF$8=0,"OK",IF(EDATE(_xlfn.MAXIFS(Acuses!$D$5:$D$3004,Acuses!$A$5:$A$3004,$A108,Acuses!$B$5:$B$3004,AF$4,Acuses!$C$5:$C$3004,AF$5),AF$8)&lt;Resumen!$C$4,"Caducado",IF(EDATE(_xlfn.MAXIFS(Acuses!$D$5:$D$3004,Acuses!$A$5:$A$3004,$A108,Acuses!$B$5:$B$3004,AF$4,Acuses!$C$5:$C$3004,AF$5),AF$8)&lt;Resumen!$C$4+30,"Caduca pronto","OK"))))))</f>
        <v/>
      </c>
      <c r="AG108" s="26" t="str">
        <f aca="false">IF(OR($A108="",AG$4=""),"",IF(NOT(OR(AG$6="Toda la plantilla",ISNUMBER(SEARCH(";"&amp;SUBSTITUTE($C108," ","")&amp;";",";"&amp;SUBSTITUTE(AG$7," ","")&amp;";")))),"—",IF(_xlfn.MAXIFS(Acuses!$C$5:$C$3004,Acuses!$A$5:$A$3004,$A108,Acuses!$B$5:$B$3004,AG$4)&lt;AG$5,"Pendiente",IF(AG$8=0,"OK",IF(EDATE(_xlfn.MAXIFS(Acuses!$D$5:$D$3004,Acuses!$A$5:$A$3004,$A108,Acuses!$B$5:$B$3004,AG$4,Acuses!$C$5:$C$3004,AG$5),AG$8)&lt;Resumen!$C$4,"Caducado",IF(EDATE(_xlfn.MAXIFS(Acuses!$D$5:$D$3004,Acuses!$A$5:$A$3004,$A108,Acuses!$B$5:$B$3004,AG$4,Acuses!$C$5:$C$3004,AG$5),AG$8)&lt;Resumen!$C$4+30,"Caduca pronto","OK"))))))</f>
        <v/>
      </c>
      <c r="AH108" s="26" t="str">
        <f aca="false">IF(OR($A108="",AH$4=""),"",IF(NOT(OR(AH$6="Toda la plantilla",ISNUMBER(SEARCH(";"&amp;SUBSTITUTE($C108," ","")&amp;";",";"&amp;SUBSTITUTE(AH$7," ","")&amp;";")))),"—",IF(_xlfn.MAXIFS(Acuses!$C$5:$C$3004,Acuses!$A$5:$A$3004,$A108,Acuses!$B$5:$B$3004,AH$4)&lt;AH$5,"Pendiente",IF(AH$8=0,"OK",IF(EDATE(_xlfn.MAXIFS(Acuses!$D$5:$D$3004,Acuses!$A$5:$A$3004,$A108,Acuses!$B$5:$B$3004,AH$4,Acuses!$C$5:$C$3004,AH$5),AH$8)&lt;Resumen!$C$4,"Caducado",IF(EDATE(_xlfn.MAXIFS(Acuses!$D$5:$D$3004,Acuses!$A$5:$A$3004,$A108,Acuses!$B$5:$B$3004,AH$4,Acuses!$C$5:$C$3004,AH$5),AH$8)&lt;Resumen!$C$4+30,"Caduca pronto","OK"))))))</f>
        <v/>
      </c>
      <c r="AI108" s="26" t="str">
        <f aca="false">IF(OR($A108="",AI$4=""),"",IF(NOT(OR(AI$6="Toda la plantilla",ISNUMBER(SEARCH(";"&amp;SUBSTITUTE($C108," ","")&amp;";",";"&amp;SUBSTITUTE(AI$7," ","")&amp;";")))),"—",IF(_xlfn.MAXIFS(Acuses!$C$5:$C$3004,Acuses!$A$5:$A$3004,$A108,Acuses!$B$5:$B$3004,AI$4)&lt;AI$5,"Pendiente",IF(AI$8=0,"OK",IF(EDATE(_xlfn.MAXIFS(Acuses!$D$5:$D$3004,Acuses!$A$5:$A$3004,$A108,Acuses!$B$5:$B$3004,AI$4,Acuses!$C$5:$C$3004,AI$5),AI$8)&lt;Resumen!$C$4,"Caducado",IF(EDATE(_xlfn.MAXIFS(Acuses!$D$5:$D$3004,Acuses!$A$5:$A$3004,$A108,Acuses!$B$5:$B$3004,AI$4,Acuses!$C$5:$C$3004,AI$5),AI$8)&lt;Resumen!$C$4+30,"Caduca pronto","OK"))))))</f>
        <v/>
      </c>
      <c r="AJ108" s="26" t="str">
        <f aca="false">IF(OR($A108="",AJ$4=""),"",IF(NOT(OR(AJ$6="Toda la plantilla",ISNUMBER(SEARCH(";"&amp;SUBSTITUTE($C108," ","")&amp;";",";"&amp;SUBSTITUTE(AJ$7," ","")&amp;";")))),"—",IF(_xlfn.MAXIFS(Acuses!$C$5:$C$3004,Acuses!$A$5:$A$3004,$A108,Acuses!$B$5:$B$3004,AJ$4)&lt;AJ$5,"Pendiente",IF(AJ$8=0,"OK",IF(EDATE(_xlfn.MAXIFS(Acuses!$D$5:$D$3004,Acuses!$A$5:$A$3004,$A108,Acuses!$B$5:$B$3004,AJ$4,Acuses!$C$5:$C$3004,AJ$5),AJ$8)&lt;Resumen!$C$4,"Caducado",IF(EDATE(_xlfn.MAXIFS(Acuses!$D$5:$D$3004,Acuses!$A$5:$A$3004,$A108,Acuses!$B$5:$B$3004,AJ$4,Acuses!$C$5:$C$3004,AJ$5),AJ$8)&lt;Resumen!$C$4+30,"Caduca pronto","OK"))))))</f>
        <v/>
      </c>
      <c r="AK108" s="26" t="str">
        <f aca="false">IF(OR($A108="",AK$4=""),"",IF(NOT(OR(AK$6="Toda la plantilla",ISNUMBER(SEARCH(";"&amp;SUBSTITUTE($C108," ","")&amp;";",";"&amp;SUBSTITUTE(AK$7," ","")&amp;";")))),"—",IF(_xlfn.MAXIFS(Acuses!$C$5:$C$3004,Acuses!$A$5:$A$3004,$A108,Acuses!$B$5:$B$3004,AK$4)&lt;AK$5,"Pendiente",IF(AK$8=0,"OK",IF(EDATE(_xlfn.MAXIFS(Acuses!$D$5:$D$3004,Acuses!$A$5:$A$3004,$A108,Acuses!$B$5:$B$3004,AK$4,Acuses!$C$5:$C$3004,AK$5),AK$8)&lt;Resumen!$C$4,"Caducado",IF(EDATE(_xlfn.MAXIFS(Acuses!$D$5:$D$3004,Acuses!$A$5:$A$3004,$A108,Acuses!$B$5:$B$3004,AK$4,Acuses!$C$5:$C$3004,AK$5),AK$8)&lt;Resumen!$C$4+30,"Caduca pronto","OK"))))))</f>
        <v/>
      </c>
      <c r="AL108" s="26" t="str">
        <f aca="false">IF(OR($A108="",AL$4=""),"",IF(NOT(OR(AL$6="Toda la plantilla",ISNUMBER(SEARCH(";"&amp;SUBSTITUTE($C108," ","")&amp;";",";"&amp;SUBSTITUTE(AL$7," ","")&amp;";")))),"—",IF(_xlfn.MAXIFS(Acuses!$C$5:$C$3004,Acuses!$A$5:$A$3004,$A108,Acuses!$B$5:$B$3004,AL$4)&lt;AL$5,"Pendiente",IF(AL$8=0,"OK",IF(EDATE(_xlfn.MAXIFS(Acuses!$D$5:$D$3004,Acuses!$A$5:$A$3004,$A108,Acuses!$B$5:$B$3004,AL$4,Acuses!$C$5:$C$3004,AL$5),AL$8)&lt;Resumen!$C$4,"Caducado",IF(EDATE(_xlfn.MAXIFS(Acuses!$D$5:$D$3004,Acuses!$A$5:$A$3004,$A108,Acuses!$B$5:$B$3004,AL$4,Acuses!$C$5:$C$3004,AL$5),AL$8)&lt;Resumen!$C$4+30,"Caduca pronto","OK"))))))</f>
        <v/>
      </c>
      <c r="AM108" s="26" t="str">
        <f aca="false">IF(OR($A108="",AM$4=""),"",IF(NOT(OR(AM$6="Toda la plantilla",ISNUMBER(SEARCH(";"&amp;SUBSTITUTE($C108," ","")&amp;";",";"&amp;SUBSTITUTE(AM$7," ","")&amp;";")))),"—",IF(_xlfn.MAXIFS(Acuses!$C$5:$C$3004,Acuses!$A$5:$A$3004,$A108,Acuses!$B$5:$B$3004,AM$4)&lt;AM$5,"Pendiente",IF(AM$8=0,"OK",IF(EDATE(_xlfn.MAXIFS(Acuses!$D$5:$D$3004,Acuses!$A$5:$A$3004,$A108,Acuses!$B$5:$B$3004,AM$4,Acuses!$C$5:$C$3004,AM$5),AM$8)&lt;Resumen!$C$4,"Caducado",IF(EDATE(_xlfn.MAXIFS(Acuses!$D$5:$D$3004,Acuses!$A$5:$A$3004,$A108,Acuses!$B$5:$B$3004,AM$4,Acuses!$C$5:$C$3004,AM$5),AM$8)&lt;Resumen!$C$4+30,"Caduca pronto","OK"))))))</f>
        <v/>
      </c>
      <c r="AN108" s="26" t="str">
        <f aca="false">IF(OR($A108="",AN$4=""),"",IF(NOT(OR(AN$6="Toda la plantilla",ISNUMBER(SEARCH(";"&amp;SUBSTITUTE($C108," ","")&amp;";",";"&amp;SUBSTITUTE(AN$7," ","")&amp;";")))),"—",IF(_xlfn.MAXIFS(Acuses!$C$5:$C$3004,Acuses!$A$5:$A$3004,$A108,Acuses!$B$5:$B$3004,AN$4)&lt;AN$5,"Pendiente",IF(AN$8=0,"OK",IF(EDATE(_xlfn.MAXIFS(Acuses!$D$5:$D$3004,Acuses!$A$5:$A$3004,$A108,Acuses!$B$5:$B$3004,AN$4,Acuses!$C$5:$C$3004,AN$5),AN$8)&lt;Resumen!$C$4,"Caducado",IF(EDATE(_xlfn.MAXIFS(Acuses!$D$5:$D$3004,Acuses!$A$5:$A$3004,$A108,Acuses!$B$5:$B$3004,AN$4,Acuses!$C$5:$C$3004,AN$5),AN$8)&lt;Resumen!$C$4+30,"Caduca pronto","OK"))))))</f>
        <v/>
      </c>
      <c r="AO108" s="26" t="str">
        <f aca="false">IF(OR($A108="",AO$4=""),"",IF(NOT(OR(AO$6="Toda la plantilla",ISNUMBER(SEARCH(";"&amp;SUBSTITUTE($C108," ","")&amp;";",";"&amp;SUBSTITUTE(AO$7," ","")&amp;";")))),"—",IF(_xlfn.MAXIFS(Acuses!$C$5:$C$3004,Acuses!$A$5:$A$3004,$A108,Acuses!$B$5:$B$3004,AO$4)&lt;AO$5,"Pendiente",IF(AO$8=0,"OK",IF(EDATE(_xlfn.MAXIFS(Acuses!$D$5:$D$3004,Acuses!$A$5:$A$3004,$A108,Acuses!$B$5:$B$3004,AO$4,Acuses!$C$5:$C$3004,AO$5),AO$8)&lt;Resumen!$C$4,"Caducado",IF(EDATE(_xlfn.MAXIFS(Acuses!$D$5:$D$3004,Acuses!$A$5:$A$3004,$A108,Acuses!$B$5:$B$3004,AO$4,Acuses!$C$5:$C$3004,AO$5),AO$8)&lt;Resumen!$C$4+30,"Caduca pronto","OK"))))))</f>
        <v/>
      </c>
      <c r="AP108" s="26" t="str">
        <f aca="false">IF(OR($A108="",AP$4=""),"",IF(NOT(OR(AP$6="Toda la plantilla",ISNUMBER(SEARCH(";"&amp;SUBSTITUTE($C108," ","")&amp;";",";"&amp;SUBSTITUTE(AP$7," ","")&amp;";")))),"—",IF(_xlfn.MAXIFS(Acuses!$C$5:$C$3004,Acuses!$A$5:$A$3004,$A108,Acuses!$B$5:$B$3004,AP$4)&lt;AP$5,"Pendiente",IF(AP$8=0,"OK",IF(EDATE(_xlfn.MAXIFS(Acuses!$D$5:$D$3004,Acuses!$A$5:$A$3004,$A108,Acuses!$B$5:$B$3004,AP$4,Acuses!$C$5:$C$3004,AP$5),AP$8)&lt;Resumen!$C$4,"Caducado",IF(EDATE(_xlfn.MAXIFS(Acuses!$D$5:$D$3004,Acuses!$A$5:$A$3004,$A108,Acuses!$B$5:$B$3004,AP$4,Acuses!$C$5:$C$3004,AP$5),AP$8)&lt;Resumen!$C$4+30,"Caduca pronto","OK"))))))</f>
        <v/>
      </c>
      <c r="AQ108" s="26" t="str">
        <f aca="false">IF(OR($A108="",AQ$4=""),"",IF(NOT(OR(AQ$6="Toda la plantilla",ISNUMBER(SEARCH(";"&amp;SUBSTITUTE($C108," ","")&amp;";",";"&amp;SUBSTITUTE(AQ$7," ","")&amp;";")))),"—",IF(_xlfn.MAXIFS(Acuses!$C$5:$C$3004,Acuses!$A$5:$A$3004,$A108,Acuses!$B$5:$B$3004,AQ$4)&lt;AQ$5,"Pendiente",IF(AQ$8=0,"OK",IF(EDATE(_xlfn.MAXIFS(Acuses!$D$5:$D$3004,Acuses!$A$5:$A$3004,$A108,Acuses!$B$5:$B$3004,AQ$4,Acuses!$C$5:$C$3004,AQ$5),AQ$8)&lt;Resumen!$C$4,"Caducado",IF(EDATE(_xlfn.MAXIFS(Acuses!$D$5:$D$3004,Acuses!$A$5:$A$3004,$A108,Acuses!$B$5:$B$3004,AQ$4,Acuses!$C$5:$C$3004,AQ$5),AQ$8)&lt;Resumen!$C$4+30,"Caduca pronto","OK"))))))</f>
        <v/>
      </c>
    </row>
    <row r="109" customFormat="false" ht="15" hidden="false" customHeight="false" outlineLevel="0" collapsed="false">
      <c r="A109" s="25" t="str">
        <f aca="false">IF(AND(Trabajadores!$A$104&lt;&gt;"",Trabajadores!$G$104&lt;&gt;"No"),Trabajadores!$A$104,"")</f>
        <v/>
      </c>
      <c r="B109" s="25" t="str">
        <f aca="false">IF($A109="","",Trabajadores!$B$104)</f>
        <v/>
      </c>
      <c r="C109" s="25" t="str">
        <f aca="false">IF($A109="","",Trabajadores!$C$104)</f>
        <v/>
      </c>
      <c r="D109" s="26" t="str">
        <f aca="false">IF(OR($A109="",D$4=""),"",IF(NOT(OR(D$6="Toda la plantilla",ISNUMBER(SEARCH(";"&amp;SUBSTITUTE($C109," ","")&amp;";",";"&amp;SUBSTITUTE(D$7," ","")&amp;";")))),"—",IF(_xlfn.MAXIFS(Acuses!$C$5:$C$3004,Acuses!$A$5:$A$3004,$A109,Acuses!$B$5:$B$3004,D$4)&lt;D$5,"Pendiente",IF(D$8=0,"OK",IF(EDATE(_xlfn.MAXIFS(Acuses!$D$5:$D$3004,Acuses!$A$5:$A$3004,$A109,Acuses!$B$5:$B$3004,D$4,Acuses!$C$5:$C$3004,D$5),D$8)&lt;Resumen!$C$4,"Caducado",IF(EDATE(_xlfn.MAXIFS(Acuses!$D$5:$D$3004,Acuses!$A$5:$A$3004,$A109,Acuses!$B$5:$B$3004,D$4,Acuses!$C$5:$C$3004,D$5),D$8)&lt;Resumen!$C$4+30,"Caduca pronto","OK"))))))</f>
        <v/>
      </c>
      <c r="E109" s="26" t="str">
        <f aca="false">IF(OR($A109="",E$4=""),"",IF(NOT(OR(E$6="Toda la plantilla",ISNUMBER(SEARCH(";"&amp;SUBSTITUTE($C109," ","")&amp;";",";"&amp;SUBSTITUTE(E$7," ","")&amp;";")))),"—",IF(_xlfn.MAXIFS(Acuses!$C$5:$C$3004,Acuses!$A$5:$A$3004,$A109,Acuses!$B$5:$B$3004,E$4)&lt;E$5,"Pendiente",IF(E$8=0,"OK",IF(EDATE(_xlfn.MAXIFS(Acuses!$D$5:$D$3004,Acuses!$A$5:$A$3004,$A109,Acuses!$B$5:$B$3004,E$4,Acuses!$C$5:$C$3004,E$5),E$8)&lt;Resumen!$C$4,"Caducado",IF(EDATE(_xlfn.MAXIFS(Acuses!$D$5:$D$3004,Acuses!$A$5:$A$3004,$A109,Acuses!$B$5:$B$3004,E$4,Acuses!$C$5:$C$3004,E$5),E$8)&lt;Resumen!$C$4+30,"Caduca pronto","OK"))))))</f>
        <v/>
      </c>
      <c r="F109" s="26" t="str">
        <f aca="false">IF(OR($A109="",F$4=""),"",IF(NOT(OR(F$6="Toda la plantilla",ISNUMBER(SEARCH(";"&amp;SUBSTITUTE($C109," ","")&amp;";",";"&amp;SUBSTITUTE(F$7," ","")&amp;";")))),"—",IF(_xlfn.MAXIFS(Acuses!$C$5:$C$3004,Acuses!$A$5:$A$3004,$A109,Acuses!$B$5:$B$3004,F$4)&lt;F$5,"Pendiente",IF(F$8=0,"OK",IF(EDATE(_xlfn.MAXIFS(Acuses!$D$5:$D$3004,Acuses!$A$5:$A$3004,$A109,Acuses!$B$5:$B$3004,F$4,Acuses!$C$5:$C$3004,F$5),F$8)&lt;Resumen!$C$4,"Caducado",IF(EDATE(_xlfn.MAXIFS(Acuses!$D$5:$D$3004,Acuses!$A$5:$A$3004,$A109,Acuses!$B$5:$B$3004,F$4,Acuses!$C$5:$C$3004,F$5),F$8)&lt;Resumen!$C$4+30,"Caduca pronto","OK"))))))</f>
        <v/>
      </c>
      <c r="G109" s="26" t="str">
        <f aca="false">IF(OR($A109="",G$4=""),"",IF(NOT(OR(G$6="Toda la plantilla",ISNUMBER(SEARCH(";"&amp;SUBSTITUTE($C109," ","")&amp;";",";"&amp;SUBSTITUTE(G$7," ","")&amp;";")))),"—",IF(_xlfn.MAXIFS(Acuses!$C$5:$C$3004,Acuses!$A$5:$A$3004,$A109,Acuses!$B$5:$B$3004,G$4)&lt;G$5,"Pendiente",IF(G$8=0,"OK",IF(EDATE(_xlfn.MAXIFS(Acuses!$D$5:$D$3004,Acuses!$A$5:$A$3004,$A109,Acuses!$B$5:$B$3004,G$4,Acuses!$C$5:$C$3004,G$5),G$8)&lt;Resumen!$C$4,"Caducado",IF(EDATE(_xlfn.MAXIFS(Acuses!$D$5:$D$3004,Acuses!$A$5:$A$3004,$A109,Acuses!$B$5:$B$3004,G$4,Acuses!$C$5:$C$3004,G$5),G$8)&lt;Resumen!$C$4+30,"Caduca pronto","OK"))))))</f>
        <v/>
      </c>
      <c r="H109" s="26" t="str">
        <f aca="false">IF(OR($A109="",H$4=""),"",IF(NOT(OR(H$6="Toda la plantilla",ISNUMBER(SEARCH(";"&amp;SUBSTITUTE($C109," ","")&amp;";",";"&amp;SUBSTITUTE(H$7," ","")&amp;";")))),"—",IF(_xlfn.MAXIFS(Acuses!$C$5:$C$3004,Acuses!$A$5:$A$3004,$A109,Acuses!$B$5:$B$3004,H$4)&lt;H$5,"Pendiente",IF(H$8=0,"OK",IF(EDATE(_xlfn.MAXIFS(Acuses!$D$5:$D$3004,Acuses!$A$5:$A$3004,$A109,Acuses!$B$5:$B$3004,H$4,Acuses!$C$5:$C$3004,H$5),H$8)&lt;Resumen!$C$4,"Caducado",IF(EDATE(_xlfn.MAXIFS(Acuses!$D$5:$D$3004,Acuses!$A$5:$A$3004,$A109,Acuses!$B$5:$B$3004,H$4,Acuses!$C$5:$C$3004,H$5),H$8)&lt;Resumen!$C$4+30,"Caduca pronto","OK"))))))</f>
        <v/>
      </c>
      <c r="I109" s="26" t="str">
        <f aca="false">IF(OR($A109="",I$4=""),"",IF(NOT(OR(I$6="Toda la plantilla",ISNUMBER(SEARCH(";"&amp;SUBSTITUTE($C109," ","")&amp;";",";"&amp;SUBSTITUTE(I$7," ","")&amp;";")))),"—",IF(_xlfn.MAXIFS(Acuses!$C$5:$C$3004,Acuses!$A$5:$A$3004,$A109,Acuses!$B$5:$B$3004,I$4)&lt;I$5,"Pendiente",IF(I$8=0,"OK",IF(EDATE(_xlfn.MAXIFS(Acuses!$D$5:$D$3004,Acuses!$A$5:$A$3004,$A109,Acuses!$B$5:$B$3004,I$4,Acuses!$C$5:$C$3004,I$5),I$8)&lt;Resumen!$C$4,"Caducado",IF(EDATE(_xlfn.MAXIFS(Acuses!$D$5:$D$3004,Acuses!$A$5:$A$3004,$A109,Acuses!$B$5:$B$3004,I$4,Acuses!$C$5:$C$3004,I$5),I$8)&lt;Resumen!$C$4+30,"Caduca pronto","OK"))))))</f>
        <v/>
      </c>
      <c r="J109" s="26" t="str">
        <f aca="false">IF(OR($A109="",J$4=""),"",IF(NOT(OR(J$6="Toda la plantilla",ISNUMBER(SEARCH(";"&amp;SUBSTITUTE($C109," ","")&amp;";",";"&amp;SUBSTITUTE(J$7," ","")&amp;";")))),"—",IF(_xlfn.MAXIFS(Acuses!$C$5:$C$3004,Acuses!$A$5:$A$3004,$A109,Acuses!$B$5:$B$3004,J$4)&lt;J$5,"Pendiente",IF(J$8=0,"OK",IF(EDATE(_xlfn.MAXIFS(Acuses!$D$5:$D$3004,Acuses!$A$5:$A$3004,$A109,Acuses!$B$5:$B$3004,J$4,Acuses!$C$5:$C$3004,J$5),J$8)&lt;Resumen!$C$4,"Caducado",IF(EDATE(_xlfn.MAXIFS(Acuses!$D$5:$D$3004,Acuses!$A$5:$A$3004,$A109,Acuses!$B$5:$B$3004,J$4,Acuses!$C$5:$C$3004,J$5),J$8)&lt;Resumen!$C$4+30,"Caduca pronto","OK"))))))</f>
        <v/>
      </c>
      <c r="K109" s="26" t="str">
        <f aca="false">IF(OR($A109="",K$4=""),"",IF(NOT(OR(K$6="Toda la plantilla",ISNUMBER(SEARCH(";"&amp;SUBSTITUTE($C109," ","")&amp;";",";"&amp;SUBSTITUTE(K$7," ","")&amp;";")))),"—",IF(_xlfn.MAXIFS(Acuses!$C$5:$C$3004,Acuses!$A$5:$A$3004,$A109,Acuses!$B$5:$B$3004,K$4)&lt;K$5,"Pendiente",IF(K$8=0,"OK",IF(EDATE(_xlfn.MAXIFS(Acuses!$D$5:$D$3004,Acuses!$A$5:$A$3004,$A109,Acuses!$B$5:$B$3004,K$4,Acuses!$C$5:$C$3004,K$5),K$8)&lt;Resumen!$C$4,"Caducado",IF(EDATE(_xlfn.MAXIFS(Acuses!$D$5:$D$3004,Acuses!$A$5:$A$3004,$A109,Acuses!$B$5:$B$3004,K$4,Acuses!$C$5:$C$3004,K$5),K$8)&lt;Resumen!$C$4+30,"Caduca pronto","OK"))))))</f>
        <v/>
      </c>
      <c r="L109" s="26" t="str">
        <f aca="false">IF(OR($A109="",L$4=""),"",IF(NOT(OR(L$6="Toda la plantilla",ISNUMBER(SEARCH(";"&amp;SUBSTITUTE($C109," ","")&amp;";",";"&amp;SUBSTITUTE(L$7," ","")&amp;";")))),"—",IF(_xlfn.MAXIFS(Acuses!$C$5:$C$3004,Acuses!$A$5:$A$3004,$A109,Acuses!$B$5:$B$3004,L$4)&lt;L$5,"Pendiente",IF(L$8=0,"OK",IF(EDATE(_xlfn.MAXIFS(Acuses!$D$5:$D$3004,Acuses!$A$5:$A$3004,$A109,Acuses!$B$5:$B$3004,L$4,Acuses!$C$5:$C$3004,L$5),L$8)&lt;Resumen!$C$4,"Caducado",IF(EDATE(_xlfn.MAXIFS(Acuses!$D$5:$D$3004,Acuses!$A$5:$A$3004,$A109,Acuses!$B$5:$B$3004,L$4,Acuses!$C$5:$C$3004,L$5),L$8)&lt;Resumen!$C$4+30,"Caduca pronto","OK"))))))</f>
        <v/>
      </c>
      <c r="M109" s="26" t="str">
        <f aca="false">IF(OR($A109="",M$4=""),"",IF(NOT(OR(M$6="Toda la plantilla",ISNUMBER(SEARCH(";"&amp;SUBSTITUTE($C109," ","")&amp;";",";"&amp;SUBSTITUTE(M$7," ","")&amp;";")))),"—",IF(_xlfn.MAXIFS(Acuses!$C$5:$C$3004,Acuses!$A$5:$A$3004,$A109,Acuses!$B$5:$B$3004,M$4)&lt;M$5,"Pendiente",IF(M$8=0,"OK",IF(EDATE(_xlfn.MAXIFS(Acuses!$D$5:$D$3004,Acuses!$A$5:$A$3004,$A109,Acuses!$B$5:$B$3004,M$4,Acuses!$C$5:$C$3004,M$5),M$8)&lt;Resumen!$C$4,"Caducado",IF(EDATE(_xlfn.MAXIFS(Acuses!$D$5:$D$3004,Acuses!$A$5:$A$3004,$A109,Acuses!$B$5:$B$3004,M$4,Acuses!$C$5:$C$3004,M$5),M$8)&lt;Resumen!$C$4+30,"Caduca pronto","OK"))))))</f>
        <v/>
      </c>
      <c r="N109" s="26" t="str">
        <f aca="false">IF(OR($A109="",N$4=""),"",IF(NOT(OR(N$6="Toda la plantilla",ISNUMBER(SEARCH(";"&amp;SUBSTITUTE($C109," ","")&amp;";",";"&amp;SUBSTITUTE(N$7," ","")&amp;";")))),"—",IF(_xlfn.MAXIFS(Acuses!$C$5:$C$3004,Acuses!$A$5:$A$3004,$A109,Acuses!$B$5:$B$3004,N$4)&lt;N$5,"Pendiente",IF(N$8=0,"OK",IF(EDATE(_xlfn.MAXIFS(Acuses!$D$5:$D$3004,Acuses!$A$5:$A$3004,$A109,Acuses!$B$5:$B$3004,N$4,Acuses!$C$5:$C$3004,N$5),N$8)&lt;Resumen!$C$4,"Caducado",IF(EDATE(_xlfn.MAXIFS(Acuses!$D$5:$D$3004,Acuses!$A$5:$A$3004,$A109,Acuses!$B$5:$B$3004,N$4,Acuses!$C$5:$C$3004,N$5),N$8)&lt;Resumen!$C$4+30,"Caduca pronto","OK"))))))</f>
        <v/>
      </c>
      <c r="O109" s="26" t="str">
        <f aca="false">IF(OR($A109="",O$4=""),"",IF(NOT(OR(O$6="Toda la plantilla",ISNUMBER(SEARCH(";"&amp;SUBSTITUTE($C109," ","")&amp;";",";"&amp;SUBSTITUTE(O$7," ","")&amp;";")))),"—",IF(_xlfn.MAXIFS(Acuses!$C$5:$C$3004,Acuses!$A$5:$A$3004,$A109,Acuses!$B$5:$B$3004,O$4)&lt;O$5,"Pendiente",IF(O$8=0,"OK",IF(EDATE(_xlfn.MAXIFS(Acuses!$D$5:$D$3004,Acuses!$A$5:$A$3004,$A109,Acuses!$B$5:$B$3004,O$4,Acuses!$C$5:$C$3004,O$5),O$8)&lt;Resumen!$C$4,"Caducado",IF(EDATE(_xlfn.MAXIFS(Acuses!$D$5:$D$3004,Acuses!$A$5:$A$3004,$A109,Acuses!$B$5:$B$3004,O$4,Acuses!$C$5:$C$3004,O$5),O$8)&lt;Resumen!$C$4+30,"Caduca pronto","OK"))))))</f>
        <v/>
      </c>
      <c r="P109" s="26" t="str">
        <f aca="false">IF(OR($A109="",P$4=""),"",IF(NOT(OR(P$6="Toda la plantilla",ISNUMBER(SEARCH(";"&amp;SUBSTITUTE($C109," ","")&amp;";",";"&amp;SUBSTITUTE(P$7," ","")&amp;";")))),"—",IF(_xlfn.MAXIFS(Acuses!$C$5:$C$3004,Acuses!$A$5:$A$3004,$A109,Acuses!$B$5:$B$3004,P$4)&lt;P$5,"Pendiente",IF(P$8=0,"OK",IF(EDATE(_xlfn.MAXIFS(Acuses!$D$5:$D$3004,Acuses!$A$5:$A$3004,$A109,Acuses!$B$5:$B$3004,P$4,Acuses!$C$5:$C$3004,P$5),P$8)&lt;Resumen!$C$4,"Caducado",IF(EDATE(_xlfn.MAXIFS(Acuses!$D$5:$D$3004,Acuses!$A$5:$A$3004,$A109,Acuses!$B$5:$B$3004,P$4,Acuses!$C$5:$C$3004,P$5),P$8)&lt;Resumen!$C$4+30,"Caduca pronto","OK"))))))</f>
        <v/>
      </c>
      <c r="Q109" s="26" t="str">
        <f aca="false">IF(OR($A109="",Q$4=""),"",IF(NOT(OR(Q$6="Toda la plantilla",ISNUMBER(SEARCH(";"&amp;SUBSTITUTE($C109," ","")&amp;";",";"&amp;SUBSTITUTE(Q$7," ","")&amp;";")))),"—",IF(_xlfn.MAXIFS(Acuses!$C$5:$C$3004,Acuses!$A$5:$A$3004,$A109,Acuses!$B$5:$B$3004,Q$4)&lt;Q$5,"Pendiente",IF(Q$8=0,"OK",IF(EDATE(_xlfn.MAXIFS(Acuses!$D$5:$D$3004,Acuses!$A$5:$A$3004,$A109,Acuses!$B$5:$B$3004,Q$4,Acuses!$C$5:$C$3004,Q$5),Q$8)&lt;Resumen!$C$4,"Caducado",IF(EDATE(_xlfn.MAXIFS(Acuses!$D$5:$D$3004,Acuses!$A$5:$A$3004,$A109,Acuses!$B$5:$B$3004,Q$4,Acuses!$C$5:$C$3004,Q$5),Q$8)&lt;Resumen!$C$4+30,"Caduca pronto","OK"))))))</f>
        <v/>
      </c>
      <c r="R109" s="26" t="str">
        <f aca="false">IF(OR($A109="",R$4=""),"",IF(NOT(OR(R$6="Toda la plantilla",ISNUMBER(SEARCH(";"&amp;SUBSTITUTE($C109," ","")&amp;";",";"&amp;SUBSTITUTE(R$7," ","")&amp;";")))),"—",IF(_xlfn.MAXIFS(Acuses!$C$5:$C$3004,Acuses!$A$5:$A$3004,$A109,Acuses!$B$5:$B$3004,R$4)&lt;R$5,"Pendiente",IF(R$8=0,"OK",IF(EDATE(_xlfn.MAXIFS(Acuses!$D$5:$D$3004,Acuses!$A$5:$A$3004,$A109,Acuses!$B$5:$B$3004,R$4,Acuses!$C$5:$C$3004,R$5),R$8)&lt;Resumen!$C$4,"Caducado",IF(EDATE(_xlfn.MAXIFS(Acuses!$D$5:$D$3004,Acuses!$A$5:$A$3004,$A109,Acuses!$B$5:$B$3004,R$4,Acuses!$C$5:$C$3004,R$5),R$8)&lt;Resumen!$C$4+30,"Caduca pronto","OK"))))))</f>
        <v/>
      </c>
      <c r="S109" s="26" t="str">
        <f aca="false">IF(OR($A109="",S$4=""),"",IF(NOT(OR(S$6="Toda la plantilla",ISNUMBER(SEARCH(";"&amp;SUBSTITUTE($C109," ","")&amp;";",";"&amp;SUBSTITUTE(S$7," ","")&amp;";")))),"—",IF(_xlfn.MAXIFS(Acuses!$C$5:$C$3004,Acuses!$A$5:$A$3004,$A109,Acuses!$B$5:$B$3004,S$4)&lt;S$5,"Pendiente",IF(S$8=0,"OK",IF(EDATE(_xlfn.MAXIFS(Acuses!$D$5:$D$3004,Acuses!$A$5:$A$3004,$A109,Acuses!$B$5:$B$3004,S$4,Acuses!$C$5:$C$3004,S$5),S$8)&lt;Resumen!$C$4,"Caducado",IF(EDATE(_xlfn.MAXIFS(Acuses!$D$5:$D$3004,Acuses!$A$5:$A$3004,$A109,Acuses!$B$5:$B$3004,S$4,Acuses!$C$5:$C$3004,S$5),S$8)&lt;Resumen!$C$4+30,"Caduca pronto","OK"))))))</f>
        <v/>
      </c>
      <c r="T109" s="26" t="str">
        <f aca="false">IF(OR($A109="",T$4=""),"",IF(NOT(OR(T$6="Toda la plantilla",ISNUMBER(SEARCH(";"&amp;SUBSTITUTE($C109," ","")&amp;";",";"&amp;SUBSTITUTE(T$7," ","")&amp;";")))),"—",IF(_xlfn.MAXIFS(Acuses!$C$5:$C$3004,Acuses!$A$5:$A$3004,$A109,Acuses!$B$5:$B$3004,T$4)&lt;T$5,"Pendiente",IF(T$8=0,"OK",IF(EDATE(_xlfn.MAXIFS(Acuses!$D$5:$D$3004,Acuses!$A$5:$A$3004,$A109,Acuses!$B$5:$B$3004,T$4,Acuses!$C$5:$C$3004,T$5),T$8)&lt;Resumen!$C$4,"Caducado",IF(EDATE(_xlfn.MAXIFS(Acuses!$D$5:$D$3004,Acuses!$A$5:$A$3004,$A109,Acuses!$B$5:$B$3004,T$4,Acuses!$C$5:$C$3004,T$5),T$8)&lt;Resumen!$C$4+30,"Caduca pronto","OK"))))))</f>
        <v/>
      </c>
      <c r="U109" s="26" t="str">
        <f aca="false">IF(OR($A109="",U$4=""),"",IF(NOT(OR(U$6="Toda la plantilla",ISNUMBER(SEARCH(";"&amp;SUBSTITUTE($C109," ","")&amp;";",";"&amp;SUBSTITUTE(U$7," ","")&amp;";")))),"—",IF(_xlfn.MAXIFS(Acuses!$C$5:$C$3004,Acuses!$A$5:$A$3004,$A109,Acuses!$B$5:$B$3004,U$4)&lt;U$5,"Pendiente",IF(U$8=0,"OK",IF(EDATE(_xlfn.MAXIFS(Acuses!$D$5:$D$3004,Acuses!$A$5:$A$3004,$A109,Acuses!$B$5:$B$3004,U$4,Acuses!$C$5:$C$3004,U$5),U$8)&lt;Resumen!$C$4,"Caducado",IF(EDATE(_xlfn.MAXIFS(Acuses!$D$5:$D$3004,Acuses!$A$5:$A$3004,$A109,Acuses!$B$5:$B$3004,U$4,Acuses!$C$5:$C$3004,U$5),U$8)&lt;Resumen!$C$4+30,"Caduca pronto","OK"))))))</f>
        <v/>
      </c>
      <c r="V109" s="26" t="str">
        <f aca="false">IF(OR($A109="",V$4=""),"",IF(NOT(OR(V$6="Toda la plantilla",ISNUMBER(SEARCH(";"&amp;SUBSTITUTE($C109," ","")&amp;";",";"&amp;SUBSTITUTE(V$7," ","")&amp;";")))),"—",IF(_xlfn.MAXIFS(Acuses!$C$5:$C$3004,Acuses!$A$5:$A$3004,$A109,Acuses!$B$5:$B$3004,V$4)&lt;V$5,"Pendiente",IF(V$8=0,"OK",IF(EDATE(_xlfn.MAXIFS(Acuses!$D$5:$D$3004,Acuses!$A$5:$A$3004,$A109,Acuses!$B$5:$B$3004,V$4,Acuses!$C$5:$C$3004,V$5),V$8)&lt;Resumen!$C$4,"Caducado",IF(EDATE(_xlfn.MAXIFS(Acuses!$D$5:$D$3004,Acuses!$A$5:$A$3004,$A109,Acuses!$B$5:$B$3004,V$4,Acuses!$C$5:$C$3004,V$5),V$8)&lt;Resumen!$C$4+30,"Caduca pronto","OK"))))))</f>
        <v/>
      </c>
      <c r="W109" s="26" t="str">
        <f aca="false">IF(OR($A109="",W$4=""),"",IF(NOT(OR(W$6="Toda la plantilla",ISNUMBER(SEARCH(";"&amp;SUBSTITUTE($C109," ","")&amp;";",";"&amp;SUBSTITUTE(W$7," ","")&amp;";")))),"—",IF(_xlfn.MAXIFS(Acuses!$C$5:$C$3004,Acuses!$A$5:$A$3004,$A109,Acuses!$B$5:$B$3004,W$4)&lt;W$5,"Pendiente",IF(W$8=0,"OK",IF(EDATE(_xlfn.MAXIFS(Acuses!$D$5:$D$3004,Acuses!$A$5:$A$3004,$A109,Acuses!$B$5:$B$3004,W$4,Acuses!$C$5:$C$3004,W$5),W$8)&lt;Resumen!$C$4,"Caducado",IF(EDATE(_xlfn.MAXIFS(Acuses!$D$5:$D$3004,Acuses!$A$5:$A$3004,$A109,Acuses!$B$5:$B$3004,W$4,Acuses!$C$5:$C$3004,W$5),W$8)&lt;Resumen!$C$4+30,"Caduca pronto","OK"))))))</f>
        <v/>
      </c>
      <c r="X109" s="26" t="str">
        <f aca="false">IF(OR($A109="",X$4=""),"",IF(NOT(OR(X$6="Toda la plantilla",ISNUMBER(SEARCH(";"&amp;SUBSTITUTE($C109," ","")&amp;";",";"&amp;SUBSTITUTE(X$7," ","")&amp;";")))),"—",IF(_xlfn.MAXIFS(Acuses!$C$5:$C$3004,Acuses!$A$5:$A$3004,$A109,Acuses!$B$5:$B$3004,X$4)&lt;X$5,"Pendiente",IF(X$8=0,"OK",IF(EDATE(_xlfn.MAXIFS(Acuses!$D$5:$D$3004,Acuses!$A$5:$A$3004,$A109,Acuses!$B$5:$B$3004,X$4,Acuses!$C$5:$C$3004,X$5),X$8)&lt;Resumen!$C$4,"Caducado",IF(EDATE(_xlfn.MAXIFS(Acuses!$D$5:$D$3004,Acuses!$A$5:$A$3004,$A109,Acuses!$B$5:$B$3004,X$4,Acuses!$C$5:$C$3004,X$5),X$8)&lt;Resumen!$C$4+30,"Caduca pronto","OK"))))))</f>
        <v/>
      </c>
      <c r="Y109" s="26" t="str">
        <f aca="false">IF(OR($A109="",Y$4=""),"",IF(NOT(OR(Y$6="Toda la plantilla",ISNUMBER(SEARCH(";"&amp;SUBSTITUTE($C109," ","")&amp;";",";"&amp;SUBSTITUTE(Y$7," ","")&amp;";")))),"—",IF(_xlfn.MAXIFS(Acuses!$C$5:$C$3004,Acuses!$A$5:$A$3004,$A109,Acuses!$B$5:$B$3004,Y$4)&lt;Y$5,"Pendiente",IF(Y$8=0,"OK",IF(EDATE(_xlfn.MAXIFS(Acuses!$D$5:$D$3004,Acuses!$A$5:$A$3004,$A109,Acuses!$B$5:$B$3004,Y$4,Acuses!$C$5:$C$3004,Y$5),Y$8)&lt;Resumen!$C$4,"Caducado",IF(EDATE(_xlfn.MAXIFS(Acuses!$D$5:$D$3004,Acuses!$A$5:$A$3004,$A109,Acuses!$B$5:$B$3004,Y$4,Acuses!$C$5:$C$3004,Y$5),Y$8)&lt;Resumen!$C$4+30,"Caduca pronto","OK"))))))</f>
        <v/>
      </c>
      <c r="Z109" s="26" t="str">
        <f aca="false">IF(OR($A109="",Z$4=""),"",IF(NOT(OR(Z$6="Toda la plantilla",ISNUMBER(SEARCH(";"&amp;SUBSTITUTE($C109," ","")&amp;";",";"&amp;SUBSTITUTE(Z$7," ","")&amp;";")))),"—",IF(_xlfn.MAXIFS(Acuses!$C$5:$C$3004,Acuses!$A$5:$A$3004,$A109,Acuses!$B$5:$B$3004,Z$4)&lt;Z$5,"Pendiente",IF(Z$8=0,"OK",IF(EDATE(_xlfn.MAXIFS(Acuses!$D$5:$D$3004,Acuses!$A$5:$A$3004,$A109,Acuses!$B$5:$B$3004,Z$4,Acuses!$C$5:$C$3004,Z$5),Z$8)&lt;Resumen!$C$4,"Caducado",IF(EDATE(_xlfn.MAXIFS(Acuses!$D$5:$D$3004,Acuses!$A$5:$A$3004,$A109,Acuses!$B$5:$B$3004,Z$4,Acuses!$C$5:$C$3004,Z$5),Z$8)&lt;Resumen!$C$4+30,"Caduca pronto","OK"))))))</f>
        <v/>
      </c>
      <c r="AA109" s="26" t="str">
        <f aca="false">IF(OR($A109="",AA$4=""),"",IF(NOT(OR(AA$6="Toda la plantilla",ISNUMBER(SEARCH(";"&amp;SUBSTITUTE($C109," ","")&amp;";",";"&amp;SUBSTITUTE(AA$7," ","")&amp;";")))),"—",IF(_xlfn.MAXIFS(Acuses!$C$5:$C$3004,Acuses!$A$5:$A$3004,$A109,Acuses!$B$5:$B$3004,AA$4)&lt;AA$5,"Pendiente",IF(AA$8=0,"OK",IF(EDATE(_xlfn.MAXIFS(Acuses!$D$5:$D$3004,Acuses!$A$5:$A$3004,$A109,Acuses!$B$5:$B$3004,AA$4,Acuses!$C$5:$C$3004,AA$5),AA$8)&lt;Resumen!$C$4,"Caducado",IF(EDATE(_xlfn.MAXIFS(Acuses!$D$5:$D$3004,Acuses!$A$5:$A$3004,$A109,Acuses!$B$5:$B$3004,AA$4,Acuses!$C$5:$C$3004,AA$5),AA$8)&lt;Resumen!$C$4+30,"Caduca pronto","OK"))))))</f>
        <v/>
      </c>
      <c r="AB109" s="26" t="str">
        <f aca="false">IF(OR($A109="",AB$4=""),"",IF(NOT(OR(AB$6="Toda la plantilla",ISNUMBER(SEARCH(";"&amp;SUBSTITUTE($C109," ","")&amp;";",";"&amp;SUBSTITUTE(AB$7," ","")&amp;";")))),"—",IF(_xlfn.MAXIFS(Acuses!$C$5:$C$3004,Acuses!$A$5:$A$3004,$A109,Acuses!$B$5:$B$3004,AB$4)&lt;AB$5,"Pendiente",IF(AB$8=0,"OK",IF(EDATE(_xlfn.MAXIFS(Acuses!$D$5:$D$3004,Acuses!$A$5:$A$3004,$A109,Acuses!$B$5:$B$3004,AB$4,Acuses!$C$5:$C$3004,AB$5),AB$8)&lt;Resumen!$C$4,"Caducado",IF(EDATE(_xlfn.MAXIFS(Acuses!$D$5:$D$3004,Acuses!$A$5:$A$3004,$A109,Acuses!$B$5:$B$3004,AB$4,Acuses!$C$5:$C$3004,AB$5),AB$8)&lt;Resumen!$C$4+30,"Caduca pronto","OK"))))))</f>
        <v/>
      </c>
      <c r="AC109" s="26" t="str">
        <f aca="false">IF(OR($A109="",AC$4=""),"",IF(NOT(OR(AC$6="Toda la plantilla",ISNUMBER(SEARCH(";"&amp;SUBSTITUTE($C109," ","")&amp;";",";"&amp;SUBSTITUTE(AC$7," ","")&amp;";")))),"—",IF(_xlfn.MAXIFS(Acuses!$C$5:$C$3004,Acuses!$A$5:$A$3004,$A109,Acuses!$B$5:$B$3004,AC$4)&lt;AC$5,"Pendiente",IF(AC$8=0,"OK",IF(EDATE(_xlfn.MAXIFS(Acuses!$D$5:$D$3004,Acuses!$A$5:$A$3004,$A109,Acuses!$B$5:$B$3004,AC$4,Acuses!$C$5:$C$3004,AC$5),AC$8)&lt;Resumen!$C$4,"Caducado",IF(EDATE(_xlfn.MAXIFS(Acuses!$D$5:$D$3004,Acuses!$A$5:$A$3004,$A109,Acuses!$B$5:$B$3004,AC$4,Acuses!$C$5:$C$3004,AC$5),AC$8)&lt;Resumen!$C$4+30,"Caduca pronto","OK"))))))</f>
        <v/>
      </c>
      <c r="AD109" s="26" t="str">
        <f aca="false">IF(OR($A109="",AD$4=""),"",IF(NOT(OR(AD$6="Toda la plantilla",ISNUMBER(SEARCH(";"&amp;SUBSTITUTE($C109," ","")&amp;";",";"&amp;SUBSTITUTE(AD$7," ","")&amp;";")))),"—",IF(_xlfn.MAXIFS(Acuses!$C$5:$C$3004,Acuses!$A$5:$A$3004,$A109,Acuses!$B$5:$B$3004,AD$4)&lt;AD$5,"Pendiente",IF(AD$8=0,"OK",IF(EDATE(_xlfn.MAXIFS(Acuses!$D$5:$D$3004,Acuses!$A$5:$A$3004,$A109,Acuses!$B$5:$B$3004,AD$4,Acuses!$C$5:$C$3004,AD$5),AD$8)&lt;Resumen!$C$4,"Caducado",IF(EDATE(_xlfn.MAXIFS(Acuses!$D$5:$D$3004,Acuses!$A$5:$A$3004,$A109,Acuses!$B$5:$B$3004,AD$4,Acuses!$C$5:$C$3004,AD$5),AD$8)&lt;Resumen!$C$4+30,"Caduca pronto","OK"))))))</f>
        <v/>
      </c>
      <c r="AE109" s="26" t="str">
        <f aca="false">IF(OR($A109="",AE$4=""),"",IF(NOT(OR(AE$6="Toda la plantilla",ISNUMBER(SEARCH(";"&amp;SUBSTITUTE($C109," ","")&amp;";",";"&amp;SUBSTITUTE(AE$7," ","")&amp;";")))),"—",IF(_xlfn.MAXIFS(Acuses!$C$5:$C$3004,Acuses!$A$5:$A$3004,$A109,Acuses!$B$5:$B$3004,AE$4)&lt;AE$5,"Pendiente",IF(AE$8=0,"OK",IF(EDATE(_xlfn.MAXIFS(Acuses!$D$5:$D$3004,Acuses!$A$5:$A$3004,$A109,Acuses!$B$5:$B$3004,AE$4,Acuses!$C$5:$C$3004,AE$5),AE$8)&lt;Resumen!$C$4,"Caducado",IF(EDATE(_xlfn.MAXIFS(Acuses!$D$5:$D$3004,Acuses!$A$5:$A$3004,$A109,Acuses!$B$5:$B$3004,AE$4,Acuses!$C$5:$C$3004,AE$5),AE$8)&lt;Resumen!$C$4+30,"Caduca pronto","OK"))))))</f>
        <v/>
      </c>
      <c r="AF109" s="26" t="str">
        <f aca="false">IF(OR($A109="",AF$4=""),"",IF(NOT(OR(AF$6="Toda la plantilla",ISNUMBER(SEARCH(";"&amp;SUBSTITUTE($C109," ","")&amp;";",";"&amp;SUBSTITUTE(AF$7," ","")&amp;";")))),"—",IF(_xlfn.MAXIFS(Acuses!$C$5:$C$3004,Acuses!$A$5:$A$3004,$A109,Acuses!$B$5:$B$3004,AF$4)&lt;AF$5,"Pendiente",IF(AF$8=0,"OK",IF(EDATE(_xlfn.MAXIFS(Acuses!$D$5:$D$3004,Acuses!$A$5:$A$3004,$A109,Acuses!$B$5:$B$3004,AF$4,Acuses!$C$5:$C$3004,AF$5),AF$8)&lt;Resumen!$C$4,"Caducado",IF(EDATE(_xlfn.MAXIFS(Acuses!$D$5:$D$3004,Acuses!$A$5:$A$3004,$A109,Acuses!$B$5:$B$3004,AF$4,Acuses!$C$5:$C$3004,AF$5),AF$8)&lt;Resumen!$C$4+30,"Caduca pronto","OK"))))))</f>
        <v/>
      </c>
      <c r="AG109" s="26" t="str">
        <f aca="false">IF(OR($A109="",AG$4=""),"",IF(NOT(OR(AG$6="Toda la plantilla",ISNUMBER(SEARCH(";"&amp;SUBSTITUTE($C109," ","")&amp;";",";"&amp;SUBSTITUTE(AG$7," ","")&amp;";")))),"—",IF(_xlfn.MAXIFS(Acuses!$C$5:$C$3004,Acuses!$A$5:$A$3004,$A109,Acuses!$B$5:$B$3004,AG$4)&lt;AG$5,"Pendiente",IF(AG$8=0,"OK",IF(EDATE(_xlfn.MAXIFS(Acuses!$D$5:$D$3004,Acuses!$A$5:$A$3004,$A109,Acuses!$B$5:$B$3004,AG$4,Acuses!$C$5:$C$3004,AG$5),AG$8)&lt;Resumen!$C$4,"Caducado",IF(EDATE(_xlfn.MAXIFS(Acuses!$D$5:$D$3004,Acuses!$A$5:$A$3004,$A109,Acuses!$B$5:$B$3004,AG$4,Acuses!$C$5:$C$3004,AG$5),AG$8)&lt;Resumen!$C$4+30,"Caduca pronto","OK"))))))</f>
        <v/>
      </c>
      <c r="AH109" s="26" t="str">
        <f aca="false">IF(OR($A109="",AH$4=""),"",IF(NOT(OR(AH$6="Toda la plantilla",ISNUMBER(SEARCH(";"&amp;SUBSTITUTE($C109," ","")&amp;";",";"&amp;SUBSTITUTE(AH$7," ","")&amp;";")))),"—",IF(_xlfn.MAXIFS(Acuses!$C$5:$C$3004,Acuses!$A$5:$A$3004,$A109,Acuses!$B$5:$B$3004,AH$4)&lt;AH$5,"Pendiente",IF(AH$8=0,"OK",IF(EDATE(_xlfn.MAXIFS(Acuses!$D$5:$D$3004,Acuses!$A$5:$A$3004,$A109,Acuses!$B$5:$B$3004,AH$4,Acuses!$C$5:$C$3004,AH$5),AH$8)&lt;Resumen!$C$4,"Caducado",IF(EDATE(_xlfn.MAXIFS(Acuses!$D$5:$D$3004,Acuses!$A$5:$A$3004,$A109,Acuses!$B$5:$B$3004,AH$4,Acuses!$C$5:$C$3004,AH$5),AH$8)&lt;Resumen!$C$4+30,"Caduca pronto","OK"))))))</f>
        <v/>
      </c>
      <c r="AI109" s="26" t="str">
        <f aca="false">IF(OR($A109="",AI$4=""),"",IF(NOT(OR(AI$6="Toda la plantilla",ISNUMBER(SEARCH(";"&amp;SUBSTITUTE($C109," ","")&amp;";",";"&amp;SUBSTITUTE(AI$7," ","")&amp;";")))),"—",IF(_xlfn.MAXIFS(Acuses!$C$5:$C$3004,Acuses!$A$5:$A$3004,$A109,Acuses!$B$5:$B$3004,AI$4)&lt;AI$5,"Pendiente",IF(AI$8=0,"OK",IF(EDATE(_xlfn.MAXIFS(Acuses!$D$5:$D$3004,Acuses!$A$5:$A$3004,$A109,Acuses!$B$5:$B$3004,AI$4,Acuses!$C$5:$C$3004,AI$5),AI$8)&lt;Resumen!$C$4,"Caducado",IF(EDATE(_xlfn.MAXIFS(Acuses!$D$5:$D$3004,Acuses!$A$5:$A$3004,$A109,Acuses!$B$5:$B$3004,AI$4,Acuses!$C$5:$C$3004,AI$5),AI$8)&lt;Resumen!$C$4+30,"Caduca pronto","OK"))))))</f>
        <v/>
      </c>
      <c r="AJ109" s="26" t="str">
        <f aca="false">IF(OR($A109="",AJ$4=""),"",IF(NOT(OR(AJ$6="Toda la plantilla",ISNUMBER(SEARCH(";"&amp;SUBSTITUTE($C109," ","")&amp;";",";"&amp;SUBSTITUTE(AJ$7," ","")&amp;";")))),"—",IF(_xlfn.MAXIFS(Acuses!$C$5:$C$3004,Acuses!$A$5:$A$3004,$A109,Acuses!$B$5:$B$3004,AJ$4)&lt;AJ$5,"Pendiente",IF(AJ$8=0,"OK",IF(EDATE(_xlfn.MAXIFS(Acuses!$D$5:$D$3004,Acuses!$A$5:$A$3004,$A109,Acuses!$B$5:$B$3004,AJ$4,Acuses!$C$5:$C$3004,AJ$5),AJ$8)&lt;Resumen!$C$4,"Caducado",IF(EDATE(_xlfn.MAXIFS(Acuses!$D$5:$D$3004,Acuses!$A$5:$A$3004,$A109,Acuses!$B$5:$B$3004,AJ$4,Acuses!$C$5:$C$3004,AJ$5),AJ$8)&lt;Resumen!$C$4+30,"Caduca pronto","OK"))))))</f>
        <v/>
      </c>
      <c r="AK109" s="26" t="str">
        <f aca="false">IF(OR($A109="",AK$4=""),"",IF(NOT(OR(AK$6="Toda la plantilla",ISNUMBER(SEARCH(";"&amp;SUBSTITUTE($C109," ","")&amp;";",";"&amp;SUBSTITUTE(AK$7," ","")&amp;";")))),"—",IF(_xlfn.MAXIFS(Acuses!$C$5:$C$3004,Acuses!$A$5:$A$3004,$A109,Acuses!$B$5:$B$3004,AK$4)&lt;AK$5,"Pendiente",IF(AK$8=0,"OK",IF(EDATE(_xlfn.MAXIFS(Acuses!$D$5:$D$3004,Acuses!$A$5:$A$3004,$A109,Acuses!$B$5:$B$3004,AK$4,Acuses!$C$5:$C$3004,AK$5),AK$8)&lt;Resumen!$C$4,"Caducado",IF(EDATE(_xlfn.MAXIFS(Acuses!$D$5:$D$3004,Acuses!$A$5:$A$3004,$A109,Acuses!$B$5:$B$3004,AK$4,Acuses!$C$5:$C$3004,AK$5),AK$8)&lt;Resumen!$C$4+30,"Caduca pronto","OK"))))))</f>
        <v/>
      </c>
      <c r="AL109" s="26" t="str">
        <f aca="false">IF(OR($A109="",AL$4=""),"",IF(NOT(OR(AL$6="Toda la plantilla",ISNUMBER(SEARCH(";"&amp;SUBSTITUTE($C109," ","")&amp;";",";"&amp;SUBSTITUTE(AL$7," ","")&amp;";")))),"—",IF(_xlfn.MAXIFS(Acuses!$C$5:$C$3004,Acuses!$A$5:$A$3004,$A109,Acuses!$B$5:$B$3004,AL$4)&lt;AL$5,"Pendiente",IF(AL$8=0,"OK",IF(EDATE(_xlfn.MAXIFS(Acuses!$D$5:$D$3004,Acuses!$A$5:$A$3004,$A109,Acuses!$B$5:$B$3004,AL$4,Acuses!$C$5:$C$3004,AL$5),AL$8)&lt;Resumen!$C$4,"Caducado",IF(EDATE(_xlfn.MAXIFS(Acuses!$D$5:$D$3004,Acuses!$A$5:$A$3004,$A109,Acuses!$B$5:$B$3004,AL$4,Acuses!$C$5:$C$3004,AL$5),AL$8)&lt;Resumen!$C$4+30,"Caduca pronto","OK"))))))</f>
        <v/>
      </c>
      <c r="AM109" s="26" t="str">
        <f aca="false">IF(OR($A109="",AM$4=""),"",IF(NOT(OR(AM$6="Toda la plantilla",ISNUMBER(SEARCH(";"&amp;SUBSTITUTE($C109," ","")&amp;";",";"&amp;SUBSTITUTE(AM$7," ","")&amp;";")))),"—",IF(_xlfn.MAXIFS(Acuses!$C$5:$C$3004,Acuses!$A$5:$A$3004,$A109,Acuses!$B$5:$B$3004,AM$4)&lt;AM$5,"Pendiente",IF(AM$8=0,"OK",IF(EDATE(_xlfn.MAXIFS(Acuses!$D$5:$D$3004,Acuses!$A$5:$A$3004,$A109,Acuses!$B$5:$B$3004,AM$4,Acuses!$C$5:$C$3004,AM$5),AM$8)&lt;Resumen!$C$4,"Caducado",IF(EDATE(_xlfn.MAXIFS(Acuses!$D$5:$D$3004,Acuses!$A$5:$A$3004,$A109,Acuses!$B$5:$B$3004,AM$4,Acuses!$C$5:$C$3004,AM$5),AM$8)&lt;Resumen!$C$4+30,"Caduca pronto","OK"))))))</f>
        <v/>
      </c>
      <c r="AN109" s="26" t="str">
        <f aca="false">IF(OR($A109="",AN$4=""),"",IF(NOT(OR(AN$6="Toda la plantilla",ISNUMBER(SEARCH(";"&amp;SUBSTITUTE($C109," ","")&amp;";",";"&amp;SUBSTITUTE(AN$7," ","")&amp;";")))),"—",IF(_xlfn.MAXIFS(Acuses!$C$5:$C$3004,Acuses!$A$5:$A$3004,$A109,Acuses!$B$5:$B$3004,AN$4)&lt;AN$5,"Pendiente",IF(AN$8=0,"OK",IF(EDATE(_xlfn.MAXIFS(Acuses!$D$5:$D$3004,Acuses!$A$5:$A$3004,$A109,Acuses!$B$5:$B$3004,AN$4,Acuses!$C$5:$C$3004,AN$5),AN$8)&lt;Resumen!$C$4,"Caducado",IF(EDATE(_xlfn.MAXIFS(Acuses!$D$5:$D$3004,Acuses!$A$5:$A$3004,$A109,Acuses!$B$5:$B$3004,AN$4,Acuses!$C$5:$C$3004,AN$5),AN$8)&lt;Resumen!$C$4+30,"Caduca pronto","OK"))))))</f>
        <v/>
      </c>
      <c r="AO109" s="26" t="str">
        <f aca="false">IF(OR($A109="",AO$4=""),"",IF(NOT(OR(AO$6="Toda la plantilla",ISNUMBER(SEARCH(";"&amp;SUBSTITUTE($C109," ","")&amp;";",";"&amp;SUBSTITUTE(AO$7," ","")&amp;";")))),"—",IF(_xlfn.MAXIFS(Acuses!$C$5:$C$3004,Acuses!$A$5:$A$3004,$A109,Acuses!$B$5:$B$3004,AO$4)&lt;AO$5,"Pendiente",IF(AO$8=0,"OK",IF(EDATE(_xlfn.MAXIFS(Acuses!$D$5:$D$3004,Acuses!$A$5:$A$3004,$A109,Acuses!$B$5:$B$3004,AO$4,Acuses!$C$5:$C$3004,AO$5),AO$8)&lt;Resumen!$C$4,"Caducado",IF(EDATE(_xlfn.MAXIFS(Acuses!$D$5:$D$3004,Acuses!$A$5:$A$3004,$A109,Acuses!$B$5:$B$3004,AO$4,Acuses!$C$5:$C$3004,AO$5),AO$8)&lt;Resumen!$C$4+30,"Caduca pronto","OK"))))))</f>
        <v/>
      </c>
      <c r="AP109" s="26" t="str">
        <f aca="false">IF(OR($A109="",AP$4=""),"",IF(NOT(OR(AP$6="Toda la plantilla",ISNUMBER(SEARCH(";"&amp;SUBSTITUTE($C109," ","")&amp;";",";"&amp;SUBSTITUTE(AP$7," ","")&amp;";")))),"—",IF(_xlfn.MAXIFS(Acuses!$C$5:$C$3004,Acuses!$A$5:$A$3004,$A109,Acuses!$B$5:$B$3004,AP$4)&lt;AP$5,"Pendiente",IF(AP$8=0,"OK",IF(EDATE(_xlfn.MAXIFS(Acuses!$D$5:$D$3004,Acuses!$A$5:$A$3004,$A109,Acuses!$B$5:$B$3004,AP$4,Acuses!$C$5:$C$3004,AP$5),AP$8)&lt;Resumen!$C$4,"Caducado",IF(EDATE(_xlfn.MAXIFS(Acuses!$D$5:$D$3004,Acuses!$A$5:$A$3004,$A109,Acuses!$B$5:$B$3004,AP$4,Acuses!$C$5:$C$3004,AP$5),AP$8)&lt;Resumen!$C$4+30,"Caduca pronto","OK"))))))</f>
        <v/>
      </c>
      <c r="AQ109" s="26" t="str">
        <f aca="false">IF(OR($A109="",AQ$4=""),"",IF(NOT(OR(AQ$6="Toda la plantilla",ISNUMBER(SEARCH(";"&amp;SUBSTITUTE($C109," ","")&amp;";",";"&amp;SUBSTITUTE(AQ$7," ","")&amp;";")))),"—",IF(_xlfn.MAXIFS(Acuses!$C$5:$C$3004,Acuses!$A$5:$A$3004,$A109,Acuses!$B$5:$B$3004,AQ$4)&lt;AQ$5,"Pendiente",IF(AQ$8=0,"OK",IF(EDATE(_xlfn.MAXIFS(Acuses!$D$5:$D$3004,Acuses!$A$5:$A$3004,$A109,Acuses!$B$5:$B$3004,AQ$4,Acuses!$C$5:$C$3004,AQ$5),AQ$8)&lt;Resumen!$C$4,"Caducado",IF(EDATE(_xlfn.MAXIFS(Acuses!$D$5:$D$3004,Acuses!$A$5:$A$3004,$A109,Acuses!$B$5:$B$3004,AQ$4,Acuses!$C$5:$C$3004,AQ$5),AQ$8)&lt;Resumen!$C$4+30,"Caduca pronto","OK"))))))</f>
        <v/>
      </c>
    </row>
    <row r="110" customFormat="false" ht="15" hidden="false" customHeight="false" outlineLevel="0" collapsed="false">
      <c r="A110" s="25" t="str">
        <f aca="false">IF(AND(Trabajadores!$A$105&lt;&gt;"",Trabajadores!$G$105&lt;&gt;"No"),Trabajadores!$A$105,"")</f>
        <v/>
      </c>
      <c r="B110" s="25" t="str">
        <f aca="false">IF($A110="","",Trabajadores!$B$105)</f>
        <v/>
      </c>
      <c r="C110" s="25" t="str">
        <f aca="false">IF($A110="","",Trabajadores!$C$105)</f>
        <v/>
      </c>
      <c r="D110" s="26" t="str">
        <f aca="false">IF(OR($A110="",D$4=""),"",IF(NOT(OR(D$6="Toda la plantilla",ISNUMBER(SEARCH(";"&amp;SUBSTITUTE($C110," ","")&amp;";",";"&amp;SUBSTITUTE(D$7," ","")&amp;";")))),"—",IF(_xlfn.MAXIFS(Acuses!$C$5:$C$3004,Acuses!$A$5:$A$3004,$A110,Acuses!$B$5:$B$3004,D$4)&lt;D$5,"Pendiente",IF(D$8=0,"OK",IF(EDATE(_xlfn.MAXIFS(Acuses!$D$5:$D$3004,Acuses!$A$5:$A$3004,$A110,Acuses!$B$5:$B$3004,D$4,Acuses!$C$5:$C$3004,D$5),D$8)&lt;Resumen!$C$4,"Caducado",IF(EDATE(_xlfn.MAXIFS(Acuses!$D$5:$D$3004,Acuses!$A$5:$A$3004,$A110,Acuses!$B$5:$B$3004,D$4,Acuses!$C$5:$C$3004,D$5),D$8)&lt;Resumen!$C$4+30,"Caduca pronto","OK"))))))</f>
        <v/>
      </c>
      <c r="E110" s="26" t="str">
        <f aca="false">IF(OR($A110="",E$4=""),"",IF(NOT(OR(E$6="Toda la plantilla",ISNUMBER(SEARCH(";"&amp;SUBSTITUTE($C110," ","")&amp;";",";"&amp;SUBSTITUTE(E$7," ","")&amp;";")))),"—",IF(_xlfn.MAXIFS(Acuses!$C$5:$C$3004,Acuses!$A$5:$A$3004,$A110,Acuses!$B$5:$B$3004,E$4)&lt;E$5,"Pendiente",IF(E$8=0,"OK",IF(EDATE(_xlfn.MAXIFS(Acuses!$D$5:$D$3004,Acuses!$A$5:$A$3004,$A110,Acuses!$B$5:$B$3004,E$4,Acuses!$C$5:$C$3004,E$5),E$8)&lt;Resumen!$C$4,"Caducado",IF(EDATE(_xlfn.MAXIFS(Acuses!$D$5:$D$3004,Acuses!$A$5:$A$3004,$A110,Acuses!$B$5:$B$3004,E$4,Acuses!$C$5:$C$3004,E$5),E$8)&lt;Resumen!$C$4+30,"Caduca pronto","OK"))))))</f>
        <v/>
      </c>
      <c r="F110" s="26" t="str">
        <f aca="false">IF(OR($A110="",F$4=""),"",IF(NOT(OR(F$6="Toda la plantilla",ISNUMBER(SEARCH(";"&amp;SUBSTITUTE($C110," ","")&amp;";",";"&amp;SUBSTITUTE(F$7," ","")&amp;";")))),"—",IF(_xlfn.MAXIFS(Acuses!$C$5:$C$3004,Acuses!$A$5:$A$3004,$A110,Acuses!$B$5:$B$3004,F$4)&lt;F$5,"Pendiente",IF(F$8=0,"OK",IF(EDATE(_xlfn.MAXIFS(Acuses!$D$5:$D$3004,Acuses!$A$5:$A$3004,$A110,Acuses!$B$5:$B$3004,F$4,Acuses!$C$5:$C$3004,F$5),F$8)&lt;Resumen!$C$4,"Caducado",IF(EDATE(_xlfn.MAXIFS(Acuses!$D$5:$D$3004,Acuses!$A$5:$A$3004,$A110,Acuses!$B$5:$B$3004,F$4,Acuses!$C$5:$C$3004,F$5),F$8)&lt;Resumen!$C$4+30,"Caduca pronto","OK"))))))</f>
        <v/>
      </c>
      <c r="G110" s="26" t="str">
        <f aca="false">IF(OR($A110="",G$4=""),"",IF(NOT(OR(G$6="Toda la plantilla",ISNUMBER(SEARCH(";"&amp;SUBSTITUTE($C110," ","")&amp;";",";"&amp;SUBSTITUTE(G$7," ","")&amp;";")))),"—",IF(_xlfn.MAXIFS(Acuses!$C$5:$C$3004,Acuses!$A$5:$A$3004,$A110,Acuses!$B$5:$B$3004,G$4)&lt;G$5,"Pendiente",IF(G$8=0,"OK",IF(EDATE(_xlfn.MAXIFS(Acuses!$D$5:$D$3004,Acuses!$A$5:$A$3004,$A110,Acuses!$B$5:$B$3004,G$4,Acuses!$C$5:$C$3004,G$5),G$8)&lt;Resumen!$C$4,"Caducado",IF(EDATE(_xlfn.MAXIFS(Acuses!$D$5:$D$3004,Acuses!$A$5:$A$3004,$A110,Acuses!$B$5:$B$3004,G$4,Acuses!$C$5:$C$3004,G$5),G$8)&lt;Resumen!$C$4+30,"Caduca pronto","OK"))))))</f>
        <v/>
      </c>
      <c r="H110" s="26" t="str">
        <f aca="false">IF(OR($A110="",H$4=""),"",IF(NOT(OR(H$6="Toda la plantilla",ISNUMBER(SEARCH(";"&amp;SUBSTITUTE($C110," ","")&amp;";",";"&amp;SUBSTITUTE(H$7," ","")&amp;";")))),"—",IF(_xlfn.MAXIFS(Acuses!$C$5:$C$3004,Acuses!$A$5:$A$3004,$A110,Acuses!$B$5:$B$3004,H$4)&lt;H$5,"Pendiente",IF(H$8=0,"OK",IF(EDATE(_xlfn.MAXIFS(Acuses!$D$5:$D$3004,Acuses!$A$5:$A$3004,$A110,Acuses!$B$5:$B$3004,H$4,Acuses!$C$5:$C$3004,H$5),H$8)&lt;Resumen!$C$4,"Caducado",IF(EDATE(_xlfn.MAXIFS(Acuses!$D$5:$D$3004,Acuses!$A$5:$A$3004,$A110,Acuses!$B$5:$B$3004,H$4,Acuses!$C$5:$C$3004,H$5),H$8)&lt;Resumen!$C$4+30,"Caduca pronto","OK"))))))</f>
        <v/>
      </c>
      <c r="I110" s="26" t="str">
        <f aca="false">IF(OR($A110="",I$4=""),"",IF(NOT(OR(I$6="Toda la plantilla",ISNUMBER(SEARCH(";"&amp;SUBSTITUTE($C110," ","")&amp;";",";"&amp;SUBSTITUTE(I$7," ","")&amp;";")))),"—",IF(_xlfn.MAXIFS(Acuses!$C$5:$C$3004,Acuses!$A$5:$A$3004,$A110,Acuses!$B$5:$B$3004,I$4)&lt;I$5,"Pendiente",IF(I$8=0,"OK",IF(EDATE(_xlfn.MAXIFS(Acuses!$D$5:$D$3004,Acuses!$A$5:$A$3004,$A110,Acuses!$B$5:$B$3004,I$4,Acuses!$C$5:$C$3004,I$5),I$8)&lt;Resumen!$C$4,"Caducado",IF(EDATE(_xlfn.MAXIFS(Acuses!$D$5:$D$3004,Acuses!$A$5:$A$3004,$A110,Acuses!$B$5:$B$3004,I$4,Acuses!$C$5:$C$3004,I$5),I$8)&lt;Resumen!$C$4+30,"Caduca pronto","OK"))))))</f>
        <v/>
      </c>
      <c r="J110" s="26" t="str">
        <f aca="false">IF(OR($A110="",J$4=""),"",IF(NOT(OR(J$6="Toda la plantilla",ISNUMBER(SEARCH(";"&amp;SUBSTITUTE($C110," ","")&amp;";",";"&amp;SUBSTITUTE(J$7," ","")&amp;";")))),"—",IF(_xlfn.MAXIFS(Acuses!$C$5:$C$3004,Acuses!$A$5:$A$3004,$A110,Acuses!$B$5:$B$3004,J$4)&lt;J$5,"Pendiente",IF(J$8=0,"OK",IF(EDATE(_xlfn.MAXIFS(Acuses!$D$5:$D$3004,Acuses!$A$5:$A$3004,$A110,Acuses!$B$5:$B$3004,J$4,Acuses!$C$5:$C$3004,J$5),J$8)&lt;Resumen!$C$4,"Caducado",IF(EDATE(_xlfn.MAXIFS(Acuses!$D$5:$D$3004,Acuses!$A$5:$A$3004,$A110,Acuses!$B$5:$B$3004,J$4,Acuses!$C$5:$C$3004,J$5),J$8)&lt;Resumen!$C$4+30,"Caduca pronto","OK"))))))</f>
        <v/>
      </c>
      <c r="K110" s="26" t="str">
        <f aca="false">IF(OR($A110="",K$4=""),"",IF(NOT(OR(K$6="Toda la plantilla",ISNUMBER(SEARCH(";"&amp;SUBSTITUTE($C110," ","")&amp;";",";"&amp;SUBSTITUTE(K$7," ","")&amp;";")))),"—",IF(_xlfn.MAXIFS(Acuses!$C$5:$C$3004,Acuses!$A$5:$A$3004,$A110,Acuses!$B$5:$B$3004,K$4)&lt;K$5,"Pendiente",IF(K$8=0,"OK",IF(EDATE(_xlfn.MAXIFS(Acuses!$D$5:$D$3004,Acuses!$A$5:$A$3004,$A110,Acuses!$B$5:$B$3004,K$4,Acuses!$C$5:$C$3004,K$5),K$8)&lt;Resumen!$C$4,"Caducado",IF(EDATE(_xlfn.MAXIFS(Acuses!$D$5:$D$3004,Acuses!$A$5:$A$3004,$A110,Acuses!$B$5:$B$3004,K$4,Acuses!$C$5:$C$3004,K$5),K$8)&lt;Resumen!$C$4+30,"Caduca pronto","OK"))))))</f>
        <v/>
      </c>
      <c r="L110" s="26" t="str">
        <f aca="false">IF(OR($A110="",L$4=""),"",IF(NOT(OR(L$6="Toda la plantilla",ISNUMBER(SEARCH(";"&amp;SUBSTITUTE($C110," ","")&amp;";",";"&amp;SUBSTITUTE(L$7," ","")&amp;";")))),"—",IF(_xlfn.MAXIFS(Acuses!$C$5:$C$3004,Acuses!$A$5:$A$3004,$A110,Acuses!$B$5:$B$3004,L$4)&lt;L$5,"Pendiente",IF(L$8=0,"OK",IF(EDATE(_xlfn.MAXIFS(Acuses!$D$5:$D$3004,Acuses!$A$5:$A$3004,$A110,Acuses!$B$5:$B$3004,L$4,Acuses!$C$5:$C$3004,L$5),L$8)&lt;Resumen!$C$4,"Caducado",IF(EDATE(_xlfn.MAXIFS(Acuses!$D$5:$D$3004,Acuses!$A$5:$A$3004,$A110,Acuses!$B$5:$B$3004,L$4,Acuses!$C$5:$C$3004,L$5),L$8)&lt;Resumen!$C$4+30,"Caduca pronto","OK"))))))</f>
        <v/>
      </c>
      <c r="M110" s="26" t="str">
        <f aca="false">IF(OR($A110="",M$4=""),"",IF(NOT(OR(M$6="Toda la plantilla",ISNUMBER(SEARCH(";"&amp;SUBSTITUTE($C110," ","")&amp;";",";"&amp;SUBSTITUTE(M$7," ","")&amp;";")))),"—",IF(_xlfn.MAXIFS(Acuses!$C$5:$C$3004,Acuses!$A$5:$A$3004,$A110,Acuses!$B$5:$B$3004,M$4)&lt;M$5,"Pendiente",IF(M$8=0,"OK",IF(EDATE(_xlfn.MAXIFS(Acuses!$D$5:$D$3004,Acuses!$A$5:$A$3004,$A110,Acuses!$B$5:$B$3004,M$4,Acuses!$C$5:$C$3004,M$5),M$8)&lt;Resumen!$C$4,"Caducado",IF(EDATE(_xlfn.MAXIFS(Acuses!$D$5:$D$3004,Acuses!$A$5:$A$3004,$A110,Acuses!$B$5:$B$3004,M$4,Acuses!$C$5:$C$3004,M$5),M$8)&lt;Resumen!$C$4+30,"Caduca pronto","OK"))))))</f>
        <v/>
      </c>
      <c r="N110" s="26" t="str">
        <f aca="false">IF(OR($A110="",N$4=""),"",IF(NOT(OR(N$6="Toda la plantilla",ISNUMBER(SEARCH(";"&amp;SUBSTITUTE($C110," ","")&amp;";",";"&amp;SUBSTITUTE(N$7," ","")&amp;";")))),"—",IF(_xlfn.MAXIFS(Acuses!$C$5:$C$3004,Acuses!$A$5:$A$3004,$A110,Acuses!$B$5:$B$3004,N$4)&lt;N$5,"Pendiente",IF(N$8=0,"OK",IF(EDATE(_xlfn.MAXIFS(Acuses!$D$5:$D$3004,Acuses!$A$5:$A$3004,$A110,Acuses!$B$5:$B$3004,N$4,Acuses!$C$5:$C$3004,N$5),N$8)&lt;Resumen!$C$4,"Caducado",IF(EDATE(_xlfn.MAXIFS(Acuses!$D$5:$D$3004,Acuses!$A$5:$A$3004,$A110,Acuses!$B$5:$B$3004,N$4,Acuses!$C$5:$C$3004,N$5),N$8)&lt;Resumen!$C$4+30,"Caduca pronto","OK"))))))</f>
        <v/>
      </c>
      <c r="O110" s="26" t="str">
        <f aca="false">IF(OR($A110="",O$4=""),"",IF(NOT(OR(O$6="Toda la plantilla",ISNUMBER(SEARCH(";"&amp;SUBSTITUTE($C110," ","")&amp;";",";"&amp;SUBSTITUTE(O$7," ","")&amp;";")))),"—",IF(_xlfn.MAXIFS(Acuses!$C$5:$C$3004,Acuses!$A$5:$A$3004,$A110,Acuses!$B$5:$B$3004,O$4)&lt;O$5,"Pendiente",IF(O$8=0,"OK",IF(EDATE(_xlfn.MAXIFS(Acuses!$D$5:$D$3004,Acuses!$A$5:$A$3004,$A110,Acuses!$B$5:$B$3004,O$4,Acuses!$C$5:$C$3004,O$5),O$8)&lt;Resumen!$C$4,"Caducado",IF(EDATE(_xlfn.MAXIFS(Acuses!$D$5:$D$3004,Acuses!$A$5:$A$3004,$A110,Acuses!$B$5:$B$3004,O$4,Acuses!$C$5:$C$3004,O$5),O$8)&lt;Resumen!$C$4+30,"Caduca pronto","OK"))))))</f>
        <v/>
      </c>
      <c r="P110" s="26" t="str">
        <f aca="false">IF(OR($A110="",P$4=""),"",IF(NOT(OR(P$6="Toda la plantilla",ISNUMBER(SEARCH(";"&amp;SUBSTITUTE($C110," ","")&amp;";",";"&amp;SUBSTITUTE(P$7," ","")&amp;";")))),"—",IF(_xlfn.MAXIFS(Acuses!$C$5:$C$3004,Acuses!$A$5:$A$3004,$A110,Acuses!$B$5:$B$3004,P$4)&lt;P$5,"Pendiente",IF(P$8=0,"OK",IF(EDATE(_xlfn.MAXIFS(Acuses!$D$5:$D$3004,Acuses!$A$5:$A$3004,$A110,Acuses!$B$5:$B$3004,P$4,Acuses!$C$5:$C$3004,P$5),P$8)&lt;Resumen!$C$4,"Caducado",IF(EDATE(_xlfn.MAXIFS(Acuses!$D$5:$D$3004,Acuses!$A$5:$A$3004,$A110,Acuses!$B$5:$B$3004,P$4,Acuses!$C$5:$C$3004,P$5),P$8)&lt;Resumen!$C$4+30,"Caduca pronto","OK"))))))</f>
        <v/>
      </c>
      <c r="Q110" s="26" t="str">
        <f aca="false">IF(OR($A110="",Q$4=""),"",IF(NOT(OR(Q$6="Toda la plantilla",ISNUMBER(SEARCH(";"&amp;SUBSTITUTE($C110," ","")&amp;";",";"&amp;SUBSTITUTE(Q$7," ","")&amp;";")))),"—",IF(_xlfn.MAXIFS(Acuses!$C$5:$C$3004,Acuses!$A$5:$A$3004,$A110,Acuses!$B$5:$B$3004,Q$4)&lt;Q$5,"Pendiente",IF(Q$8=0,"OK",IF(EDATE(_xlfn.MAXIFS(Acuses!$D$5:$D$3004,Acuses!$A$5:$A$3004,$A110,Acuses!$B$5:$B$3004,Q$4,Acuses!$C$5:$C$3004,Q$5),Q$8)&lt;Resumen!$C$4,"Caducado",IF(EDATE(_xlfn.MAXIFS(Acuses!$D$5:$D$3004,Acuses!$A$5:$A$3004,$A110,Acuses!$B$5:$B$3004,Q$4,Acuses!$C$5:$C$3004,Q$5),Q$8)&lt;Resumen!$C$4+30,"Caduca pronto","OK"))))))</f>
        <v/>
      </c>
      <c r="R110" s="26" t="str">
        <f aca="false">IF(OR($A110="",R$4=""),"",IF(NOT(OR(R$6="Toda la plantilla",ISNUMBER(SEARCH(";"&amp;SUBSTITUTE($C110," ","")&amp;";",";"&amp;SUBSTITUTE(R$7," ","")&amp;";")))),"—",IF(_xlfn.MAXIFS(Acuses!$C$5:$C$3004,Acuses!$A$5:$A$3004,$A110,Acuses!$B$5:$B$3004,R$4)&lt;R$5,"Pendiente",IF(R$8=0,"OK",IF(EDATE(_xlfn.MAXIFS(Acuses!$D$5:$D$3004,Acuses!$A$5:$A$3004,$A110,Acuses!$B$5:$B$3004,R$4,Acuses!$C$5:$C$3004,R$5),R$8)&lt;Resumen!$C$4,"Caducado",IF(EDATE(_xlfn.MAXIFS(Acuses!$D$5:$D$3004,Acuses!$A$5:$A$3004,$A110,Acuses!$B$5:$B$3004,R$4,Acuses!$C$5:$C$3004,R$5),R$8)&lt;Resumen!$C$4+30,"Caduca pronto","OK"))))))</f>
        <v/>
      </c>
      <c r="S110" s="26" t="str">
        <f aca="false">IF(OR($A110="",S$4=""),"",IF(NOT(OR(S$6="Toda la plantilla",ISNUMBER(SEARCH(";"&amp;SUBSTITUTE($C110," ","")&amp;";",";"&amp;SUBSTITUTE(S$7," ","")&amp;";")))),"—",IF(_xlfn.MAXIFS(Acuses!$C$5:$C$3004,Acuses!$A$5:$A$3004,$A110,Acuses!$B$5:$B$3004,S$4)&lt;S$5,"Pendiente",IF(S$8=0,"OK",IF(EDATE(_xlfn.MAXIFS(Acuses!$D$5:$D$3004,Acuses!$A$5:$A$3004,$A110,Acuses!$B$5:$B$3004,S$4,Acuses!$C$5:$C$3004,S$5),S$8)&lt;Resumen!$C$4,"Caducado",IF(EDATE(_xlfn.MAXIFS(Acuses!$D$5:$D$3004,Acuses!$A$5:$A$3004,$A110,Acuses!$B$5:$B$3004,S$4,Acuses!$C$5:$C$3004,S$5),S$8)&lt;Resumen!$C$4+30,"Caduca pronto","OK"))))))</f>
        <v/>
      </c>
      <c r="T110" s="26" t="str">
        <f aca="false">IF(OR($A110="",T$4=""),"",IF(NOT(OR(T$6="Toda la plantilla",ISNUMBER(SEARCH(";"&amp;SUBSTITUTE($C110," ","")&amp;";",";"&amp;SUBSTITUTE(T$7," ","")&amp;";")))),"—",IF(_xlfn.MAXIFS(Acuses!$C$5:$C$3004,Acuses!$A$5:$A$3004,$A110,Acuses!$B$5:$B$3004,T$4)&lt;T$5,"Pendiente",IF(T$8=0,"OK",IF(EDATE(_xlfn.MAXIFS(Acuses!$D$5:$D$3004,Acuses!$A$5:$A$3004,$A110,Acuses!$B$5:$B$3004,T$4,Acuses!$C$5:$C$3004,T$5),T$8)&lt;Resumen!$C$4,"Caducado",IF(EDATE(_xlfn.MAXIFS(Acuses!$D$5:$D$3004,Acuses!$A$5:$A$3004,$A110,Acuses!$B$5:$B$3004,T$4,Acuses!$C$5:$C$3004,T$5),T$8)&lt;Resumen!$C$4+30,"Caduca pronto","OK"))))))</f>
        <v/>
      </c>
      <c r="U110" s="26" t="str">
        <f aca="false">IF(OR($A110="",U$4=""),"",IF(NOT(OR(U$6="Toda la plantilla",ISNUMBER(SEARCH(";"&amp;SUBSTITUTE($C110," ","")&amp;";",";"&amp;SUBSTITUTE(U$7," ","")&amp;";")))),"—",IF(_xlfn.MAXIFS(Acuses!$C$5:$C$3004,Acuses!$A$5:$A$3004,$A110,Acuses!$B$5:$B$3004,U$4)&lt;U$5,"Pendiente",IF(U$8=0,"OK",IF(EDATE(_xlfn.MAXIFS(Acuses!$D$5:$D$3004,Acuses!$A$5:$A$3004,$A110,Acuses!$B$5:$B$3004,U$4,Acuses!$C$5:$C$3004,U$5),U$8)&lt;Resumen!$C$4,"Caducado",IF(EDATE(_xlfn.MAXIFS(Acuses!$D$5:$D$3004,Acuses!$A$5:$A$3004,$A110,Acuses!$B$5:$B$3004,U$4,Acuses!$C$5:$C$3004,U$5),U$8)&lt;Resumen!$C$4+30,"Caduca pronto","OK"))))))</f>
        <v/>
      </c>
      <c r="V110" s="26" t="str">
        <f aca="false">IF(OR($A110="",V$4=""),"",IF(NOT(OR(V$6="Toda la plantilla",ISNUMBER(SEARCH(";"&amp;SUBSTITUTE($C110," ","")&amp;";",";"&amp;SUBSTITUTE(V$7," ","")&amp;";")))),"—",IF(_xlfn.MAXIFS(Acuses!$C$5:$C$3004,Acuses!$A$5:$A$3004,$A110,Acuses!$B$5:$B$3004,V$4)&lt;V$5,"Pendiente",IF(V$8=0,"OK",IF(EDATE(_xlfn.MAXIFS(Acuses!$D$5:$D$3004,Acuses!$A$5:$A$3004,$A110,Acuses!$B$5:$B$3004,V$4,Acuses!$C$5:$C$3004,V$5),V$8)&lt;Resumen!$C$4,"Caducado",IF(EDATE(_xlfn.MAXIFS(Acuses!$D$5:$D$3004,Acuses!$A$5:$A$3004,$A110,Acuses!$B$5:$B$3004,V$4,Acuses!$C$5:$C$3004,V$5),V$8)&lt;Resumen!$C$4+30,"Caduca pronto","OK"))))))</f>
        <v/>
      </c>
      <c r="W110" s="26" t="str">
        <f aca="false">IF(OR($A110="",W$4=""),"",IF(NOT(OR(W$6="Toda la plantilla",ISNUMBER(SEARCH(";"&amp;SUBSTITUTE($C110," ","")&amp;";",";"&amp;SUBSTITUTE(W$7," ","")&amp;";")))),"—",IF(_xlfn.MAXIFS(Acuses!$C$5:$C$3004,Acuses!$A$5:$A$3004,$A110,Acuses!$B$5:$B$3004,W$4)&lt;W$5,"Pendiente",IF(W$8=0,"OK",IF(EDATE(_xlfn.MAXIFS(Acuses!$D$5:$D$3004,Acuses!$A$5:$A$3004,$A110,Acuses!$B$5:$B$3004,W$4,Acuses!$C$5:$C$3004,W$5),W$8)&lt;Resumen!$C$4,"Caducado",IF(EDATE(_xlfn.MAXIFS(Acuses!$D$5:$D$3004,Acuses!$A$5:$A$3004,$A110,Acuses!$B$5:$B$3004,W$4,Acuses!$C$5:$C$3004,W$5),W$8)&lt;Resumen!$C$4+30,"Caduca pronto","OK"))))))</f>
        <v/>
      </c>
      <c r="X110" s="26" t="str">
        <f aca="false">IF(OR($A110="",X$4=""),"",IF(NOT(OR(X$6="Toda la plantilla",ISNUMBER(SEARCH(";"&amp;SUBSTITUTE($C110," ","")&amp;";",";"&amp;SUBSTITUTE(X$7," ","")&amp;";")))),"—",IF(_xlfn.MAXIFS(Acuses!$C$5:$C$3004,Acuses!$A$5:$A$3004,$A110,Acuses!$B$5:$B$3004,X$4)&lt;X$5,"Pendiente",IF(X$8=0,"OK",IF(EDATE(_xlfn.MAXIFS(Acuses!$D$5:$D$3004,Acuses!$A$5:$A$3004,$A110,Acuses!$B$5:$B$3004,X$4,Acuses!$C$5:$C$3004,X$5),X$8)&lt;Resumen!$C$4,"Caducado",IF(EDATE(_xlfn.MAXIFS(Acuses!$D$5:$D$3004,Acuses!$A$5:$A$3004,$A110,Acuses!$B$5:$B$3004,X$4,Acuses!$C$5:$C$3004,X$5),X$8)&lt;Resumen!$C$4+30,"Caduca pronto","OK"))))))</f>
        <v/>
      </c>
      <c r="Y110" s="26" t="str">
        <f aca="false">IF(OR($A110="",Y$4=""),"",IF(NOT(OR(Y$6="Toda la plantilla",ISNUMBER(SEARCH(";"&amp;SUBSTITUTE($C110," ","")&amp;";",";"&amp;SUBSTITUTE(Y$7," ","")&amp;";")))),"—",IF(_xlfn.MAXIFS(Acuses!$C$5:$C$3004,Acuses!$A$5:$A$3004,$A110,Acuses!$B$5:$B$3004,Y$4)&lt;Y$5,"Pendiente",IF(Y$8=0,"OK",IF(EDATE(_xlfn.MAXIFS(Acuses!$D$5:$D$3004,Acuses!$A$5:$A$3004,$A110,Acuses!$B$5:$B$3004,Y$4,Acuses!$C$5:$C$3004,Y$5),Y$8)&lt;Resumen!$C$4,"Caducado",IF(EDATE(_xlfn.MAXIFS(Acuses!$D$5:$D$3004,Acuses!$A$5:$A$3004,$A110,Acuses!$B$5:$B$3004,Y$4,Acuses!$C$5:$C$3004,Y$5),Y$8)&lt;Resumen!$C$4+30,"Caduca pronto","OK"))))))</f>
        <v/>
      </c>
      <c r="Z110" s="26" t="str">
        <f aca="false">IF(OR($A110="",Z$4=""),"",IF(NOT(OR(Z$6="Toda la plantilla",ISNUMBER(SEARCH(";"&amp;SUBSTITUTE($C110," ","")&amp;";",";"&amp;SUBSTITUTE(Z$7," ","")&amp;";")))),"—",IF(_xlfn.MAXIFS(Acuses!$C$5:$C$3004,Acuses!$A$5:$A$3004,$A110,Acuses!$B$5:$B$3004,Z$4)&lt;Z$5,"Pendiente",IF(Z$8=0,"OK",IF(EDATE(_xlfn.MAXIFS(Acuses!$D$5:$D$3004,Acuses!$A$5:$A$3004,$A110,Acuses!$B$5:$B$3004,Z$4,Acuses!$C$5:$C$3004,Z$5),Z$8)&lt;Resumen!$C$4,"Caducado",IF(EDATE(_xlfn.MAXIFS(Acuses!$D$5:$D$3004,Acuses!$A$5:$A$3004,$A110,Acuses!$B$5:$B$3004,Z$4,Acuses!$C$5:$C$3004,Z$5),Z$8)&lt;Resumen!$C$4+30,"Caduca pronto","OK"))))))</f>
        <v/>
      </c>
      <c r="AA110" s="26" t="str">
        <f aca="false">IF(OR($A110="",AA$4=""),"",IF(NOT(OR(AA$6="Toda la plantilla",ISNUMBER(SEARCH(";"&amp;SUBSTITUTE($C110," ","")&amp;";",";"&amp;SUBSTITUTE(AA$7," ","")&amp;";")))),"—",IF(_xlfn.MAXIFS(Acuses!$C$5:$C$3004,Acuses!$A$5:$A$3004,$A110,Acuses!$B$5:$B$3004,AA$4)&lt;AA$5,"Pendiente",IF(AA$8=0,"OK",IF(EDATE(_xlfn.MAXIFS(Acuses!$D$5:$D$3004,Acuses!$A$5:$A$3004,$A110,Acuses!$B$5:$B$3004,AA$4,Acuses!$C$5:$C$3004,AA$5),AA$8)&lt;Resumen!$C$4,"Caducado",IF(EDATE(_xlfn.MAXIFS(Acuses!$D$5:$D$3004,Acuses!$A$5:$A$3004,$A110,Acuses!$B$5:$B$3004,AA$4,Acuses!$C$5:$C$3004,AA$5),AA$8)&lt;Resumen!$C$4+30,"Caduca pronto","OK"))))))</f>
        <v/>
      </c>
      <c r="AB110" s="26" t="str">
        <f aca="false">IF(OR($A110="",AB$4=""),"",IF(NOT(OR(AB$6="Toda la plantilla",ISNUMBER(SEARCH(";"&amp;SUBSTITUTE($C110," ","")&amp;";",";"&amp;SUBSTITUTE(AB$7," ","")&amp;";")))),"—",IF(_xlfn.MAXIFS(Acuses!$C$5:$C$3004,Acuses!$A$5:$A$3004,$A110,Acuses!$B$5:$B$3004,AB$4)&lt;AB$5,"Pendiente",IF(AB$8=0,"OK",IF(EDATE(_xlfn.MAXIFS(Acuses!$D$5:$D$3004,Acuses!$A$5:$A$3004,$A110,Acuses!$B$5:$B$3004,AB$4,Acuses!$C$5:$C$3004,AB$5),AB$8)&lt;Resumen!$C$4,"Caducado",IF(EDATE(_xlfn.MAXIFS(Acuses!$D$5:$D$3004,Acuses!$A$5:$A$3004,$A110,Acuses!$B$5:$B$3004,AB$4,Acuses!$C$5:$C$3004,AB$5),AB$8)&lt;Resumen!$C$4+30,"Caduca pronto","OK"))))))</f>
        <v/>
      </c>
      <c r="AC110" s="26" t="str">
        <f aca="false">IF(OR($A110="",AC$4=""),"",IF(NOT(OR(AC$6="Toda la plantilla",ISNUMBER(SEARCH(";"&amp;SUBSTITUTE($C110," ","")&amp;";",";"&amp;SUBSTITUTE(AC$7," ","")&amp;";")))),"—",IF(_xlfn.MAXIFS(Acuses!$C$5:$C$3004,Acuses!$A$5:$A$3004,$A110,Acuses!$B$5:$B$3004,AC$4)&lt;AC$5,"Pendiente",IF(AC$8=0,"OK",IF(EDATE(_xlfn.MAXIFS(Acuses!$D$5:$D$3004,Acuses!$A$5:$A$3004,$A110,Acuses!$B$5:$B$3004,AC$4,Acuses!$C$5:$C$3004,AC$5),AC$8)&lt;Resumen!$C$4,"Caducado",IF(EDATE(_xlfn.MAXIFS(Acuses!$D$5:$D$3004,Acuses!$A$5:$A$3004,$A110,Acuses!$B$5:$B$3004,AC$4,Acuses!$C$5:$C$3004,AC$5),AC$8)&lt;Resumen!$C$4+30,"Caduca pronto","OK"))))))</f>
        <v/>
      </c>
      <c r="AD110" s="26" t="str">
        <f aca="false">IF(OR($A110="",AD$4=""),"",IF(NOT(OR(AD$6="Toda la plantilla",ISNUMBER(SEARCH(";"&amp;SUBSTITUTE($C110," ","")&amp;";",";"&amp;SUBSTITUTE(AD$7," ","")&amp;";")))),"—",IF(_xlfn.MAXIFS(Acuses!$C$5:$C$3004,Acuses!$A$5:$A$3004,$A110,Acuses!$B$5:$B$3004,AD$4)&lt;AD$5,"Pendiente",IF(AD$8=0,"OK",IF(EDATE(_xlfn.MAXIFS(Acuses!$D$5:$D$3004,Acuses!$A$5:$A$3004,$A110,Acuses!$B$5:$B$3004,AD$4,Acuses!$C$5:$C$3004,AD$5),AD$8)&lt;Resumen!$C$4,"Caducado",IF(EDATE(_xlfn.MAXIFS(Acuses!$D$5:$D$3004,Acuses!$A$5:$A$3004,$A110,Acuses!$B$5:$B$3004,AD$4,Acuses!$C$5:$C$3004,AD$5),AD$8)&lt;Resumen!$C$4+30,"Caduca pronto","OK"))))))</f>
        <v/>
      </c>
      <c r="AE110" s="26" t="str">
        <f aca="false">IF(OR($A110="",AE$4=""),"",IF(NOT(OR(AE$6="Toda la plantilla",ISNUMBER(SEARCH(";"&amp;SUBSTITUTE($C110," ","")&amp;";",";"&amp;SUBSTITUTE(AE$7," ","")&amp;";")))),"—",IF(_xlfn.MAXIFS(Acuses!$C$5:$C$3004,Acuses!$A$5:$A$3004,$A110,Acuses!$B$5:$B$3004,AE$4)&lt;AE$5,"Pendiente",IF(AE$8=0,"OK",IF(EDATE(_xlfn.MAXIFS(Acuses!$D$5:$D$3004,Acuses!$A$5:$A$3004,$A110,Acuses!$B$5:$B$3004,AE$4,Acuses!$C$5:$C$3004,AE$5),AE$8)&lt;Resumen!$C$4,"Caducado",IF(EDATE(_xlfn.MAXIFS(Acuses!$D$5:$D$3004,Acuses!$A$5:$A$3004,$A110,Acuses!$B$5:$B$3004,AE$4,Acuses!$C$5:$C$3004,AE$5),AE$8)&lt;Resumen!$C$4+30,"Caduca pronto","OK"))))))</f>
        <v/>
      </c>
      <c r="AF110" s="26" t="str">
        <f aca="false">IF(OR($A110="",AF$4=""),"",IF(NOT(OR(AF$6="Toda la plantilla",ISNUMBER(SEARCH(";"&amp;SUBSTITUTE($C110," ","")&amp;";",";"&amp;SUBSTITUTE(AF$7," ","")&amp;";")))),"—",IF(_xlfn.MAXIFS(Acuses!$C$5:$C$3004,Acuses!$A$5:$A$3004,$A110,Acuses!$B$5:$B$3004,AF$4)&lt;AF$5,"Pendiente",IF(AF$8=0,"OK",IF(EDATE(_xlfn.MAXIFS(Acuses!$D$5:$D$3004,Acuses!$A$5:$A$3004,$A110,Acuses!$B$5:$B$3004,AF$4,Acuses!$C$5:$C$3004,AF$5),AF$8)&lt;Resumen!$C$4,"Caducado",IF(EDATE(_xlfn.MAXIFS(Acuses!$D$5:$D$3004,Acuses!$A$5:$A$3004,$A110,Acuses!$B$5:$B$3004,AF$4,Acuses!$C$5:$C$3004,AF$5),AF$8)&lt;Resumen!$C$4+30,"Caduca pronto","OK"))))))</f>
        <v/>
      </c>
      <c r="AG110" s="26" t="str">
        <f aca="false">IF(OR($A110="",AG$4=""),"",IF(NOT(OR(AG$6="Toda la plantilla",ISNUMBER(SEARCH(";"&amp;SUBSTITUTE($C110," ","")&amp;";",";"&amp;SUBSTITUTE(AG$7," ","")&amp;";")))),"—",IF(_xlfn.MAXIFS(Acuses!$C$5:$C$3004,Acuses!$A$5:$A$3004,$A110,Acuses!$B$5:$B$3004,AG$4)&lt;AG$5,"Pendiente",IF(AG$8=0,"OK",IF(EDATE(_xlfn.MAXIFS(Acuses!$D$5:$D$3004,Acuses!$A$5:$A$3004,$A110,Acuses!$B$5:$B$3004,AG$4,Acuses!$C$5:$C$3004,AG$5),AG$8)&lt;Resumen!$C$4,"Caducado",IF(EDATE(_xlfn.MAXIFS(Acuses!$D$5:$D$3004,Acuses!$A$5:$A$3004,$A110,Acuses!$B$5:$B$3004,AG$4,Acuses!$C$5:$C$3004,AG$5),AG$8)&lt;Resumen!$C$4+30,"Caduca pronto","OK"))))))</f>
        <v/>
      </c>
      <c r="AH110" s="26" t="str">
        <f aca="false">IF(OR($A110="",AH$4=""),"",IF(NOT(OR(AH$6="Toda la plantilla",ISNUMBER(SEARCH(";"&amp;SUBSTITUTE($C110," ","")&amp;";",";"&amp;SUBSTITUTE(AH$7," ","")&amp;";")))),"—",IF(_xlfn.MAXIFS(Acuses!$C$5:$C$3004,Acuses!$A$5:$A$3004,$A110,Acuses!$B$5:$B$3004,AH$4)&lt;AH$5,"Pendiente",IF(AH$8=0,"OK",IF(EDATE(_xlfn.MAXIFS(Acuses!$D$5:$D$3004,Acuses!$A$5:$A$3004,$A110,Acuses!$B$5:$B$3004,AH$4,Acuses!$C$5:$C$3004,AH$5),AH$8)&lt;Resumen!$C$4,"Caducado",IF(EDATE(_xlfn.MAXIFS(Acuses!$D$5:$D$3004,Acuses!$A$5:$A$3004,$A110,Acuses!$B$5:$B$3004,AH$4,Acuses!$C$5:$C$3004,AH$5),AH$8)&lt;Resumen!$C$4+30,"Caduca pronto","OK"))))))</f>
        <v/>
      </c>
      <c r="AI110" s="26" t="str">
        <f aca="false">IF(OR($A110="",AI$4=""),"",IF(NOT(OR(AI$6="Toda la plantilla",ISNUMBER(SEARCH(";"&amp;SUBSTITUTE($C110," ","")&amp;";",";"&amp;SUBSTITUTE(AI$7," ","")&amp;";")))),"—",IF(_xlfn.MAXIFS(Acuses!$C$5:$C$3004,Acuses!$A$5:$A$3004,$A110,Acuses!$B$5:$B$3004,AI$4)&lt;AI$5,"Pendiente",IF(AI$8=0,"OK",IF(EDATE(_xlfn.MAXIFS(Acuses!$D$5:$D$3004,Acuses!$A$5:$A$3004,$A110,Acuses!$B$5:$B$3004,AI$4,Acuses!$C$5:$C$3004,AI$5),AI$8)&lt;Resumen!$C$4,"Caducado",IF(EDATE(_xlfn.MAXIFS(Acuses!$D$5:$D$3004,Acuses!$A$5:$A$3004,$A110,Acuses!$B$5:$B$3004,AI$4,Acuses!$C$5:$C$3004,AI$5),AI$8)&lt;Resumen!$C$4+30,"Caduca pronto","OK"))))))</f>
        <v/>
      </c>
      <c r="AJ110" s="26" t="str">
        <f aca="false">IF(OR($A110="",AJ$4=""),"",IF(NOT(OR(AJ$6="Toda la plantilla",ISNUMBER(SEARCH(";"&amp;SUBSTITUTE($C110," ","")&amp;";",";"&amp;SUBSTITUTE(AJ$7," ","")&amp;";")))),"—",IF(_xlfn.MAXIFS(Acuses!$C$5:$C$3004,Acuses!$A$5:$A$3004,$A110,Acuses!$B$5:$B$3004,AJ$4)&lt;AJ$5,"Pendiente",IF(AJ$8=0,"OK",IF(EDATE(_xlfn.MAXIFS(Acuses!$D$5:$D$3004,Acuses!$A$5:$A$3004,$A110,Acuses!$B$5:$B$3004,AJ$4,Acuses!$C$5:$C$3004,AJ$5),AJ$8)&lt;Resumen!$C$4,"Caducado",IF(EDATE(_xlfn.MAXIFS(Acuses!$D$5:$D$3004,Acuses!$A$5:$A$3004,$A110,Acuses!$B$5:$B$3004,AJ$4,Acuses!$C$5:$C$3004,AJ$5),AJ$8)&lt;Resumen!$C$4+30,"Caduca pronto","OK"))))))</f>
        <v/>
      </c>
      <c r="AK110" s="26" t="str">
        <f aca="false">IF(OR($A110="",AK$4=""),"",IF(NOT(OR(AK$6="Toda la plantilla",ISNUMBER(SEARCH(";"&amp;SUBSTITUTE($C110," ","")&amp;";",";"&amp;SUBSTITUTE(AK$7," ","")&amp;";")))),"—",IF(_xlfn.MAXIFS(Acuses!$C$5:$C$3004,Acuses!$A$5:$A$3004,$A110,Acuses!$B$5:$B$3004,AK$4)&lt;AK$5,"Pendiente",IF(AK$8=0,"OK",IF(EDATE(_xlfn.MAXIFS(Acuses!$D$5:$D$3004,Acuses!$A$5:$A$3004,$A110,Acuses!$B$5:$B$3004,AK$4,Acuses!$C$5:$C$3004,AK$5),AK$8)&lt;Resumen!$C$4,"Caducado",IF(EDATE(_xlfn.MAXIFS(Acuses!$D$5:$D$3004,Acuses!$A$5:$A$3004,$A110,Acuses!$B$5:$B$3004,AK$4,Acuses!$C$5:$C$3004,AK$5),AK$8)&lt;Resumen!$C$4+30,"Caduca pronto","OK"))))))</f>
        <v/>
      </c>
      <c r="AL110" s="26" t="str">
        <f aca="false">IF(OR($A110="",AL$4=""),"",IF(NOT(OR(AL$6="Toda la plantilla",ISNUMBER(SEARCH(";"&amp;SUBSTITUTE($C110," ","")&amp;";",";"&amp;SUBSTITUTE(AL$7," ","")&amp;";")))),"—",IF(_xlfn.MAXIFS(Acuses!$C$5:$C$3004,Acuses!$A$5:$A$3004,$A110,Acuses!$B$5:$B$3004,AL$4)&lt;AL$5,"Pendiente",IF(AL$8=0,"OK",IF(EDATE(_xlfn.MAXIFS(Acuses!$D$5:$D$3004,Acuses!$A$5:$A$3004,$A110,Acuses!$B$5:$B$3004,AL$4,Acuses!$C$5:$C$3004,AL$5),AL$8)&lt;Resumen!$C$4,"Caducado",IF(EDATE(_xlfn.MAXIFS(Acuses!$D$5:$D$3004,Acuses!$A$5:$A$3004,$A110,Acuses!$B$5:$B$3004,AL$4,Acuses!$C$5:$C$3004,AL$5),AL$8)&lt;Resumen!$C$4+30,"Caduca pronto","OK"))))))</f>
        <v/>
      </c>
      <c r="AM110" s="26" t="str">
        <f aca="false">IF(OR($A110="",AM$4=""),"",IF(NOT(OR(AM$6="Toda la plantilla",ISNUMBER(SEARCH(";"&amp;SUBSTITUTE($C110," ","")&amp;";",";"&amp;SUBSTITUTE(AM$7," ","")&amp;";")))),"—",IF(_xlfn.MAXIFS(Acuses!$C$5:$C$3004,Acuses!$A$5:$A$3004,$A110,Acuses!$B$5:$B$3004,AM$4)&lt;AM$5,"Pendiente",IF(AM$8=0,"OK",IF(EDATE(_xlfn.MAXIFS(Acuses!$D$5:$D$3004,Acuses!$A$5:$A$3004,$A110,Acuses!$B$5:$B$3004,AM$4,Acuses!$C$5:$C$3004,AM$5),AM$8)&lt;Resumen!$C$4,"Caducado",IF(EDATE(_xlfn.MAXIFS(Acuses!$D$5:$D$3004,Acuses!$A$5:$A$3004,$A110,Acuses!$B$5:$B$3004,AM$4,Acuses!$C$5:$C$3004,AM$5),AM$8)&lt;Resumen!$C$4+30,"Caduca pronto","OK"))))))</f>
        <v/>
      </c>
      <c r="AN110" s="26" t="str">
        <f aca="false">IF(OR($A110="",AN$4=""),"",IF(NOT(OR(AN$6="Toda la plantilla",ISNUMBER(SEARCH(";"&amp;SUBSTITUTE($C110," ","")&amp;";",";"&amp;SUBSTITUTE(AN$7," ","")&amp;";")))),"—",IF(_xlfn.MAXIFS(Acuses!$C$5:$C$3004,Acuses!$A$5:$A$3004,$A110,Acuses!$B$5:$B$3004,AN$4)&lt;AN$5,"Pendiente",IF(AN$8=0,"OK",IF(EDATE(_xlfn.MAXIFS(Acuses!$D$5:$D$3004,Acuses!$A$5:$A$3004,$A110,Acuses!$B$5:$B$3004,AN$4,Acuses!$C$5:$C$3004,AN$5),AN$8)&lt;Resumen!$C$4,"Caducado",IF(EDATE(_xlfn.MAXIFS(Acuses!$D$5:$D$3004,Acuses!$A$5:$A$3004,$A110,Acuses!$B$5:$B$3004,AN$4,Acuses!$C$5:$C$3004,AN$5),AN$8)&lt;Resumen!$C$4+30,"Caduca pronto","OK"))))))</f>
        <v/>
      </c>
      <c r="AO110" s="26" t="str">
        <f aca="false">IF(OR($A110="",AO$4=""),"",IF(NOT(OR(AO$6="Toda la plantilla",ISNUMBER(SEARCH(";"&amp;SUBSTITUTE($C110," ","")&amp;";",";"&amp;SUBSTITUTE(AO$7," ","")&amp;";")))),"—",IF(_xlfn.MAXIFS(Acuses!$C$5:$C$3004,Acuses!$A$5:$A$3004,$A110,Acuses!$B$5:$B$3004,AO$4)&lt;AO$5,"Pendiente",IF(AO$8=0,"OK",IF(EDATE(_xlfn.MAXIFS(Acuses!$D$5:$D$3004,Acuses!$A$5:$A$3004,$A110,Acuses!$B$5:$B$3004,AO$4,Acuses!$C$5:$C$3004,AO$5),AO$8)&lt;Resumen!$C$4,"Caducado",IF(EDATE(_xlfn.MAXIFS(Acuses!$D$5:$D$3004,Acuses!$A$5:$A$3004,$A110,Acuses!$B$5:$B$3004,AO$4,Acuses!$C$5:$C$3004,AO$5),AO$8)&lt;Resumen!$C$4+30,"Caduca pronto","OK"))))))</f>
        <v/>
      </c>
      <c r="AP110" s="26" t="str">
        <f aca="false">IF(OR($A110="",AP$4=""),"",IF(NOT(OR(AP$6="Toda la plantilla",ISNUMBER(SEARCH(";"&amp;SUBSTITUTE($C110," ","")&amp;";",";"&amp;SUBSTITUTE(AP$7," ","")&amp;";")))),"—",IF(_xlfn.MAXIFS(Acuses!$C$5:$C$3004,Acuses!$A$5:$A$3004,$A110,Acuses!$B$5:$B$3004,AP$4)&lt;AP$5,"Pendiente",IF(AP$8=0,"OK",IF(EDATE(_xlfn.MAXIFS(Acuses!$D$5:$D$3004,Acuses!$A$5:$A$3004,$A110,Acuses!$B$5:$B$3004,AP$4,Acuses!$C$5:$C$3004,AP$5),AP$8)&lt;Resumen!$C$4,"Caducado",IF(EDATE(_xlfn.MAXIFS(Acuses!$D$5:$D$3004,Acuses!$A$5:$A$3004,$A110,Acuses!$B$5:$B$3004,AP$4,Acuses!$C$5:$C$3004,AP$5),AP$8)&lt;Resumen!$C$4+30,"Caduca pronto","OK"))))))</f>
        <v/>
      </c>
      <c r="AQ110" s="26" t="str">
        <f aca="false">IF(OR($A110="",AQ$4=""),"",IF(NOT(OR(AQ$6="Toda la plantilla",ISNUMBER(SEARCH(";"&amp;SUBSTITUTE($C110," ","")&amp;";",";"&amp;SUBSTITUTE(AQ$7," ","")&amp;";")))),"—",IF(_xlfn.MAXIFS(Acuses!$C$5:$C$3004,Acuses!$A$5:$A$3004,$A110,Acuses!$B$5:$B$3004,AQ$4)&lt;AQ$5,"Pendiente",IF(AQ$8=0,"OK",IF(EDATE(_xlfn.MAXIFS(Acuses!$D$5:$D$3004,Acuses!$A$5:$A$3004,$A110,Acuses!$B$5:$B$3004,AQ$4,Acuses!$C$5:$C$3004,AQ$5),AQ$8)&lt;Resumen!$C$4,"Caducado",IF(EDATE(_xlfn.MAXIFS(Acuses!$D$5:$D$3004,Acuses!$A$5:$A$3004,$A110,Acuses!$B$5:$B$3004,AQ$4,Acuses!$C$5:$C$3004,AQ$5),AQ$8)&lt;Resumen!$C$4+30,"Caduca pronto","OK"))))))</f>
        <v/>
      </c>
    </row>
    <row r="111" customFormat="false" ht="15" hidden="false" customHeight="false" outlineLevel="0" collapsed="false">
      <c r="A111" s="25" t="str">
        <f aca="false">IF(AND(Trabajadores!$A$106&lt;&gt;"",Trabajadores!$G$106&lt;&gt;"No"),Trabajadores!$A$106,"")</f>
        <v/>
      </c>
      <c r="B111" s="25" t="str">
        <f aca="false">IF($A111="","",Trabajadores!$B$106)</f>
        <v/>
      </c>
      <c r="C111" s="25" t="str">
        <f aca="false">IF($A111="","",Trabajadores!$C$106)</f>
        <v/>
      </c>
      <c r="D111" s="26" t="str">
        <f aca="false">IF(OR($A111="",D$4=""),"",IF(NOT(OR(D$6="Toda la plantilla",ISNUMBER(SEARCH(";"&amp;SUBSTITUTE($C111," ","")&amp;";",";"&amp;SUBSTITUTE(D$7," ","")&amp;";")))),"—",IF(_xlfn.MAXIFS(Acuses!$C$5:$C$3004,Acuses!$A$5:$A$3004,$A111,Acuses!$B$5:$B$3004,D$4)&lt;D$5,"Pendiente",IF(D$8=0,"OK",IF(EDATE(_xlfn.MAXIFS(Acuses!$D$5:$D$3004,Acuses!$A$5:$A$3004,$A111,Acuses!$B$5:$B$3004,D$4,Acuses!$C$5:$C$3004,D$5),D$8)&lt;Resumen!$C$4,"Caducado",IF(EDATE(_xlfn.MAXIFS(Acuses!$D$5:$D$3004,Acuses!$A$5:$A$3004,$A111,Acuses!$B$5:$B$3004,D$4,Acuses!$C$5:$C$3004,D$5),D$8)&lt;Resumen!$C$4+30,"Caduca pronto","OK"))))))</f>
        <v/>
      </c>
      <c r="E111" s="26" t="str">
        <f aca="false">IF(OR($A111="",E$4=""),"",IF(NOT(OR(E$6="Toda la plantilla",ISNUMBER(SEARCH(";"&amp;SUBSTITUTE($C111," ","")&amp;";",";"&amp;SUBSTITUTE(E$7," ","")&amp;";")))),"—",IF(_xlfn.MAXIFS(Acuses!$C$5:$C$3004,Acuses!$A$5:$A$3004,$A111,Acuses!$B$5:$B$3004,E$4)&lt;E$5,"Pendiente",IF(E$8=0,"OK",IF(EDATE(_xlfn.MAXIFS(Acuses!$D$5:$D$3004,Acuses!$A$5:$A$3004,$A111,Acuses!$B$5:$B$3004,E$4,Acuses!$C$5:$C$3004,E$5),E$8)&lt;Resumen!$C$4,"Caducado",IF(EDATE(_xlfn.MAXIFS(Acuses!$D$5:$D$3004,Acuses!$A$5:$A$3004,$A111,Acuses!$B$5:$B$3004,E$4,Acuses!$C$5:$C$3004,E$5),E$8)&lt;Resumen!$C$4+30,"Caduca pronto","OK"))))))</f>
        <v/>
      </c>
      <c r="F111" s="26" t="str">
        <f aca="false">IF(OR($A111="",F$4=""),"",IF(NOT(OR(F$6="Toda la plantilla",ISNUMBER(SEARCH(";"&amp;SUBSTITUTE($C111," ","")&amp;";",";"&amp;SUBSTITUTE(F$7," ","")&amp;";")))),"—",IF(_xlfn.MAXIFS(Acuses!$C$5:$C$3004,Acuses!$A$5:$A$3004,$A111,Acuses!$B$5:$B$3004,F$4)&lt;F$5,"Pendiente",IF(F$8=0,"OK",IF(EDATE(_xlfn.MAXIFS(Acuses!$D$5:$D$3004,Acuses!$A$5:$A$3004,$A111,Acuses!$B$5:$B$3004,F$4,Acuses!$C$5:$C$3004,F$5),F$8)&lt;Resumen!$C$4,"Caducado",IF(EDATE(_xlfn.MAXIFS(Acuses!$D$5:$D$3004,Acuses!$A$5:$A$3004,$A111,Acuses!$B$5:$B$3004,F$4,Acuses!$C$5:$C$3004,F$5),F$8)&lt;Resumen!$C$4+30,"Caduca pronto","OK"))))))</f>
        <v/>
      </c>
      <c r="G111" s="26" t="str">
        <f aca="false">IF(OR($A111="",G$4=""),"",IF(NOT(OR(G$6="Toda la plantilla",ISNUMBER(SEARCH(";"&amp;SUBSTITUTE($C111," ","")&amp;";",";"&amp;SUBSTITUTE(G$7," ","")&amp;";")))),"—",IF(_xlfn.MAXIFS(Acuses!$C$5:$C$3004,Acuses!$A$5:$A$3004,$A111,Acuses!$B$5:$B$3004,G$4)&lt;G$5,"Pendiente",IF(G$8=0,"OK",IF(EDATE(_xlfn.MAXIFS(Acuses!$D$5:$D$3004,Acuses!$A$5:$A$3004,$A111,Acuses!$B$5:$B$3004,G$4,Acuses!$C$5:$C$3004,G$5),G$8)&lt;Resumen!$C$4,"Caducado",IF(EDATE(_xlfn.MAXIFS(Acuses!$D$5:$D$3004,Acuses!$A$5:$A$3004,$A111,Acuses!$B$5:$B$3004,G$4,Acuses!$C$5:$C$3004,G$5),G$8)&lt;Resumen!$C$4+30,"Caduca pronto","OK"))))))</f>
        <v/>
      </c>
      <c r="H111" s="26" t="str">
        <f aca="false">IF(OR($A111="",H$4=""),"",IF(NOT(OR(H$6="Toda la plantilla",ISNUMBER(SEARCH(";"&amp;SUBSTITUTE($C111," ","")&amp;";",";"&amp;SUBSTITUTE(H$7," ","")&amp;";")))),"—",IF(_xlfn.MAXIFS(Acuses!$C$5:$C$3004,Acuses!$A$5:$A$3004,$A111,Acuses!$B$5:$B$3004,H$4)&lt;H$5,"Pendiente",IF(H$8=0,"OK",IF(EDATE(_xlfn.MAXIFS(Acuses!$D$5:$D$3004,Acuses!$A$5:$A$3004,$A111,Acuses!$B$5:$B$3004,H$4,Acuses!$C$5:$C$3004,H$5),H$8)&lt;Resumen!$C$4,"Caducado",IF(EDATE(_xlfn.MAXIFS(Acuses!$D$5:$D$3004,Acuses!$A$5:$A$3004,$A111,Acuses!$B$5:$B$3004,H$4,Acuses!$C$5:$C$3004,H$5),H$8)&lt;Resumen!$C$4+30,"Caduca pronto","OK"))))))</f>
        <v/>
      </c>
      <c r="I111" s="26" t="str">
        <f aca="false">IF(OR($A111="",I$4=""),"",IF(NOT(OR(I$6="Toda la plantilla",ISNUMBER(SEARCH(";"&amp;SUBSTITUTE($C111," ","")&amp;";",";"&amp;SUBSTITUTE(I$7," ","")&amp;";")))),"—",IF(_xlfn.MAXIFS(Acuses!$C$5:$C$3004,Acuses!$A$5:$A$3004,$A111,Acuses!$B$5:$B$3004,I$4)&lt;I$5,"Pendiente",IF(I$8=0,"OK",IF(EDATE(_xlfn.MAXIFS(Acuses!$D$5:$D$3004,Acuses!$A$5:$A$3004,$A111,Acuses!$B$5:$B$3004,I$4,Acuses!$C$5:$C$3004,I$5),I$8)&lt;Resumen!$C$4,"Caducado",IF(EDATE(_xlfn.MAXIFS(Acuses!$D$5:$D$3004,Acuses!$A$5:$A$3004,$A111,Acuses!$B$5:$B$3004,I$4,Acuses!$C$5:$C$3004,I$5),I$8)&lt;Resumen!$C$4+30,"Caduca pronto","OK"))))))</f>
        <v/>
      </c>
      <c r="J111" s="26" t="str">
        <f aca="false">IF(OR($A111="",J$4=""),"",IF(NOT(OR(J$6="Toda la plantilla",ISNUMBER(SEARCH(";"&amp;SUBSTITUTE($C111," ","")&amp;";",";"&amp;SUBSTITUTE(J$7," ","")&amp;";")))),"—",IF(_xlfn.MAXIFS(Acuses!$C$5:$C$3004,Acuses!$A$5:$A$3004,$A111,Acuses!$B$5:$B$3004,J$4)&lt;J$5,"Pendiente",IF(J$8=0,"OK",IF(EDATE(_xlfn.MAXIFS(Acuses!$D$5:$D$3004,Acuses!$A$5:$A$3004,$A111,Acuses!$B$5:$B$3004,J$4,Acuses!$C$5:$C$3004,J$5),J$8)&lt;Resumen!$C$4,"Caducado",IF(EDATE(_xlfn.MAXIFS(Acuses!$D$5:$D$3004,Acuses!$A$5:$A$3004,$A111,Acuses!$B$5:$B$3004,J$4,Acuses!$C$5:$C$3004,J$5),J$8)&lt;Resumen!$C$4+30,"Caduca pronto","OK"))))))</f>
        <v/>
      </c>
      <c r="K111" s="26" t="str">
        <f aca="false">IF(OR($A111="",K$4=""),"",IF(NOT(OR(K$6="Toda la plantilla",ISNUMBER(SEARCH(";"&amp;SUBSTITUTE($C111," ","")&amp;";",";"&amp;SUBSTITUTE(K$7," ","")&amp;";")))),"—",IF(_xlfn.MAXIFS(Acuses!$C$5:$C$3004,Acuses!$A$5:$A$3004,$A111,Acuses!$B$5:$B$3004,K$4)&lt;K$5,"Pendiente",IF(K$8=0,"OK",IF(EDATE(_xlfn.MAXIFS(Acuses!$D$5:$D$3004,Acuses!$A$5:$A$3004,$A111,Acuses!$B$5:$B$3004,K$4,Acuses!$C$5:$C$3004,K$5),K$8)&lt;Resumen!$C$4,"Caducado",IF(EDATE(_xlfn.MAXIFS(Acuses!$D$5:$D$3004,Acuses!$A$5:$A$3004,$A111,Acuses!$B$5:$B$3004,K$4,Acuses!$C$5:$C$3004,K$5),K$8)&lt;Resumen!$C$4+30,"Caduca pronto","OK"))))))</f>
        <v/>
      </c>
      <c r="L111" s="26" t="str">
        <f aca="false">IF(OR($A111="",L$4=""),"",IF(NOT(OR(L$6="Toda la plantilla",ISNUMBER(SEARCH(";"&amp;SUBSTITUTE($C111," ","")&amp;";",";"&amp;SUBSTITUTE(L$7," ","")&amp;";")))),"—",IF(_xlfn.MAXIFS(Acuses!$C$5:$C$3004,Acuses!$A$5:$A$3004,$A111,Acuses!$B$5:$B$3004,L$4)&lt;L$5,"Pendiente",IF(L$8=0,"OK",IF(EDATE(_xlfn.MAXIFS(Acuses!$D$5:$D$3004,Acuses!$A$5:$A$3004,$A111,Acuses!$B$5:$B$3004,L$4,Acuses!$C$5:$C$3004,L$5),L$8)&lt;Resumen!$C$4,"Caducado",IF(EDATE(_xlfn.MAXIFS(Acuses!$D$5:$D$3004,Acuses!$A$5:$A$3004,$A111,Acuses!$B$5:$B$3004,L$4,Acuses!$C$5:$C$3004,L$5),L$8)&lt;Resumen!$C$4+30,"Caduca pronto","OK"))))))</f>
        <v/>
      </c>
      <c r="M111" s="26" t="str">
        <f aca="false">IF(OR($A111="",M$4=""),"",IF(NOT(OR(M$6="Toda la plantilla",ISNUMBER(SEARCH(";"&amp;SUBSTITUTE($C111," ","")&amp;";",";"&amp;SUBSTITUTE(M$7," ","")&amp;";")))),"—",IF(_xlfn.MAXIFS(Acuses!$C$5:$C$3004,Acuses!$A$5:$A$3004,$A111,Acuses!$B$5:$B$3004,M$4)&lt;M$5,"Pendiente",IF(M$8=0,"OK",IF(EDATE(_xlfn.MAXIFS(Acuses!$D$5:$D$3004,Acuses!$A$5:$A$3004,$A111,Acuses!$B$5:$B$3004,M$4,Acuses!$C$5:$C$3004,M$5),M$8)&lt;Resumen!$C$4,"Caducado",IF(EDATE(_xlfn.MAXIFS(Acuses!$D$5:$D$3004,Acuses!$A$5:$A$3004,$A111,Acuses!$B$5:$B$3004,M$4,Acuses!$C$5:$C$3004,M$5),M$8)&lt;Resumen!$C$4+30,"Caduca pronto","OK"))))))</f>
        <v/>
      </c>
      <c r="N111" s="26" t="str">
        <f aca="false">IF(OR($A111="",N$4=""),"",IF(NOT(OR(N$6="Toda la plantilla",ISNUMBER(SEARCH(";"&amp;SUBSTITUTE($C111," ","")&amp;";",";"&amp;SUBSTITUTE(N$7," ","")&amp;";")))),"—",IF(_xlfn.MAXIFS(Acuses!$C$5:$C$3004,Acuses!$A$5:$A$3004,$A111,Acuses!$B$5:$B$3004,N$4)&lt;N$5,"Pendiente",IF(N$8=0,"OK",IF(EDATE(_xlfn.MAXIFS(Acuses!$D$5:$D$3004,Acuses!$A$5:$A$3004,$A111,Acuses!$B$5:$B$3004,N$4,Acuses!$C$5:$C$3004,N$5),N$8)&lt;Resumen!$C$4,"Caducado",IF(EDATE(_xlfn.MAXIFS(Acuses!$D$5:$D$3004,Acuses!$A$5:$A$3004,$A111,Acuses!$B$5:$B$3004,N$4,Acuses!$C$5:$C$3004,N$5),N$8)&lt;Resumen!$C$4+30,"Caduca pronto","OK"))))))</f>
        <v/>
      </c>
      <c r="O111" s="26" t="str">
        <f aca="false">IF(OR($A111="",O$4=""),"",IF(NOT(OR(O$6="Toda la plantilla",ISNUMBER(SEARCH(";"&amp;SUBSTITUTE($C111," ","")&amp;";",";"&amp;SUBSTITUTE(O$7," ","")&amp;";")))),"—",IF(_xlfn.MAXIFS(Acuses!$C$5:$C$3004,Acuses!$A$5:$A$3004,$A111,Acuses!$B$5:$B$3004,O$4)&lt;O$5,"Pendiente",IF(O$8=0,"OK",IF(EDATE(_xlfn.MAXIFS(Acuses!$D$5:$D$3004,Acuses!$A$5:$A$3004,$A111,Acuses!$B$5:$B$3004,O$4,Acuses!$C$5:$C$3004,O$5),O$8)&lt;Resumen!$C$4,"Caducado",IF(EDATE(_xlfn.MAXIFS(Acuses!$D$5:$D$3004,Acuses!$A$5:$A$3004,$A111,Acuses!$B$5:$B$3004,O$4,Acuses!$C$5:$C$3004,O$5),O$8)&lt;Resumen!$C$4+30,"Caduca pronto","OK"))))))</f>
        <v/>
      </c>
      <c r="P111" s="26" t="str">
        <f aca="false">IF(OR($A111="",P$4=""),"",IF(NOT(OR(P$6="Toda la plantilla",ISNUMBER(SEARCH(";"&amp;SUBSTITUTE($C111," ","")&amp;";",";"&amp;SUBSTITUTE(P$7," ","")&amp;";")))),"—",IF(_xlfn.MAXIFS(Acuses!$C$5:$C$3004,Acuses!$A$5:$A$3004,$A111,Acuses!$B$5:$B$3004,P$4)&lt;P$5,"Pendiente",IF(P$8=0,"OK",IF(EDATE(_xlfn.MAXIFS(Acuses!$D$5:$D$3004,Acuses!$A$5:$A$3004,$A111,Acuses!$B$5:$B$3004,P$4,Acuses!$C$5:$C$3004,P$5),P$8)&lt;Resumen!$C$4,"Caducado",IF(EDATE(_xlfn.MAXIFS(Acuses!$D$5:$D$3004,Acuses!$A$5:$A$3004,$A111,Acuses!$B$5:$B$3004,P$4,Acuses!$C$5:$C$3004,P$5),P$8)&lt;Resumen!$C$4+30,"Caduca pronto","OK"))))))</f>
        <v/>
      </c>
      <c r="Q111" s="26" t="str">
        <f aca="false">IF(OR($A111="",Q$4=""),"",IF(NOT(OR(Q$6="Toda la plantilla",ISNUMBER(SEARCH(";"&amp;SUBSTITUTE($C111," ","")&amp;";",";"&amp;SUBSTITUTE(Q$7," ","")&amp;";")))),"—",IF(_xlfn.MAXIFS(Acuses!$C$5:$C$3004,Acuses!$A$5:$A$3004,$A111,Acuses!$B$5:$B$3004,Q$4)&lt;Q$5,"Pendiente",IF(Q$8=0,"OK",IF(EDATE(_xlfn.MAXIFS(Acuses!$D$5:$D$3004,Acuses!$A$5:$A$3004,$A111,Acuses!$B$5:$B$3004,Q$4,Acuses!$C$5:$C$3004,Q$5),Q$8)&lt;Resumen!$C$4,"Caducado",IF(EDATE(_xlfn.MAXIFS(Acuses!$D$5:$D$3004,Acuses!$A$5:$A$3004,$A111,Acuses!$B$5:$B$3004,Q$4,Acuses!$C$5:$C$3004,Q$5),Q$8)&lt;Resumen!$C$4+30,"Caduca pronto","OK"))))))</f>
        <v/>
      </c>
      <c r="R111" s="26" t="str">
        <f aca="false">IF(OR($A111="",R$4=""),"",IF(NOT(OR(R$6="Toda la plantilla",ISNUMBER(SEARCH(";"&amp;SUBSTITUTE($C111," ","")&amp;";",";"&amp;SUBSTITUTE(R$7," ","")&amp;";")))),"—",IF(_xlfn.MAXIFS(Acuses!$C$5:$C$3004,Acuses!$A$5:$A$3004,$A111,Acuses!$B$5:$B$3004,R$4)&lt;R$5,"Pendiente",IF(R$8=0,"OK",IF(EDATE(_xlfn.MAXIFS(Acuses!$D$5:$D$3004,Acuses!$A$5:$A$3004,$A111,Acuses!$B$5:$B$3004,R$4,Acuses!$C$5:$C$3004,R$5),R$8)&lt;Resumen!$C$4,"Caducado",IF(EDATE(_xlfn.MAXIFS(Acuses!$D$5:$D$3004,Acuses!$A$5:$A$3004,$A111,Acuses!$B$5:$B$3004,R$4,Acuses!$C$5:$C$3004,R$5),R$8)&lt;Resumen!$C$4+30,"Caduca pronto","OK"))))))</f>
        <v/>
      </c>
      <c r="S111" s="26" t="str">
        <f aca="false">IF(OR($A111="",S$4=""),"",IF(NOT(OR(S$6="Toda la plantilla",ISNUMBER(SEARCH(";"&amp;SUBSTITUTE($C111," ","")&amp;";",";"&amp;SUBSTITUTE(S$7," ","")&amp;";")))),"—",IF(_xlfn.MAXIFS(Acuses!$C$5:$C$3004,Acuses!$A$5:$A$3004,$A111,Acuses!$B$5:$B$3004,S$4)&lt;S$5,"Pendiente",IF(S$8=0,"OK",IF(EDATE(_xlfn.MAXIFS(Acuses!$D$5:$D$3004,Acuses!$A$5:$A$3004,$A111,Acuses!$B$5:$B$3004,S$4,Acuses!$C$5:$C$3004,S$5),S$8)&lt;Resumen!$C$4,"Caducado",IF(EDATE(_xlfn.MAXIFS(Acuses!$D$5:$D$3004,Acuses!$A$5:$A$3004,$A111,Acuses!$B$5:$B$3004,S$4,Acuses!$C$5:$C$3004,S$5),S$8)&lt;Resumen!$C$4+30,"Caduca pronto","OK"))))))</f>
        <v/>
      </c>
      <c r="T111" s="26" t="str">
        <f aca="false">IF(OR($A111="",T$4=""),"",IF(NOT(OR(T$6="Toda la plantilla",ISNUMBER(SEARCH(";"&amp;SUBSTITUTE($C111," ","")&amp;";",";"&amp;SUBSTITUTE(T$7," ","")&amp;";")))),"—",IF(_xlfn.MAXIFS(Acuses!$C$5:$C$3004,Acuses!$A$5:$A$3004,$A111,Acuses!$B$5:$B$3004,T$4)&lt;T$5,"Pendiente",IF(T$8=0,"OK",IF(EDATE(_xlfn.MAXIFS(Acuses!$D$5:$D$3004,Acuses!$A$5:$A$3004,$A111,Acuses!$B$5:$B$3004,T$4,Acuses!$C$5:$C$3004,T$5),T$8)&lt;Resumen!$C$4,"Caducado",IF(EDATE(_xlfn.MAXIFS(Acuses!$D$5:$D$3004,Acuses!$A$5:$A$3004,$A111,Acuses!$B$5:$B$3004,T$4,Acuses!$C$5:$C$3004,T$5),T$8)&lt;Resumen!$C$4+30,"Caduca pronto","OK"))))))</f>
        <v/>
      </c>
      <c r="U111" s="26" t="str">
        <f aca="false">IF(OR($A111="",U$4=""),"",IF(NOT(OR(U$6="Toda la plantilla",ISNUMBER(SEARCH(";"&amp;SUBSTITUTE($C111," ","")&amp;";",";"&amp;SUBSTITUTE(U$7," ","")&amp;";")))),"—",IF(_xlfn.MAXIFS(Acuses!$C$5:$C$3004,Acuses!$A$5:$A$3004,$A111,Acuses!$B$5:$B$3004,U$4)&lt;U$5,"Pendiente",IF(U$8=0,"OK",IF(EDATE(_xlfn.MAXIFS(Acuses!$D$5:$D$3004,Acuses!$A$5:$A$3004,$A111,Acuses!$B$5:$B$3004,U$4,Acuses!$C$5:$C$3004,U$5),U$8)&lt;Resumen!$C$4,"Caducado",IF(EDATE(_xlfn.MAXIFS(Acuses!$D$5:$D$3004,Acuses!$A$5:$A$3004,$A111,Acuses!$B$5:$B$3004,U$4,Acuses!$C$5:$C$3004,U$5),U$8)&lt;Resumen!$C$4+30,"Caduca pronto","OK"))))))</f>
        <v/>
      </c>
      <c r="V111" s="26" t="str">
        <f aca="false">IF(OR($A111="",V$4=""),"",IF(NOT(OR(V$6="Toda la plantilla",ISNUMBER(SEARCH(";"&amp;SUBSTITUTE($C111," ","")&amp;";",";"&amp;SUBSTITUTE(V$7," ","")&amp;";")))),"—",IF(_xlfn.MAXIFS(Acuses!$C$5:$C$3004,Acuses!$A$5:$A$3004,$A111,Acuses!$B$5:$B$3004,V$4)&lt;V$5,"Pendiente",IF(V$8=0,"OK",IF(EDATE(_xlfn.MAXIFS(Acuses!$D$5:$D$3004,Acuses!$A$5:$A$3004,$A111,Acuses!$B$5:$B$3004,V$4,Acuses!$C$5:$C$3004,V$5),V$8)&lt;Resumen!$C$4,"Caducado",IF(EDATE(_xlfn.MAXIFS(Acuses!$D$5:$D$3004,Acuses!$A$5:$A$3004,$A111,Acuses!$B$5:$B$3004,V$4,Acuses!$C$5:$C$3004,V$5),V$8)&lt;Resumen!$C$4+30,"Caduca pronto","OK"))))))</f>
        <v/>
      </c>
      <c r="W111" s="26" t="str">
        <f aca="false">IF(OR($A111="",W$4=""),"",IF(NOT(OR(W$6="Toda la plantilla",ISNUMBER(SEARCH(";"&amp;SUBSTITUTE($C111," ","")&amp;";",";"&amp;SUBSTITUTE(W$7," ","")&amp;";")))),"—",IF(_xlfn.MAXIFS(Acuses!$C$5:$C$3004,Acuses!$A$5:$A$3004,$A111,Acuses!$B$5:$B$3004,W$4)&lt;W$5,"Pendiente",IF(W$8=0,"OK",IF(EDATE(_xlfn.MAXIFS(Acuses!$D$5:$D$3004,Acuses!$A$5:$A$3004,$A111,Acuses!$B$5:$B$3004,W$4,Acuses!$C$5:$C$3004,W$5),W$8)&lt;Resumen!$C$4,"Caducado",IF(EDATE(_xlfn.MAXIFS(Acuses!$D$5:$D$3004,Acuses!$A$5:$A$3004,$A111,Acuses!$B$5:$B$3004,W$4,Acuses!$C$5:$C$3004,W$5),W$8)&lt;Resumen!$C$4+30,"Caduca pronto","OK"))))))</f>
        <v/>
      </c>
      <c r="X111" s="26" t="str">
        <f aca="false">IF(OR($A111="",X$4=""),"",IF(NOT(OR(X$6="Toda la plantilla",ISNUMBER(SEARCH(";"&amp;SUBSTITUTE($C111," ","")&amp;";",";"&amp;SUBSTITUTE(X$7," ","")&amp;";")))),"—",IF(_xlfn.MAXIFS(Acuses!$C$5:$C$3004,Acuses!$A$5:$A$3004,$A111,Acuses!$B$5:$B$3004,X$4)&lt;X$5,"Pendiente",IF(X$8=0,"OK",IF(EDATE(_xlfn.MAXIFS(Acuses!$D$5:$D$3004,Acuses!$A$5:$A$3004,$A111,Acuses!$B$5:$B$3004,X$4,Acuses!$C$5:$C$3004,X$5),X$8)&lt;Resumen!$C$4,"Caducado",IF(EDATE(_xlfn.MAXIFS(Acuses!$D$5:$D$3004,Acuses!$A$5:$A$3004,$A111,Acuses!$B$5:$B$3004,X$4,Acuses!$C$5:$C$3004,X$5),X$8)&lt;Resumen!$C$4+30,"Caduca pronto","OK"))))))</f>
        <v/>
      </c>
      <c r="Y111" s="26" t="str">
        <f aca="false">IF(OR($A111="",Y$4=""),"",IF(NOT(OR(Y$6="Toda la plantilla",ISNUMBER(SEARCH(";"&amp;SUBSTITUTE($C111," ","")&amp;";",";"&amp;SUBSTITUTE(Y$7," ","")&amp;";")))),"—",IF(_xlfn.MAXIFS(Acuses!$C$5:$C$3004,Acuses!$A$5:$A$3004,$A111,Acuses!$B$5:$B$3004,Y$4)&lt;Y$5,"Pendiente",IF(Y$8=0,"OK",IF(EDATE(_xlfn.MAXIFS(Acuses!$D$5:$D$3004,Acuses!$A$5:$A$3004,$A111,Acuses!$B$5:$B$3004,Y$4,Acuses!$C$5:$C$3004,Y$5),Y$8)&lt;Resumen!$C$4,"Caducado",IF(EDATE(_xlfn.MAXIFS(Acuses!$D$5:$D$3004,Acuses!$A$5:$A$3004,$A111,Acuses!$B$5:$B$3004,Y$4,Acuses!$C$5:$C$3004,Y$5),Y$8)&lt;Resumen!$C$4+30,"Caduca pronto","OK"))))))</f>
        <v/>
      </c>
      <c r="Z111" s="26" t="str">
        <f aca="false">IF(OR($A111="",Z$4=""),"",IF(NOT(OR(Z$6="Toda la plantilla",ISNUMBER(SEARCH(";"&amp;SUBSTITUTE($C111," ","")&amp;";",";"&amp;SUBSTITUTE(Z$7," ","")&amp;";")))),"—",IF(_xlfn.MAXIFS(Acuses!$C$5:$C$3004,Acuses!$A$5:$A$3004,$A111,Acuses!$B$5:$B$3004,Z$4)&lt;Z$5,"Pendiente",IF(Z$8=0,"OK",IF(EDATE(_xlfn.MAXIFS(Acuses!$D$5:$D$3004,Acuses!$A$5:$A$3004,$A111,Acuses!$B$5:$B$3004,Z$4,Acuses!$C$5:$C$3004,Z$5),Z$8)&lt;Resumen!$C$4,"Caducado",IF(EDATE(_xlfn.MAXIFS(Acuses!$D$5:$D$3004,Acuses!$A$5:$A$3004,$A111,Acuses!$B$5:$B$3004,Z$4,Acuses!$C$5:$C$3004,Z$5),Z$8)&lt;Resumen!$C$4+30,"Caduca pronto","OK"))))))</f>
        <v/>
      </c>
      <c r="AA111" s="26" t="str">
        <f aca="false">IF(OR($A111="",AA$4=""),"",IF(NOT(OR(AA$6="Toda la plantilla",ISNUMBER(SEARCH(";"&amp;SUBSTITUTE($C111," ","")&amp;";",";"&amp;SUBSTITUTE(AA$7," ","")&amp;";")))),"—",IF(_xlfn.MAXIFS(Acuses!$C$5:$C$3004,Acuses!$A$5:$A$3004,$A111,Acuses!$B$5:$B$3004,AA$4)&lt;AA$5,"Pendiente",IF(AA$8=0,"OK",IF(EDATE(_xlfn.MAXIFS(Acuses!$D$5:$D$3004,Acuses!$A$5:$A$3004,$A111,Acuses!$B$5:$B$3004,AA$4,Acuses!$C$5:$C$3004,AA$5),AA$8)&lt;Resumen!$C$4,"Caducado",IF(EDATE(_xlfn.MAXIFS(Acuses!$D$5:$D$3004,Acuses!$A$5:$A$3004,$A111,Acuses!$B$5:$B$3004,AA$4,Acuses!$C$5:$C$3004,AA$5),AA$8)&lt;Resumen!$C$4+30,"Caduca pronto","OK"))))))</f>
        <v/>
      </c>
      <c r="AB111" s="26" t="str">
        <f aca="false">IF(OR($A111="",AB$4=""),"",IF(NOT(OR(AB$6="Toda la plantilla",ISNUMBER(SEARCH(";"&amp;SUBSTITUTE($C111," ","")&amp;";",";"&amp;SUBSTITUTE(AB$7," ","")&amp;";")))),"—",IF(_xlfn.MAXIFS(Acuses!$C$5:$C$3004,Acuses!$A$5:$A$3004,$A111,Acuses!$B$5:$B$3004,AB$4)&lt;AB$5,"Pendiente",IF(AB$8=0,"OK",IF(EDATE(_xlfn.MAXIFS(Acuses!$D$5:$D$3004,Acuses!$A$5:$A$3004,$A111,Acuses!$B$5:$B$3004,AB$4,Acuses!$C$5:$C$3004,AB$5),AB$8)&lt;Resumen!$C$4,"Caducado",IF(EDATE(_xlfn.MAXIFS(Acuses!$D$5:$D$3004,Acuses!$A$5:$A$3004,$A111,Acuses!$B$5:$B$3004,AB$4,Acuses!$C$5:$C$3004,AB$5),AB$8)&lt;Resumen!$C$4+30,"Caduca pronto","OK"))))))</f>
        <v/>
      </c>
      <c r="AC111" s="26" t="str">
        <f aca="false">IF(OR($A111="",AC$4=""),"",IF(NOT(OR(AC$6="Toda la plantilla",ISNUMBER(SEARCH(";"&amp;SUBSTITUTE($C111," ","")&amp;";",";"&amp;SUBSTITUTE(AC$7," ","")&amp;";")))),"—",IF(_xlfn.MAXIFS(Acuses!$C$5:$C$3004,Acuses!$A$5:$A$3004,$A111,Acuses!$B$5:$B$3004,AC$4)&lt;AC$5,"Pendiente",IF(AC$8=0,"OK",IF(EDATE(_xlfn.MAXIFS(Acuses!$D$5:$D$3004,Acuses!$A$5:$A$3004,$A111,Acuses!$B$5:$B$3004,AC$4,Acuses!$C$5:$C$3004,AC$5),AC$8)&lt;Resumen!$C$4,"Caducado",IF(EDATE(_xlfn.MAXIFS(Acuses!$D$5:$D$3004,Acuses!$A$5:$A$3004,$A111,Acuses!$B$5:$B$3004,AC$4,Acuses!$C$5:$C$3004,AC$5),AC$8)&lt;Resumen!$C$4+30,"Caduca pronto","OK"))))))</f>
        <v/>
      </c>
      <c r="AD111" s="26" t="str">
        <f aca="false">IF(OR($A111="",AD$4=""),"",IF(NOT(OR(AD$6="Toda la plantilla",ISNUMBER(SEARCH(";"&amp;SUBSTITUTE($C111," ","")&amp;";",";"&amp;SUBSTITUTE(AD$7," ","")&amp;";")))),"—",IF(_xlfn.MAXIFS(Acuses!$C$5:$C$3004,Acuses!$A$5:$A$3004,$A111,Acuses!$B$5:$B$3004,AD$4)&lt;AD$5,"Pendiente",IF(AD$8=0,"OK",IF(EDATE(_xlfn.MAXIFS(Acuses!$D$5:$D$3004,Acuses!$A$5:$A$3004,$A111,Acuses!$B$5:$B$3004,AD$4,Acuses!$C$5:$C$3004,AD$5),AD$8)&lt;Resumen!$C$4,"Caducado",IF(EDATE(_xlfn.MAXIFS(Acuses!$D$5:$D$3004,Acuses!$A$5:$A$3004,$A111,Acuses!$B$5:$B$3004,AD$4,Acuses!$C$5:$C$3004,AD$5),AD$8)&lt;Resumen!$C$4+30,"Caduca pronto","OK"))))))</f>
        <v/>
      </c>
      <c r="AE111" s="26" t="str">
        <f aca="false">IF(OR($A111="",AE$4=""),"",IF(NOT(OR(AE$6="Toda la plantilla",ISNUMBER(SEARCH(";"&amp;SUBSTITUTE($C111," ","")&amp;";",";"&amp;SUBSTITUTE(AE$7," ","")&amp;";")))),"—",IF(_xlfn.MAXIFS(Acuses!$C$5:$C$3004,Acuses!$A$5:$A$3004,$A111,Acuses!$B$5:$B$3004,AE$4)&lt;AE$5,"Pendiente",IF(AE$8=0,"OK",IF(EDATE(_xlfn.MAXIFS(Acuses!$D$5:$D$3004,Acuses!$A$5:$A$3004,$A111,Acuses!$B$5:$B$3004,AE$4,Acuses!$C$5:$C$3004,AE$5),AE$8)&lt;Resumen!$C$4,"Caducado",IF(EDATE(_xlfn.MAXIFS(Acuses!$D$5:$D$3004,Acuses!$A$5:$A$3004,$A111,Acuses!$B$5:$B$3004,AE$4,Acuses!$C$5:$C$3004,AE$5),AE$8)&lt;Resumen!$C$4+30,"Caduca pronto","OK"))))))</f>
        <v/>
      </c>
      <c r="AF111" s="26" t="str">
        <f aca="false">IF(OR($A111="",AF$4=""),"",IF(NOT(OR(AF$6="Toda la plantilla",ISNUMBER(SEARCH(";"&amp;SUBSTITUTE($C111," ","")&amp;";",";"&amp;SUBSTITUTE(AF$7," ","")&amp;";")))),"—",IF(_xlfn.MAXIFS(Acuses!$C$5:$C$3004,Acuses!$A$5:$A$3004,$A111,Acuses!$B$5:$B$3004,AF$4)&lt;AF$5,"Pendiente",IF(AF$8=0,"OK",IF(EDATE(_xlfn.MAXIFS(Acuses!$D$5:$D$3004,Acuses!$A$5:$A$3004,$A111,Acuses!$B$5:$B$3004,AF$4,Acuses!$C$5:$C$3004,AF$5),AF$8)&lt;Resumen!$C$4,"Caducado",IF(EDATE(_xlfn.MAXIFS(Acuses!$D$5:$D$3004,Acuses!$A$5:$A$3004,$A111,Acuses!$B$5:$B$3004,AF$4,Acuses!$C$5:$C$3004,AF$5),AF$8)&lt;Resumen!$C$4+30,"Caduca pronto","OK"))))))</f>
        <v/>
      </c>
      <c r="AG111" s="26" t="str">
        <f aca="false">IF(OR($A111="",AG$4=""),"",IF(NOT(OR(AG$6="Toda la plantilla",ISNUMBER(SEARCH(";"&amp;SUBSTITUTE($C111," ","")&amp;";",";"&amp;SUBSTITUTE(AG$7," ","")&amp;";")))),"—",IF(_xlfn.MAXIFS(Acuses!$C$5:$C$3004,Acuses!$A$5:$A$3004,$A111,Acuses!$B$5:$B$3004,AG$4)&lt;AG$5,"Pendiente",IF(AG$8=0,"OK",IF(EDATE(_xlfn.MAXIFS(Acuses!$D$5:$D$3004,Acuses!$A$5:$A$3004,$A111,Acuses!$B$5:$B$3004,AG$4,Acuses!$C$5:$C$3004,AG$5),AG$8)&lt;Resumen!$C$4,"Caducado",IF(EDATE(_xlfn.MAXIFS(Acuses!$D$5:$D$3004,Acuses!$A$5:$A$3004,$A111,Acuses!$B$5:$B$3004,AG$4,Acuses!$C$5:$C$3004,AG$5),AG$8)&lt;Resumen!$C$4+30,"Caduca pronto","OK"))))))</f>
        <v/>
      </c>
      <c r="AH111" s="26" t="str">
        <f aca="false">IF(OR($A111="",AH$4=""),"",IF(NOT(OR(AH$6="Toda la plantilla",ISNUMBER(SEARCH(";"&amp;SUBSTITUTE($C111," ","")&amp;";",";"&amp;SUBSTITUTE(AH$7," ","")&amp;";")))),"—",IF(_xlfn.MAXIFS(Acuses!$C$5:$C$3004,Acuses!$A$5:$A$3004,$A111,Acuses!$B$5:$B$3004,AH$4)&lt;AH$5,"Pendiente",IF(AH$8=0,"OK",IF(EDATE(_xlfn.MAXIFS(Acuses!$D$5:$D$3004,Acuses!$A$5:$A$3004,$A111,Acuses!$B$5:$B$3004,AH$4,Acuses!$C$5:$C$3004,AH$5),AH$8)&lt;Resumen!$C$4,"Caducado",IF(EDATE(_xlfn.MAXIFS(Acuses!$D$5:$D$3004,Acuses!$A$5:$A$3004,$A111,Acuses!$B$5:$B$3004,AH$4,Acuses!$C$5:$C$3004,AH$5),AH$8)&lt;Resumen!$C$4+30,"Caduca pronto","OK"))))))</f>
        <v/>
      </c>
      <c r="AI111" s="26" t="str">
        <f aca="false">IF(OR($A111="",AI$4=""),"",IF(NOT(OR(AI$6="Toda la plantilla",ISNUMBER(SEARCH(";"&amp;SUBSTITUTE($C111," ","")&amp;";",";"&amp;SUBSTITUTE(AI$7," ","")&amp;";")))),"—",IF(_xlfn.MAXIFS(Acuses!$C$5:$C$3004,Acuses!$A$5:$A$3004,$A111,Acuses!$B$5:$B$3004,AI$4)&lt;AI$5,"Pendiente",IF(AI$8=0,"OK",IF(EDATE(_xlfn.MAXIFS(Acuses!$D$5:$D$3004,Acuses!$A$5:$A$3004,$A111,Acuses!$B$5:$B$3004,AI$4,Acuses!$C$5:$C$3004,AI$5),AI$8)&lt;Resumen!$C$4,"Caducado",IF(EDATE(_xlfn.MAXIFS(Acuses!$D$5:$D$3004,Acuses!$A$5:$A$3004,$A111,Acuses!$B$5:$B$3004,AI$4,Acuses!$C$5:$C$3004,AI$5),AI$8)&lt;Resumen!$C$4+30,"Caduca pronto","OK"))))))</f>
        <v/>
      </c>
      <c r="AJ111" s="26" t="str">
        <f aca="false">IF(OR($A111="",AJ$4=""),"",IF(NOT(OR(AJ$6="Toda la plantilla",ISNUMBER(SEARCH(";"&amp;SUBSTITUTE($C111," ","")&amp;";",";"&amp;SUBSTITUTE(AJ$7," ","")&amp;";")))),"—",IF(_xlfn.MAXIFS(Acuses!$C$5:$C$3004,Acuses!$A$5:$A$3004,$A111,Acuses!$B$5:$B$3004,AJ$4)&lt;AJ$5,"Pendiente",IF(AJ$8=0,"OK",IF(EDATE(_xlfn.MAXIFS(Acuses!$D$5:$D$3004,Acuses!$A$5:$A$3004,$A111,Acuses!$B$5:$B$3004,AJ$4,Acuses!$C$5:$C$3004,AJ$5),AJ$8)&lt;Resumen!$C$4,"Caducado",IF(EDATE(_xlfn.MAXIFS(Acuses!$D$5:$D$3004,Acuses!$A$5:$A$3004,$A111,Acuses!$B$5:$B$3004,AJ$4,Acuses!$C$5:$C$3004,AJ$5),AJ$8)&lt;Resumen!$C$4+30,"Caduca pronto","OK"))))))</f>
        <v/>
      </c>
      <c r="AK111" s="26" t="str">
        <f aca="false">IF(OR($A111="",AK$4=""),"",IF(NOT(OR(AK$6="Toda la plantilla",ISNUMBER(SEARCH(";"&amp;SUBSTITUTE($C111," ","")&amp;";",";"&amp;SUBSTITUTE(AK$7," ","")&amp;";")))),"—",IF(_xlfn.MAXIFS(Acuses!$C$5:$C$3004,Acuses!$A$5:$A$3004,$A111,Acuses!$B$5:$B$3004,AK$4)&lt;AK$5,"Pendiente",IF(AK$8=0,"OK",IF(EDATE(_xlfn.MAXIFS(Acuses!$D$5:$D$3004,Acuses!$A$5:$A$3004,$A111,Acuses!$B$5:$B$3004,AK$4,Acuses!$C$5:$C$3004,AK$5),AK$8)&lt;Resumen!$C$4,"Caducado",IF(EDATE(_xlfn.MAXIFS(Acuses!$D$5:$D$3004,Acuses!$A$5:$A$3004,$A111,Acuses!$B$5:$B$3004,AK$4,Acuses!$C$5:$C$3004,AK$5),AK$8)&lt;Resumen!$C$4+30,"Caduca pronto","OK"))))))</f>
        <v/>
      </c>
      <c r="AL111" s="26" t="str">
        <f aca="false">IF(OR($A111="",AL$4=""),"",IF(NOT(OR(AL$6="Toda la plantilla",ISNUMBER(SEARCH(";"&amp;SUBSTITUTE($C111," ","")&amp;";",";"&amp;SUBSTITUTE(AL$7," ","")&amp;";")))),"—",IF(_xlfn.MAXIFS(Acuses!$C$5:$C$3004,Acuses!$A$5:$A$3004,$A111,Acuses!$B$5:$B$3004,AL$4)&lt;AL$5,"Pendiente",IF(AL$8=0,"OK",IF(EDATE(_xlfn.MAXIFS(Acuses!$D$5:$D$3004,Acuses!$A$5:$A$3004,$A111,Acuses!$B$5:$B$3004,AL$4,Acuses!$C$5:$C$3004,AL$5),AL$8)&lt;Resumen!$C$4,"Caducado",IF(EDATE(_xlfn.MAXIFS(Acuses!$D$5:$D$3004,Acuses!$A$5:$A$3004,$A111,Acuses!$B$5:$B$3004,AL$4,Acuses!$C$5:$C$3004,AL$5),AL$8)&lt;Resumen!$C$4+30,"Caduca pronto","OK"))))))</f>
        <v/>
      </c>
      <c r="AM111" s="26" t="str">
        <f aca="false">IF(OR($A111="",AM$4=""),"",IF(NOT(OR(AM$6="Toda la plantilla",ISNUMBER(SEARCH(";"&amp;SUBSTITUTE($C111," ","")&amp;";",";"&amp;SUBSTITUTE(AM$7," ","")&amp;";")))),"—",IF(_xlfn.MAXIFS(Acuses!$C$5:$C$3004,Acuses!$A$5:$A$3004,$A111,Acuses!$B$5:$B$3004,AM$4)&lt;AM$5,"Pendiente",IF(AM$8=0,"OK",IF(EDATE(_xlfn.MAXIFS(Acuses!$D$5:$D$3004,Acuses!$A$5:$A$3004,$A111,Acuses!$B$5:$B$3004,AM$4,Acuses!$C$5:$C$3004,AM$5),AM$8)&lt;Resumen!$C$4,"Caducado",IF(EDATE(_xlfn.MAXIFS(Acuses!$D$5:$D$3004,Acuses!$A$5:$A$3004,$A111,Acuses!$B$5:$B$3004,AM$4,Acuses!$C$5:$C$3004,AM$5),AM$8)&lt;Resumen!$C$4+30,"Caduca pronto","OK"))))))</f>
        <v/>
      </c>
      <c r="AN111" s="26" t="str">
        <f aca="false">IF(OR($A111="",AN$4=""),"",IF(NOT(OR(AN$6="Toda la plantilla",ISNUMBER(SEARCH(";"&amp;SUBSTITUTE($C111," ","")&amp;";",";"&amp;SUBSTITUTE(AN$7," ","")&amp;";")))),"—",IF(_xlfn.MAXIFS(Acuses!$C$5:$C$3004,Acuses!$A$5:$A$3004,$A111,Acuses!$B$5:$B$3004,AN$4)&lt;AN$5,"Pendiente",IF(AN$8=0,"OK",IF(EDATE(_xlfn.MAXIFS(Acuses!$D$5:$D$3004,Acuses!$A$5:$A$3004,$A111,Acuses!$B$5:$B$3004,AN$4,Acuses!$C$5:$C$3004,AN$5),AN$8)&lt;Resumen!$C$4,"Caducado",IF(EDATE(_xlfn.MAXIFS(Acuses!$D$5:$D$3004,Acuses!$A$5:$A$3004,$A111,Acuses!$B$5:$B$3004,AN$4,Acuses!$C$5:$C$3004,AN$5),AN$8)&lt;Resumen!$C$4+30,"Caduca pronto","OK"))))))</f>
        <v/>
      </c>
      <c r="AO111" s="26" t="str">
        <f aca="false">IF(OR($A111="",AO$4=""),"",IF(NOT(OR(AO$6="Toda la plantilla",ISNUMBER(SEARCH(";"&amp;SUBSTITUTE($C111," ","")&amp;";",";"&amp;SUBSTITUTE(AO$7," ","")&amp;";")))),"—",IF(_xlfn.MAXIFS(Acuses!$C$5:$C$3004,Acuses!$A$5:$A$3004,$A111,Acuses!$B$5:$B$3004,AO$4)&lt;AO$5,"Pendiente",IF(AO$8=0,"OK",IF(EDATE(_xlfn.MAXIFS(Acuses!$D$5:$D$3004,Acuses!$A$5:$A$3004,$A111,Acuses!$B$5:$B$3004,AO$4,Acuses!$C$5:$C$3004,AO$5),AO$8)&lt;Resumen!$C$4,"Caducado",IF(EDATE(_xlfn.MAXIFS(Acuses!$D$5:$D$3004,Acuses!$A$5:$A$3004,$A111,Acuses!$B$5:$B$3004,AO$4,Acuses!$C$5:$C$3004,AO$5),AO$8)&lt;Resumen!$C$4+30,"Caduca pronto","OK"))))))</f>
        <v/>
      </c>
      <c r="AP111" s="26" t="str">
        <f aca="false">IF(OR($A111="",AP$4=""),"",IF(NOT(OR(AP$6="Toda la plantilla",ISNUMBER(SEARCH(";"&amp;SUBSTITUTE($C111," ","")&amp;";",";"&amp;SUBSTITUTE(AP$7," ","")&amp;";")))),"—",IF(_xlfn.MAXIFS(Acuses!$C$5:$C$3004,Acuses!$A$5:$A$3004,$A111,Acuses!$B$5:$B$3004,AP$4)&lt;AP$5,"Pendiente",IF(AP$8=0,"OK",IF(EDATE(_xlfn.MAXIFS(Acuses!$D$5:$D$3004,Acuses!$A$5:$A$3004,$A111,Acuses!$B$5:$B$3004,AP$4,Acuses!$C$5:$C$3004,AP$5),AP$8)&lt;Resumen!$C$4,"Caducado",IF(EDATE(_xlfn.MAXIFS(Acuses!$D$5:$D$3004,Acuses!$A$5:$A$3004,$A111,Acuses!$B$5:$B$3004,AP$4,Acuses!$C$5:$C$3004,AP$5),AP$8)&lt;Resumen!$C$4+30,"Caduca pronto","OK"))))))</f>
        <v/>
      </c>
      <c r="AQ111" s="26" t="str">
        <f aca="false">IF(OR($A111="",AQ$4=""),"",IF(NOT(OR(AQ$6="Toda la plantilla",ISNUMBER(SEARCH(";"&amp;SUBSTITUTE($C111," ","")&amp;";",";"&amp;SUBSTITUTE(AQ$7," ","")&amp;";")))),"—",IF(_xlfn.MAXIFS(Acuses!$C$5:$C$3004,Acuses!$A$5:$A$3004,$A111,Acuses!$B$5:$B$3004,AQ$4)&lt;AQ$5,"Pendiente",IF(AQ$8=0,"OK",IF(EDATE(_xlfn.MAXIFS(Acuses!$D$5:$D$3004,Acuses!$A$5:$A$3004,$A111,Acuses!$B$5:$B$3004,AQ$4,Acuses!$C$5:$C$3004,AQ$5),AQ$8)&lt;Resumen!$C$4,"Caducado",IF(EDATE(_xlfn.MAXIFS(Acuses!$D$5:$D$3004,Acuses!$A$5:$A$3004,$A111,Acuses!$B$5:$B$3004,AQ$4,Acuses!$C$5:$C$3004,AQ$5),AQ$8)&lt;Resumen!$C$4+30,"Caduca pronto","OK"))))))</f>
        <v/>
      </c>
    </row>
    <row r="112" customFormat="false" ht="15" hidden="false" customHeight="false" outlineLevel="0" collapsed="false">
      <c r="A112" s="25" t="str">
        <f aca="false">IF(AND(Trabajadores!$A$107&lt;&gt;"",Trabajadores!$G$107&lt;&gt;"No"),Trabajadores!$A$107,"")</f>
        <v/>
      </c>
      <c r="B112" s="25" t="str">
        <f aca="false">IF($A112="","",Trabajadores!$B$107)</f>
        <v/>
      </c>
      <c r="C112" s="25" t="str">
        <f aca="false">IF($A112="","",Trabajadores!$C$107)</f>
        <v/>
      </c>
      <c r="D112" s="26" t="str">
        <f aca="false">IF(OR($A112="",D$4=""),"",IF(NOT(OR(D$6="Toda la plantilla",ISNUMBER(SEARCH(";"&amp;SUBSTITUTE($C112," ","")&amp;";",";"&amp;SUBSTITUTE(D$7," ","")&amp;";")))),"—",IF(_xlfn.MAXIFS(Acuses!$C$5:$C$3004,Acuses!$A$5:$A$3004,$A112,Acuses!$B$5:$B$3004,D$4)&lt;D$5,"Pendiente",IF(D$8=0,"OK",IF(EDATE(_xlfn.MAXIFS(Acuses!$D$5:$D$3004,Acuses!$A$5:$A$3004,$A112,Acuses!$B$5:$B$3004,D$4,Acuses!$C$5:$C$3004,D$5),D$8)&lt;Resumen!$C$4,"Caducado",IF(EDATE(_xlfn.MAXIFS(Acuses!$D$5:$D$3004,Acuses!$A$5:$A$3004,$A112,Acuses!$B$5:$B$3004,D$4,Acuses!$C$5:$C$3004,D$5),D$8)&lt;Resumen!$C$4+30,"Caduca pronto","OK"))))))</f>
        <v/>
      </c>
      <c r="E112" s="26" t="str">
        <f aca="false">IF(OR($A112="",E$4=""),"",IF(NOT(OR(E$6="Toda la plantilla",ISNUMBER(SEARCH(";"&amp;SUBSTITUTE($C112," ","")&amp;";",";"&amp;SUBSTITUTE(E$7," ","")&amp;";")))),"—",IF(_xlfn.MAXIFS(Acuses!$C$5:$C$3004,Acuses!$A$5:$A$3004,$A112,Acuses!$B$5:$B$3004,E$4)&lt;E$5,"Pendiente",IF(E$8=0,"OK",IF(EDATE(_xlfn.MAXIFS(Acuses!$D$5:$D$3004,Acuses!$A$5:$A$3004,$A112,Acuses!$B$5:$B$3004,E$4,Acuses!$C$5:$C$3004,E$5),E$8)&lt;Resumen!$C$4,"Caducado",IF(EDATE(_xlfn.MAXIFS(Acuses!$D$5:$D$3004,Acuses!$A$5:$A$3004,$A112,Acuses!$B$5:$B$3004,E$4,Acuses!$C$5:$C$3004,E$5),E$8)&lt;Resumen!$C$4+30,"Caduca pronto","OK"))))))</f>
        <v/>
      </c>
      <c r="F112" s="26" t="str">
        <f aca="false">IF(OR($A112="",F$4=""),"",IF(NOT(OR(F$6="Toda la plantilla",ISNUMBER(SEARCH(";"&amp;SUBSTITUTE($C112," ","")&amp;";",";"&amp;SUBSTITUTE(F$7," ","")&amp;";")))),"—",IF(_xlfn.MAXIFS(Acuses!$C$5:$C$3004,Acuses!$A$5:$A$3004,$A112,Acuses!$B$5:$B$3004,F$4)&lt;F$5,"Pendiente",IF(F$8=0,"OK",IF(EDATE(_xlfn.MAXIFS(Acuses!$D$5:$D$3004,Acuses!$A$5:$A$3004,$A112,Acuses!$B$5:$B$3004,F$4,Acuses!$C$5:$C$3004,F$5),F$8)&lt;Resumen!$C$4,"Caducado",IF(EDATE(_xlfn.MAXIFS(Acuses!$D$5:$D$3004,Acuses!$A$5:$A$3004,$A112,Acuses!$B$5:$B$3004,F$4,Acuses!$C$5:$C$3004,F$5),F$8)&lt;Resumen!$C$4+30,"Caduca pronto","OK"))))))</f>
        <v/>
      </c>
      <c r="G112" s="26" t="str">
        <f aca="false">IF(OR($A112="",G$4=""),"",IF(NOT(OR(G$6="Toda la plantilla",ISNUMBER(SEARCH(";"&amp;SUBSTITUTE($C112," ","")&amp;";",";"&amp;SUBSTITUTE(G$7," ","")&amp;";")))),"—",IF(_xlfn.MAXIFS(Acuses!$C$5:$C$3004,Acuses!$A$5:$A$3004,$A112,Acuses!$B$5:$B$3004,G$4)&lt;G$5,"Pendiente",IF(G$8=0,"OK",IF(EDATE(_xlfn.MAXIFS(Acuses!$D$5:$D$3004,Acuses!$A$5:$A$3004,$A112,Acuses!$B$5:$B$3004,G$4,Acuses!$C$5:$C$3004,G$5),G$8)&lt;Resumen!$C$4,"Caducado",IF(EDATE(_xlfn.MAXIFS(Acuses!$D$5:$D$3004,Acuses!$A$5:$A$3004,$A112,Acuses!$B$5:$B$3004,G$4,Acuses!$C$5:$C$3004,G$5),G$8)&lt;Resumen!$C$4+30,"Caduca pronto","OK"))))))</f>
        <v/>
      </c>
      <c r="H112" s="26" t="str">
        <f aca="false">IF(OR($A112="",H$4=""),"",IF(NOT(OR(H$6="Toda la plantilla",ISNUMBER(SEARCH(";"&amp;SUBSTITUTE($C112," ","")&amp;";",";"&amp;SUBSTITUTE(H$7," ","")&amp;";")))),"—",IF(_xlfn.MAXIFS(Acuses!$C$5:$C$3004,Acuses!$A$5:$A$3004,$A112,Acuses!$B$5:$B$3004,H$4)&lt;H$5,"Pendiente",IF(H$8=0,"OK",IF(EDATE(_xlfn.MAXIFS(Acuses!$D$5:$D$3004,Acuses!$A$5:$A$3004,$A112,Acuses!$B$5:$B$3004,H$4,Acuses!$C$5:$C$3004,H$5),H$8)&lt;Resumen!$C$4,"Caducado",IF(EDATE(_xlfn.MAXIFS(Acuses!$D$5:$D$3004,Acuses!$A$5:$A$3004,$A112,Acuses!$B$5:$B$3004,H$4,Acuses!$C$5:$C$3004,H$5),H$8)&lt;Resumen!$C$4+30,"Caduca pronto","OK"))))))</f>
        <v/>
      </c>
      <c r="I112" s="26" t="str">
        <f aca="false">IF(OR($A112="",I$4=""),"",IF(NOT(OR(I$6="Toda la plantilla",ISNUMBER(SEARCH(";"&amp;SUBSTITUTE($C112," ","")&amp;";",";"&amp;SUBSTITUTE(I$7," ","")&amp;";")))),"—",IF(_xlfn.MAXIFS(Acuses!$C$5:$C$3004,Acuses!$A$5:$A$3004,$A112,Acuses!$B$5:$B$3004,I$4)&lt;I$5,"Pendiente",IF(I$8=0,"OK",IF(EDATE(_xlfn.MAXIFS(Acuses!$D$5:$D$3004,Acuses!$A$5:$A$3004,$A112,Acuses!$B$5:$B$3004,I$4,Acuses!$C$5:$C$3004,I$5),I$8)&lt;Resumen!$C$4,"Caducado",IF(EDATE(_xlfn.MAXIFS(Acuses!$D$5:$D$3004,Acuses!$A$5:$A$3004,$A112,Acuses!$B$5:$B$3004,I$4,Acuses!$C$5:$C$3004,I$5),I$8)&lt;Resumen!$C$4+30,"Caduca pronto","OK"))))))</f>
        <v/>
      </c>
      <c r="J112" s="26" t="str">
        <f aca="false">IF(OR($A112="",J$4=""),"",IF(NOT(OR(J$6="Toda la plantilla",ISNUMBER(SEARCH(";"&amp;SUBSTITUTE($C112," ","")&amp;";",";"&amp;SUBSTITUTE(J$7," ","")&amp;";")))),"—",IF(_xlfn.MAXIFS(Acuses!$C$5:$C$3004,Acuses!$A$5:$A$3004,$A112,Acuses!$B$5:$B$3004,J$4)&lt;J$5,"Pendiente",IF(J$8=0,"OK",IF(EDATE(_xlfn.MAXIFS(Acuses!$D$5:$D$3004,Acuses!$A$5:$A$3004,$A112,Acuses!$B$5:$B$3004,J$4,Acuses!$C$5:$C$3004,J$5),J$8)&lt;Resumen!$C$4,"Caducado",IF(EDATE(_xlfn.MAXIFS(Acuses!$D$5:$D$3004,Acuses!$A$5:$A$3004,$A112,Acuses!$B$5:$B$3004,J$4,Acuses!$C$5:$C$3004,J$5),J$8)&lt;Resumen!$C$4+30,"Caduca pronto","OK"))))))</f>
        <v/>
      </c>
      <c r="K112" s="26" t="str">
        <f aca="false">IF(OR($A112="",K$4=""),"",IF(NOT(OR(K$6="Toda la plantilla",ISNUMBER(SEARCH(";"&amp;SUBSTITUTE($C112," ","")&amp;";",";"&amp;SUBSTITUTE(K$7," ","")&amp;";")))),"—",IF(_xlfn.MAXIFS(Acuses!$C$5:$C$3004,Acuses!$A$5:$A$3004,$A112,Acuses!$B$5:$B$3004,K$4)&lt;K$5,"Pendiente",IF(K$8=0,"OK",IF(EDATE(_xlfn.MAXIFS(Acuses!$D$5:$D$3004,Acuses!$A$5:$A$3004,$A112,Acuses!$B$5:$B$3004,K$4,Acuses!$C$5:$C$3004,K$5),K$8)&lt;Resumen!$C$4,"Caducado",IF(EDATE(_xlfn.MAXIFS(Acuses!$D$5:$D$3004,Acuses!$A$5:$A$3004,$A112,Acuses!$B$5:$B$3004,K$4,Acuses!$C$5:$C$3004,K$5),K$8)&lt;Resumen!$C$4+30,"Caduca pronto","OK"))))))</f>
        <v/>
      </c>
      <c r="L112" s="26" t="str">
        <f aca="false">IF(OR($A112="",L$4=""),"",IF(NOT(OR(L$6="Toda la plantilla",ISNUMBER(SEARCH(";"&amp;SUBSTITUTE($C112," ","")&amp;";",";"&amp;SUBSTITUTE(L$7," ","")&amp;";")))),"—",IF(_xlfn.MAXIFS(Acuses!$C$5:$C$3004,Acuses!$A$5:$A$3004,$A112,Acuses!$B$5:$B$3004,L$4)&lt;L$5,"Pendiente",IF(L$8=0,"OK",IF(EDATE(_xlfn.MAXIFS(Acuses!$D$5:$D$3004,Acuses!$A$5:$A$3004,$A112,Acuses!$B$5:$B$3004,L$4,Acuses!$C$5:$C$3004,L$5),L$8)&lt;Resumen!$C$4,"Caducado",IF(EDATE(_xlfn.MAXIFS(Acuses!$D$5:$D$3004,Acuses!$A$5:$A$3004,$A112,Acuses!$B$5:$B$3004,L$4,Acuses!$C$5:$C$3004,L$5),L$8)&lt;Resumen!$C$4+30,"Caduca pronto","OK"))))))</f>
        <v/>
      </c>
      <c r="M112" s="26" t="str">
        <f aca="false">IF(OR($A112="",M$4=""),"",IF(NOT(OR(M$6="Toda la plantilla",ISNUMBER(SEARCH(";"&amp;SUBSTITUTE($C112," ","")&amp;";",";"&amp;SUBSTITUTE(M$7," ","")&amp;";")))),"—",IF(_xlfn.MAXIFS(Acuses!$C$5:$C$3004,Acuses!$A$5:$A$3004,$A112,Acuses!$B$5:$B$3004,M$4)&lt;M$5,"Pendiente",IF(M$8=0,"OK",IF(EDATE(_xlfn.MAXIFS(Acuses!$D$5:$D$3004,Acuses!$A$5:$A$3004,$A112,Acuses!$B$5:$B$3004,M$4,Acuses!$C$5:$C$3004,M$5),M$8)&lt;Resumen!$C$4,"Caducado",IF(EDATE(_xlfn.MAXIFS(Acuses!$D$5:$D$3004,Acuses!$A$5:$A$3004,$A112,Acuses!$B$5:$B$3004,M$4,Acuses!$C$5:$C$3004,M$5),M$8)&lt;Resumen!$C$4+30,"Caduca pronto","OK"))))))</f>
        <v/>
      </c>
      <c r="N112" s="26" t="str">
        <f aca="false">IF(OR($A112="",N$4=""),"",IF(NOT(OR(N$6="Toda la plantilla",ISNUMBER(SEARCH(";"&amp;SUBSTITUTE($C112," ","")&amp;";",";"&amp;SUBSTITUTE(N$7," ","")&amp;";")))),"—",IF(_xlfn.MAXIFS(Acuses!$C$5:$C$3004,Acuses!$A$5:$A$3004,$A112,Acuses!$B$5:$B$3004,N$4)&lt;N$5,"Pendiente",IF(N$8=0,"OK",IF(EDATE(_xlfn.MAXIFS(Acuses!$D$5:$D$3004,Acuses!$A$5:$A$3004,$A112,Acuses!$B$5:$B$3004,N$4,Acuses!$C$5:$C$3004,N$5),N$8)&lt;Resumen!$C$4,"Caducado",IF(EDATE(_xlfn.MAXIFS(Acuses!$D$5:$D$3004,Acuses!$A$5:$A$3004,$A112,Acuses!$B$5:$B$3004,N$4,Acuses!$C$5:$C$3004,N$5),N$8)&lt;Resumen!$C$4+30,"Caduca pronto","OK"))))))</f>
        <v/>
      </c>
      <c r="O112" s="26" t="str">
        <f aca="false">IF(OR($A112="",O$4=""),"",IF(NOT(OR(O$6="Toda la plantilla",ISNUMBER(SEARCH(";"&amp;SUBSTITUTE($C112," ","")&amp;";",";"&amp;SUBSTITUTE(O$7," ","")&amp;";")))),"—",IF(_xlfn.MAXIFS(Acuses!$C$5:$C$3004,Acuses!$A$5:$A$3004,$A112,Acuses!$B$5:$B$3004,O$4)&lt;O$5,"Pendiente",IF(O$8=0,"OK",IF(EDATE(_xlfn.MAXIFS(Acuses!$D$5:$D$3004,Acuses!$A$5:$A$3004,$A112,Acuses!$B$5:$B$3004,O$4,Acuses!$C$5:$C$3004,O$5),O$8)&lt;Resumen!$C$4,"Caducado",IF(EDATE(_xlfn.MAXIFS(Acuses!$D$5:$D$3004,Acuses!$A$5:$A$3004,$A112,Acuses!$B$5:$B$3004,O$4,Acuses!$C$5:$C$3004,O$5),O$8)&lt;Resumen!$C$4+30,"Caduca pronto","OK"))))))</f>
        <v/>
      </c>
      <c r="P112" s="26" t="str">
        <f aca="false">IF(OR($A112="",P$4=""),"",IF(NOT(OR(P$6="Toda la plantilla",ISNUMBER(SEARCH(";"&amp;SUBSTITUTE($C112," ","")&amp;";",";"&amp;SUBSTITUTE(P$7," ","")&amp;";")))),"—",IF(_xlfn.MAXIFS(Acuses!$C$5:$C$3004,Acuses!$A$5:$A$3004,$A112,Acuses!$B$5:$B$3004,P$4)&lt;P$5,"Pendiente",IF(P$8=0,"OK",IF(EDATE(_xlfn.MAXIFS(Acuses!$D$5:$D$3004,Acuses!$A$5:$A$3004,$A112,Acuses!$B$5:$B$3004,P$4,Acuses!$C$5:$C$3004,P$5),P$8)&lt;Resumen!$C$4,"Caducado",IF(EDATE(_xlfn.MAXIFS(Acuses!$D$5:$D$3004,Acuses!$A$5:$A$3004,$A112,Acuses!$B$5:$B$3004,P$4,Acuses!$C$5:$C$3004,P$5),P$8)&lt;Resumen!$C$4+30,"Caduca pronto","OK"))))))</f>
        <v/>
      </c>
      <c r="Q112" s="26" t="str">
        <f aca="false">IF(OR($A112="",Q$4=""),"",IF(NOT(OR(Q$6="Toda la plantilla",ISNUMBER(SEARCH(";"&amp;SUBSTITUTE($C112," ","")&amp;";",";"&amp;SUBSTITUTE(Q$7," ","")&amp;";")))),"—",IF(_xlfn.MAXIFS(Acuses!$C$5:$C$3004,Acuses!$A$5:$A$3004,$A112,Acuses!$B$5:$B$3004,Q$4)&lt;Q$5,"Pendiente",IF(Q$8=0,"OK",IF(EDATE(_xlfn.MAXIFS(Acuses!$D$5:$D$3004,Acuses!$A$5:$A$3004,$A112,Acuses!$B$5:$B$3004,Q$4,Acuses!$C$5:$C$3004,Q$5),Q$8)&lt;Resumen!$C$4,"Caducado",IF(EDATE(_xlfn.MAXIFS(Acuses!$D$5:$D$3004,Acuses!$A$5:$A$3004,$A112,Acuses!$B$5:$B$3004,Q$4,Acuses!$C$5:$C$3004,Q$5),Q$8)&lt;Resumen!$C$4+30,"Caduca pronto","OK"))))))</f>
        <v/>
      </c>
      <c r="R112" s="26" t="str">
        <f aca="false">IF(OR($A112="",R$4=""),"",IF(NOT(OR(R$6="Toda la plantilla",ISNUMBER(SEARCH(";"&amp;SUBSTITUTE($C112," ","")&amp;";",";"&amp;SUBSTITUTE(R$7," ","")&amp;";")))),"—",IF(_xlfn.MAXIFS(Acuses!$C$5:$C$3004,Acuses!$A$5:$A$3004,$A112,Acuses!$B$5:$B$3004,R$4)&lt;R$5,"Pendiente",IF(R$8=0,"OK",IF(EDATE(_xlfn.MAXIFS(Acuses!$D$5:$D$3004,Acuses!$A$5:$A$3004,$A112,Acuses!$B$5:$B$3004,R$4,Acuses!$C$5:$C$3004,R$5),R$8)&lt;Resumen!$C$4,"Caducado",IF(EDATE(_xlfn.MAXIFS(Acuses!$D$5:$D$3004,Acuses!$A$5:$A$3004,$A112,Acuses!$B$5:$B$3004,R$4,Acuses!$C$5:$C$3004,R$5),R$8)&lt;Resumen!$C$4+30,"Caduca pronto","OK"))))))</f>
        <v/>
      </c>
      <c r="S112" s="26" t="str">
        <f aca="false">IF(OR($A112="",S$4=""),"",IF(NOT(OR(S$6="Toda la plantilla",ISNUMBER(SEARCH(";"&amp;SUBSTITUTE($C112," ","")&amp;";",";"&amp;SUBSTITUTE(S$7," ","")&amp;";")))),"—",IF(_xlfn.MAXIFS(Acuses!$C$5:$C$3004,Acuses!$A$5:$A$3004,$A112,Acuses!$B$5:$B$3004,S$4)&lt;S$5,"Pendiente",IF(S$8=0,"OK",IF(EDATE(_xlfn.MAXIFS(Acuses!$D$5:$D$3004,Acuses!$A$5:$A$3004,$A112,Acuses!$B$5:$B$3004,S$4,Acuses!$C$5:$C$3004,S$5),S$8)&lt;Resumen!$C$4,"Caducado",IF(EDATE(_xlfn.MAXIFS(Acuses!$D$5:$D$3004,Acuses!$A$5:$A$3004,$A112,Acuses!$B$5:$B$3004,S$4,Acuses!$C$5:$C$3004,S$5),S$8)&lt;Resumen!$C$4+30,"Caduca pronto","OK"))))))</f>
        <v/>
      </c>
      <c r="T112" s="26" t="str">
        <f aca="false">IF(OR($A112="",T$4=""),"",IF(NOT(OR(T$6="Toda la plantilla",ISNUMBER(SEARCH(";"&amp;SUBSTITUTE($C112," ","")&amp;";",";"&amp;SUBSTITUTE(T$7," ","")&amp;";")))),"—",IF(_xlfn.MAXIFS(Acuses!$C$5:$C$3004,Acuses!$A$5:$A$3004,$A112,Acuses!$B$5:$B$3004,T$4)&lt;T$5,"Pendiente",IF(T$8=0,"OK",IF(EDATE(_xlfn.MAXIFS(Acuses!$D$5:$D$3004,Acuses!$A$5:$A$3004,$A112,Acuses!$B$5:$B$3004,T$4,Acuses!$C$5:$C$3004,T$5),T$8)&lt;Resumen!$C$4,"Caducado",IF(EDATE(_xlfn.MAXIFS(Acuses!$D$5:$D$3004,Acuses!$A$5:$A$3004,$A112,Acuses!$B$5:$B$3004,T$4,Acuses!$C$5:$C$3004,T$5),T$8)&lt;Resumen!$C$4+30,"Caduca pronto","OK"))))))</f>
        <v/>
      </c>
      <c r="U112" s="26" t="str">
        <f aca="false">IF(OR($A112="",U$4=""),"",IF(NOT(OR(U$6="Toda la plantilla",ISNUMBER(SEARCH(";"&amp;SUBSTITUTE($C112," ","")&amp;";",";"&amp;SUBSTITUTE(U$7," ","")&amp;";")))),"—",IF(_xlfn.MAXIFS(Acuses!$C$5:$C$3004,Acuses!$A$5:$A$3004,$A112,Acuses!$B$5:$B$3004,U$4)&lt;U$5,"Pendiente",IF(U$8=0,"OK",IF(EDATE(_xlfn.MAXIFS(Acuses!$D$5:$D$3004,Acuses!$A$5:$A$3004,$A112,Acuses!$B$5:$B$3004,U$4,Acuses!$C$5:$C$3004,U$5),U$8)&lt;Resumen!$C$4,"Caducado",IF(EDATE(_xlfn.MAXIFS(Acuses!$D$5:$D$3004,Acuses!$A$5:$A$3004,$A112,Acuses!$B$5:$B$3004,U$4,Acuses!$C$5:$C$3004,U$5),U$8)&lt;Resumen!$C$4+30,"Caduca pronto","OK"))))))</f>
        <v/>
      </c>
      <c r="V112" s="26" t="str">
        <f aca="false">IF(OR($A112="",V$4=""),"",IF(NOT(OR(V$6="Toda la plantilla",ISNUMBER(SEARCH(";"&amp;SUBSTITUTE($C112," ","")&amp;";",";"&amp;SUBSTITUTE(V$7," ","")&amp;";")))),"—",IF(_xlfn.MAXIFS(Acuses!$C$5:$C$3004,Acuses!$A$5:$A$3004,$A112,Acuses!$B$5:$B$3004,V$4)&lt;V$5,"Pendiente",IF(V$8=0,"OK",IF(EDATE(_xlfn.MAXIFS(Acuses!$D$5:$D$3004,Acuses!$A$5:$A$3004,$A112,Acuses!$B$5:$B$3004,V$4,Acuses!$C$5:$C$3004,V$5),V$8)&lt;Resumen!$C$4,"Caducado",IF(EDATE(_xlfn.MAXIFS(Acuses!$D$5:$D$3004,Acuses!$A$5:$A$3004,$A112,Acuses!$B$5:$B$3004,V$4,Acuses!$C$5:$C$3004,V$5),V$8)&lt;Resumen!$C$4+30,"Caduca pronto","OK"))))))</f>
        <v/>
      </c>
      <c r="W112" s="26" t="str">
        <f aca="false">IF(OR($A112="",W$4=""),"",IF(NOT(OR(W$6="Toda la plantilla",ISNUMBER(SEARCH(";"&amp;SUBSTITUTE($C112," ","")&amp;";",";"&amp;SUBSTITUTE(W$7," ","")&amp;";")))),"—",IF(_xlfn.MAXIFS(Acuses!$C$5:$C$3004,Acuses!$A$5:$A$3004,$A112,Acuses!$B$5:$B$3004,W$4)&lt;W$5,"Pendiente",IF(W$8=0,"OK",IF(EDATE(_xlfn.MAXIFS(Acuses!$D$5:$D$3004,Acuses!$A$5:$A$3004,$A112,Acuses!$B$5:$B$3004,W$4,Acuses!$C$5:$C$3004,W$5),W$8)&lt;Resumen!$C$4,"Caducado",IF(EDATE(_xlfn.MAXIFS(Acuses!$D$5:$D$3004,Acuses!$A$5:$A$3004,$A112,Acuses!$B$5:$B$3004,W$4,Acuses!$C$5:$C$3004,W$5),W$8)&lt;Resumen!$C$4+30,"Caduca pronto","OK"))))))</f>
        <v/>
      </c>
      <c r="X112" s="26" t="str">
        <f aca="false">IF(OR($A112="",X$4=""),"",IF(NOT(OR(X$6="Toda la plantilla",ISNUMBER(SEARCH(";"&amp;SUBSTITUTE($C112," ","")&amp;";",";"&amp;SUBSTITUTE(X$7," ","")&amp;";")))),"—",IF(_xlfn.MAXIFS(Acuses!$C$5:$C$3004,Acuses!$A$5:$A$3004,$A112,Acuses!$B$5:$B$3004,X$4)&lt;X$5,"Pendiente",IF(X$8=0,"OK",IF(EDATE(_xlfn.MAXIFS(Acuses!$D$5:$D$3004,Acuses!$A$5:$A$3004,$A112,Acuses!$B$5:$B$3004,X$4,Acuses!$C$5:$C$3004,X$5),X$8)&lt;Resumen!$C$4,"Caducado",IF(EDATE(_xlfn.MAXIFS(Acuses!$D$5:$D$3004,Acuses!$A$5:$A$3004,$A112,Acuses!$B$5:$B$3004,X$4,Acuses!$C$5:$C$3004,X$5),X$8)&lt;Resumen!$C$4+30,"Caduca pronto","OK"))))))</f>
        <v/>
      </c>
      <c r="Y112" s="26" t="str">
        <f aca="false">IF(OR($A112="",Y$4=""),"",IF(NOT(OR(Y$6="Toda la plantilla",ISNUMBER(SEARCH(";"&amp;SUBSTITUTE($C112," ","")&amp;";",";"&amp;SUBSTITUTE(Y$7," ","")&amp;";")))),"—",IF(_xlfn.MAXIFS(Acuses!$C$5:$C$3004,Acuses!$A$5:$A$3004,$A112,Acuses!$B$5:$B$3004,Y$4)&lt;Y$5,"Pendiente",IF(Y$8=0,"OK",IF(EDATE(_xlfn.MAXIFS(Acuses!$D$5:$D$3004,Acuses!$A$5:$A$3004,$A112,Acuses!$B$5:$B$3004,Y$4,Acuses!$C$5:$C$3004,Y$5),Y$8)&lt;Resumen!$C$4,"Caducado",IF(EDATE(_xlfn.MAXIFS(Acuses!$D$5:$D$3004,Acuses!$A$5:$A$3004,$A112,Acuses!$B$5:$B$3004,Y$4,Acuses!$C$5:$C$3004,Y$5),Y$8)&lt;Resumen!$C$4+30,"Caduca pronto","OK"))))))</f>
        <v/>
      </c>
      <c r="Z112" s="26" t="str">
        <f aca="false">IF(OR($A112="",Z$4=""),"",IF(NOT(OR(Z$6="Toda la plantilla",ISNUMBER(SEARCH(";"&amp;SUBSTITUTE($C112," ","")&amp;";",";"&amp;SUBSTITUTE(Z$7," ","")&amp;";")))),"—",IF(_xlfn.MAXIFS(Acuses!$C$5:$C$3004,Acuses!$A$5:$A$3004,$A112,Acuses!$B$5:$B$3004,Z$4)&lt;Z$5,"Pendiente",IF(Z$8=0,"OK",IF(EDATE(_xlfn.MAXIFS(Acuses!$D$5:$D$3004,Acuses!$A$5:$A$3004,$A112,Acuses!$B$5:$B$3004,Z$4,Acuses!$C$5:$C$3004,Z$5),Z$8)&lt;Resumen!$C$4,"Caducado",IF(EDATE(_xlfn.MAXIFS(Acuses!$D$5:$D$3004,Acuses!$A$5:$A$3004,$A112,Acuses!$B$5:$B$3004,Z$4,Acuses!$C$5:$C$3004,Z$5),Z$8)&lt;Resumen!$C$4+30,"Caduca pronto","OK"))))))</f>
        <v/>
      </c>
      <c r="AA112" s="26" t="str">
        <f aca="false">IF(OR($A112="",AA$4=""),"",IF(NOT(OR(AA$6="Toda la plantilla",ISNUMBER(SEARCH(";"&amp;SUBSTITUTE($C112," ","")&amp;";",";"&amp;SUBSTITUTE(AA$7," ","")&amp;";")))),"—",IF(_xlfn.MAXIFS(Acuses!$C$5:$C$3004,Acuses!$A$5:$A$3004,$A112,Acuses!$B$5:$B$3004,AA$4)&lt;AA$5,"Pendiente",IF(AA$8=0,"OK",IF(EDATE(_xlfn.MAXIFS(Acuses!$D$5:$D$3004,Acuses!$A$5:$A$3004,$A112,Acuses!$B$5:$B$3004,AA$4,Acuses!$C$5:$C$3004,AA$5),AA$8)&lt;Resumen!$C$4,"Caducado",IF(EDATE(_xlfn.MAXIFS(Acuses!$D$5:$D$3004,Acuses!$A$5:$A$3004,$A112,Acuses!$B$5:$B$3004,AA$4,Acuses!$C$5:$C$3004,AA$5),AA$8)&lt;Resumen!$C$4+30,"Caduca pronto","OK"))))))</f>
        <v/>
      </c>
      <c r="AB112" s="26" t="str">
        <f aca="false">IF(OR($A112="",AB$4=""),"",IF(NOT(OR(AB$6="Toda la plantilla",ISNUMBER(SEARCH(";"&amp;SUBSTITUTE($C112," ","")&amp;";",";"&amp;SUBSTITUTE(AB$7," ","")&amp;";")))),"—",IF(_xlfn.MAXIFS(Acuses!$C$5:$C$3004,Acuses!$A$5:$A$3004,$A112,Acuses!$B$5:$B$3004,AB$4)&lt;AB$5,"Pendiente",IF(AB$8=0,"OK",IF(EDATE(_xlfn.MAXIFS(Acuses!$D$5:$D$3004,Acuses!$A$5:$A$3004,$A112,Acuses!$B$5:$B$3004,AB$4,Acuses!$C$5:$C$3004,AB$5),AB$8)&lt;Resumen!$C$4,"Caducado",IF(EDATE(_xlfn.MAXIFS(Acuses!$D$5:$D$3004,Acuses!$A$5:$A$3004,$A112,Acuses!$B$5:$B$3004,AB$4,Acuses!$C$5:$C$3004,AB$5),AB$8)&lt;Resumen!$C$4+30,"Caduca pronto","OK"))))))</f>
        <v/>
      </c>
      <c r="AC112" s="26" t="str">
        <f aca="false">IF(OR($A112="",AC$4=""),"",IF(NOT(OR(AC$6="Toda la plantilla",ISNUMBER(SEARCH(";"&amp;SUBSTITUTE($C112," ","")&amp;";",";"&amp;SUBSTITUTE(AC$7," ","")&amp;";")))),"—",IF(_xlfn.MAXIFS(Acuses!$C$5:$C$3004,Acuses!$A$5:$A$3004,$A112,Acuses!$B$5:$B$3004,AC$4)&lt;AC$5,"Pendiente",IF(AC$8=0,"OK",IF(EDATE(_xlfn.MAXIFS(Acuses!$D$5:$D$3004,Acuses!$A$5:$A$3004,$A112,Acuses!$B$5:$B$3004,AC$4,Acuses!$C$5:$C$3004,AC$5),AC$8)&lt;Resumen!$C$4,"Caducado",IF(EDATE(_xlfn.MAXIFS(Acuses!$D$5:$D$3004,Acuses!$A$5:$A$3004,$A112,Acuses!$B$5:$B$3004,AC$4,Acuses!$C$5:$C$3004,AC$5),AC$8)&lt;Resumen!$C$4+30,"Caduca pronto","OK"))))))</f>
        <v/>
      </c>
      <c r="AD112" s="26" t="str">
        <f aca="false">IF(OR($A112="",AD$4=""),"",IF(NOT(OR(AD$6="Toda la plantilla",ISNUMBER(SEARCH(";"&amp;SUBSTITUTE($C112," ","")&amp;";",";"&amp;SUBSTITUTE(AD$7," ","")&amp;";")))),"—",IF(_xlfn.MAXIFS(Acuses!$C$5:$C$3004,Acuses!$A$5:$A$3004,$A112,Acuses!$B$5:$B$3004,AD$4)&lt;AD$5,"Pendiente",IF(AD$8=0,"OK",IF(EDATE(_xlfn.MAXIFS(Acuses!$D$5:$D$3004,Acuses!$A$5:$A$3004,$A112,Acuses!$B$5:$B$3004,AD$4,Acuses!$C$5:$C$3004,AD$5),AD$8)&lt;Resumen!$C$4,"Caducado",IF(EDATE(_xlfn.MAXIFS(Acuses!$D$5:$D$3004,Acuses!$A$5:$A$3004,$A112,Acuses!$B$5:$B$3004,AD$4,Acuses!$C$5:$C$3004,AD$5),AD$8)&lt;Resumen!$C$4+30,"Caduca pronto","OK"))))))</f>
        <v/>
      </c>
      <c r="AE112" s="26" t="str">
        <f aca="false">IF(OR($A112="",AE$4=""),"",IF(NOT(OR(AE$6="Toda la plantilla",ISNUMBER(SEARCH(";"&amp;SUBSTITUTE($C112," ","")&amp;";",";"&amp;SUBSTITUTE(AE$7," ","")&amp;";")))),"—",IF(_xlfn.MAXIFS(Acuses!$C$5:$C$3004,Acuses!$A$5:$A$3004,$A112,Acuses!$B$5:$B$3004,AE$4)&lt;AE$5,"Pendiente",IF(AE$8=0,"OK",IF(EDATE(_xlfn.MAXIFS(Acuses!$D$5:$D$3004,Acuses!$A$5:$A$3004,$A112,Acuses!$B$5:$B$3004,AE$4,Acuses!$C$5:$C$3004,AE$5),AE$8)&lt;Resumen!$C$4,"Caducado",IF(EDATE(_xlfn.MAXIFS(Acuses!$D$5:$D$3004,Acuses!$A$5:$A$3004,$A112,Acuses!$B$5:$B$3004,AE$4,Acuses!$C$5:$C$3004,AE$5),AE$8)&lt;Resumen!$C$4+30,"Caduca pronto","OK"))))))</f>
        <v/>
      </c>
      <c r="AF112" s="26" t="str">
        <f aca="false">IF(OR($A112="",AF$4=""),"",IF(NOT(OR(AF$6="Toda la plantilla",ISNUMBER(SEARCH(";"&amp;SUBSTITUTE($C112," ","")&amp;";",";"&amp;SUBSTITUTE(AF$7," ","")&amp;";")))),"—",IF(_xlfn.MAXIFS(Acuses!$C$5:$C$3004,Acuses!$A$5:$A$3004,$A112,Acuses!$B$5:$B$3004,AF$4)&lt;AF$5,"Pendiente",IF(AF$8=0,"OK",IF(EDATE(_xlfn.MAXIFS(Acuses!$D$5:$D$3004,Acuses!$A$5:$A$3004,$A112,Acuses!$B$5:$B$3004,AF$4,Acuses!$C$5:$C$3004,AF$5),AF$8)&lt;Resumen!$C$4,"Caducado",IF(EDATE(_xlfn.MAXIFS(Acuses!$D$5:$D$3004,Acuses!$A$5:$A$3004,$A112,Acuses!$B$5:$B$3004,AF$4,Acuses!$C$5:$C$3004,AF$5),AF$8)&lt;Resumen!$C$4+30,"Caduca pronto","OK"))))))</f>
        <v/>
      </c>
      <c r="AG112" s="26" t="str">
        <f aca="false">IF(OR($A112="",AG$4=""),"",IF(NOT(OR(AG$6="Toda la plantilla",ISNUMBER(SEARCH(";"&amp;SUBSTITUTE($C112," ","")&amp;";",";"&amp;SUBSTITUTE(AG$7," ","")&amp;";")))),"—",IF(_xlfn.MAXIFS(Acuses!$C$5:$C$3004,Acuses!$A$5:$A$3004,$A112,Acuses!$B$5:$B$3004,AG$4)&lt;AG$5,"Pendiente",IF(AG$8=0,"OK",IF(EDATE(_xlfn.MAXIFS(Acuses!$D$5:$D$3004,Acuses!$A$5:$A$3004,$A112,Acuses!$B$5:$B$3004,AG$4,Acuses!$C$5:$C$3004,AG$5),AG$8)&lt;Resumen!$C$4,"Caducado",IF(EDATE(_xlfn.MAXIFS(Acuses!$D$5:$D$3004,Acuses!$A$5:$A$3004,$A112,Acuses!$B$5:$B$3004,AG$4,Acuses!$C$5:$C$3004,AG$5),AG$8)&lt;Resumen!$C$4+30,"Caduca pronto","OK"))))))</f>
        <v/>
      </c>
      <c r="AH112" s="26" t="str">
        <f aca="false">IF(OR($A112="",AH$4=""),"",IF(NOT(OR(AH$6="Toda la plantilla",ISNUMBER(SEARCH(";"&amp;SUBSTITUTE($C112," ","")&amp;";",";"&amp;SUBSTITUTE(AH$7," ","")&amp;";")))),"—",IF(_xlfn.MAXIFS(Acuses!$C$5:$C$3004,Acuses!$A$5:$A$3004,$A112,Acuses!$B$5:$B$3004,AH$4)&lt;AH$5,"Pendiente",IF(AH$8=0,"OK",IF(EDATE(_xlfn.MAXIFS(Acuses!$D$5:$D$3004,Acuses!$A$5:$A$3004,$A112,Acuses!$B$5:$B$3004,AH$4,Acuses!$C$5:$C$3004,AH$5),AH$8)&lt;Resumen!$C$4,"Caducado",IF(EDATE(_xlfn.MAXIFS(Acuses!$D$5:$D$3004,Acuses!$A$5:$A$3004,$A112,Acuses!$B$5:$B$3004,AH$4,Acuses!$C$5:$C$3004,AH$5),AH$8)&lt;Resumen!$C$4+30,"Caduca pronto","OK"))))))</f>
        <v/>
      </c>
      <c r="AI112" s="26" t="str">
        <f aca="false">IF(OR($A112="",AI$4=""),"",IF(NOT(OR(AI$6="Toda la plantilla",ISNUMBER(SEARCH(";"&amp;SUBSTITUTE($C112," ","")&amp;";",";"&amp;SUBSTITUTE(AI$7," ","")&amp;";")))),"—",IF(_xlfn.MAXIFS(Acuses!$C$5:$C$3004,Acuses!$A$5:$A$3004,$A112,Acuses!$B$5:$B$3004,AI$4)&lt;AI$5,"Pendiente",IF(AI$8=0,"OK",IF(EDATE(_xlfn.MAXIFS(Acuses!$D$5:$D$3004,Acuses!$A$5:$A$3004,$A112,Acuses!$B$5:$B$3004,AI$4,Acuses!$C$5:$C$3004,AI$5),AI$8)&lt;Resumen!$C$4,"Caducado",IF(EDATE(_xlfn.MAXIFS(Acuses!$D$5:$D$3004,Acuses!$A$5:$A$3004,$A112,Acuses!$B$5:$B$3004,AI$4,Acuses!$C$5:$C$3004,AI$5),AI$8)&lt;Resumen!$C$4+30,"Caduca pronto","OK"))))))</f>
        <v/>
      </c>
      <c r="AJ112" s="26" t="str">
        <f aca="false">IF(OR($A112="",AJ$4=""),"",IF(NOT(OR(AJ$6="Toda la plantilla",ISNUMBER(SEARCH(";"&amp;SUBSTITUTE($C112," ","")&amp;";",";"&amp;SUBSTITUTE(AJ$7," ","")&amp;";")))),"—",IF(_xlfn.MAXIFS(Acuses!$C$5:$C$3004,Acuses!$A$5:$A$3004,$A112,Acuses!$B$5:$B$3004,AJ$4)&lt;AJ$5,"Pendiente",IF(AJ$8=0,"OK",IF(EDATE(_xlfn.MAXIFS(Acuses!$D$5:$D$3004,Acuses!$A$5:$A$3004,$A112,Acuses!$B$5:$B$3004,AJ$4,Acuses!$C$5:$C$3004,AJ$5),AJ$8)&lt;Resumen!$C$4,"Caducado",IF(EDATE(_xlfn.MAXIFS(Acuses!$D$5:$D$3004,Acuses!$A$5:$A$3004,$A112,Acuses!$B$5:$B$3004,AJ$4,Acuses!$C$5:$C$3004,AJ$5),AJ$8)&lt;Resumen!$C$4+30,"Caduca pronto","OK"))))))</f>
        <v/>
      </c>
      <c r="AK112" s="26" t="str">
        <f aca="false">IF(OR($A112="",AK$4=""),"",IF(NOT(OR(AK$6="Toda la plantilla",ISNUMBER(SEARCH(";"&amp;SUBSTITUTE($C112," ","")&amp;";",";"&amp;SUBSTITUTE(AK$7," ","")&amp;";")))),"—",IF(_xlfn.MAXIFS(Acuses!$C$5:$C$3004,Acuses!$A$5:$A$3004,$A112,Acuses!$B$5:$B$3004,AK$4)&lt;AK$5,"Pendiente",IF(AK$8=0,"OK",IF(EDATE(_xlfn.MAXIFS(Acuses!$D$5:$D$3004,Acuses!$A$5:$A$3004,$A112,Acuses!$B$5:$B$3004,AK$4,Acuses!$C$5:$C$3004,AK$5),AK$8)&lt;Resumen!$C$4,"Caducado",IF(EDATE(_xlfn.MAXIFS(Acuses!$D$5:$D$3004,Acuses!$A$5:$A$3004,$A112,Acuses!$B$5:$B$3004,AK$4,Acuses!$C$5:$C$3004,AK$5),AK$8)&lt;Resumen!$C$4+30,"Caduca pronto","OK"))))))</f>
        <v/>
      </c>
      <c r="AL112" s="26" t="str">
        <f aca="false">IF(OR($A112="",AL$4=""),"",IF(NOT(OR(AL$6="Toda la plantilla",ISNUMBER(SEARCH(";"&amp;SUBSTITUTE($C112," ","")&amp;";",";"&amp;SUBSTITUTE(AL$7," ","")&amp;";")))),"—",IF(_xlfn.MAXIFS(Acuses!$C$5:$C$3004,Acuses!$A$5:$A$3004,$A112,Acuses!$B$5:$B$3004,AL$4)&lt;AL$5,"Pendiente",IF(AL$8=0,"OK",IF(EDATE(_xlfn.MAXIFS(Acuses!$D$5:$D$3004,Acuses!$A$5:$A$3004,$A112,Acuses!$B$5:$B$3004,AL$4,Acuses!$C$5:$C$3004,AL$5),AL$8)&lt;Resumen!$C$4,"Caducado",IF(EDATE(_xlfn.MAXIFS(Acuses!$D$5:$D$3004,Acuses!$A$5:$A$3004,$A112,Acuses!$B$5:$B$3004,AL$4,Acuses!$C$5:$C$3004,AL$5),AL$8)&lt;Resumen!$C$4+30,"Caduca pronto","OK"))))))</f>
        <v/>
      </c>
      <c r="AM112" s="26" t="str">
        <f aca="false">IF(OR($A112="",AM$4=""),"",IF(NOT(OR(AM$6="Toda la plantilla",ISNUMBER(SEARCH(";"&amp;SUBSTITUTE($C112," ","")&amp;";",";"&amp;SUBSTITUTE(AM$7," ","")&amp;";")))),"—",IF(_xlfn.MAXIFS(Acuses!$C$5:$C$3004,Acuses!$A$5:$A$3004,$A112,Acuses!$B$5:$B$3004,AM$4)&lt;AM$5,"Pendiente",IF(AM$8=0,"OK",IF(EDATE(_xlfn.MAXIFS(Acuses!$D$5:$D$3004,Acuses!$A$5:$A$3004,$A112,Acuses!$B$5:$B$3004,AM$4,Acuses!$C$5:$C$3004,AM$5),AM$8)&lt;Resumen!$C$4,"Caducado",IF(EDATE(_xlfn.MAXIFS(Acuses!$D$5:$D$3004,Acuses!$A$5:$A$3004,$A112,Acuses!$B$5:$B$3004,AM$4,Acuses!$C$5:$C$3004,AM$5),AM$8)&lt;Resumen!$C$4+30,"Caduca pronto","OK"))))))</f>
        <v/>
      </c>
      <c r="AN112" s="26" t="str">
        <f aca="false">IF(OR($A112="",AN$4=""),"",IF(NOT(OR(AN$6="Toda la plantilla",ISNUMBER(SEARCH(";"&amp;SUBSTITUTE($C112," ","")&amp;";",";"&amp;SUBSTITUTE(AN$7," ","")&amp;";")))),"—",IF(_xlfn.MAXIFS(Acuses!$C$5:$C$3004,Acuses!$A$5:$A$3004,$A112,Acuses!$B$5:$B$3004,AN$4)&lt;AN$5,"Pendiente",IF(AN$8=0,"OK",IF(EDATE(_xlfn.MAXIFS(Acuses!$D$5:$D$3004,Acuses!$A$5:$A$3004,$A112,Acuses!$B$5:$B$3004,AN$4,Acuses!$C$5:$C$3004,AN$5),AN$8)&lt;Resumen!$C$4,"Caducado",IF(EDATE(_xlfn.MAXIFS(Acuses!$D$5:$D$3004,Acuses!$A$5:$A$3004,$A112,Acuses!$B$5:$B$3004,AN$4,Acuses!$C$5:$C$3004,AN$5),AN$8)&lt;Resumen!$C$4+30,"Caduca pronto","OK"))))))</f>
        <v/>
      </c>
      <c r="AO112" s="26" t="str">
        <f aca="false">IF(OR($A112="",AO$4=""),"",IF(NOT(OR(AO$6="Toda la plantilla",ISNUMBER(SEARCH(";"&amp;SUBSTITUTE($C112," ","")&amp;";",";"&amp;SUBSTITUTE(AO$7," ","")&amp;";")))),"—",IF(_xlfn.MAXIFS(Acuses!$C$5:$C$3004,Acuses!$A$5:$A$3004,$A112,Acuses!$B$5:$B$3004,AO$4)&lt;AO$5,"Pendiente",IF(AO$8=0,"OK",IF(EDATE(_xlfn.MAXIFS(Acuses!$D$5:$D$3004,Acuses!$A$5:$A$3004,$A112,Acuses!$B$5:$B$3004,AO$4,Acuses!$C$5:$C$3004,AO$5),AO$8)&lt;Resumen!$C$4,"Caducado",IF(EDATE(_xlfn.MAXIFS(Acuses!$D$5:$D$3004,Acuses!$A$5:$A$3004,$A112,Acuses!$B$5:$B$3004,AO$4,Acuses!$C$5:$C$3004,AO$5),AO$8)&lt;Resumen!$C$4+30,"Caduca pronto","OK"))))))</f>
        <v/>
      </c>
      <c r="AP112" s="26" t="str">
        <f aca="false">IF(OR($A112="",AP$4=""),"",IF(NOT(OR(AP$6="Toda la plantilla",ISNUMBER(SEARCH(";"&amp;SUBSTITUTE($C112," ","")&amp;";",";"&amp;SUBSTITUTE(AP$7," ","")&amp;";")))),"—",IF(_xlfn.MAXIFS(Acuses!$C$5:$C$3004,Acuses!$A$5:$A$3004,$A112,Acuses!$B$5:$B$3004,AP$4)&lt;AP$5,"Pendiente",IF(AP$8=0,"OK",IF(EDATE(_xlfn.MAXIFS(Acuses!$D$5:$D$3004,Acuses!$A$5:$A$3004,$A112,Acuses!$B$5:$B$3004,AP$4,Acuses!$C$5:$C$3004,AP$5),AP$8)&lt;Resumen!$C$4,"Caducado",IF(EDATE(_xlfn.MAXIFS(Acuses!$D$5:$D$3004,Acuses!$A$5:$A$3004,$A112,Acuses!$B$5:$B$3004,AP$4,Acuses!$C$5:$C$3004,AP$5),AP$8)&lt;Resumen!$C$4+30,"Caduca pronto","OK"))))))</f>
        <v/>
      </c>
      <c r="AQ112" s="26" t="str">
        <f aca="false">IF(OR($A112="",AQ$4=""),"",IF(NOT(OR(AQ$6="Toda la plantilla",ISNUMBER(SEARCH(";"&amp;SUBSTITUTE($C112," ","")&amp;";",";"&amp;SUBSTITUTE(AQ$7," ","")&amp;";")))),"—",IF(_xlfn.MAXIFS(Acuses!$C$5:$C$3004,Acuses!$A$5:$A$3004,$A112,Acuses!$B$5:$B$3004,AQ$4)&lt;AQ$5,"Pendiente",IF(AQ$8=0,"OK",IF(EDATE(_xlfn.MAXIFS(Acuses!$D$5:$D$3004,Acuses!$A$5:$A$3004,$A112,Acuses!$B$5:$B$3004,AQ$4,Acuses!$C$5:$C$3004,AQ$5),AQ$8)&lt;Resumen!$C$4,"Caducado",IF(EDATE(_xlfn.MAXIFS(Acuses!$D$5:$D$3004,Acuses!$A$5:$A$3004,$A112,Acuses!$B$5:$B$3004,AQ$4,Acuses!$C$5:$C$3004,AQ$5),AQ$8)&lt;Resumen!$C$4+30,"Caduca pronto","OK"))))))</f>
        <v/>
      </c>
    </row>
    <row r="113" customFormat="false" ht="15" hidden="false" customHeight="false" outlineLevel="0" collapsed="false">
      <c r="A113" s="25" t="str">
        <f aca="false">IF(AND(Trabajadores!$A$108&lt;&gt;"",Trabajadores!$G$108&lt;&gt;"No"),Trabajadores!$A$108,"")</f>
        <v/>
      </c>
      <c r="B113" s="25" t="str">
        <f aca="false">IF($A113="","",Trabajadores!$B$108)</f>
        <v/>
      </c>
      <c r="C113" s="25" t="str">
        <f aca="false">IF($A113="","",Trabajadores!$C$108)</f>
        <v/>
      </c>
      <c r="D113" s="26" t="str">
        <f aca="false">IF(OR($A113="",D$4=""),"",IF(NOT(OR(D$6="Toda la plantilla",ISNUMBER(SEARCH(";"&amp;SUBSTITUTE($C113," ","")&amp;";",";"&amp;SUBSTITUTE(D$7," ","")&amp;";")))),"—",IF(_xlfn.MAXIFS(Acuses!$C$5:$C$3004,Acuses!$A$5:$A$3004,$A113,Acuses!$B$5:$B$3004,D$4)&lt;D$5,"Pendiente",IF(D$8=0,"OK",IF(EDATE(_xlfn.MAXIFS(Acuses!$D$5:$D$3004,Acuses!$A$5:$A$3004,$A113,Acuses!$B$5:$B$3004,D$4,Acuses!$C$5:$C$3004,D$5),D$8)&lt;Resumen!$C$4,"Caducado",IF(EDATE(_xlfn.MAXIFS(Acuses!$D$5:$D$3004,Acuses!$A$5:$A$3004,$A113,Acuses!$B$5:$B$3004,D$4,Acuses!$C$5:$C$3004,D$5),D$8)&lt;Resumen!$C$4+30,"Caduca pronto","OK"))))))</f>
        <v/>
      </c>
      <c r="E113" s="26" t="str">
        <f aca="false">IF(OR($A113="",E$4=""),"",IF(NOT(OR(E$6="Toda la plantilla",ISNUMBER(SEARCH(";"&amp;SUBSTITUTE($C113," ","")&amp;";",";"&amp;SUBSTITUTE(E$7," ","")&amp;";")))),"—",IF(_xlfn.MAXIFS(Acuses!$C$5:$C$3004,Acuses!$A$5:$A$3004,$A113,Acuses!$B$5:$B$3004,E$4)&lt;E$5,"Pendiente",IF(E$8=0,"OK",IF(EDATE(_xlfn.MAXIFS(Acuses!$D$5:$D$3004,Acuses!$A$5:$A$3004,$A113,Acuses!$B$5:$B$3004,E$4,Acuses!$C$5:$C$3004,E$5),E$8)&lt;Resumen!$C$4,"Caducado",IF(EDATE(_xlfn.MAXIFS(Acuses!$D$5:$D$3004,Acuses!$A$5:$A$3004,$A113,Acuses!$B$5:$B$3004,E$4,Acuses!$C$5:$C$3004,E$5),E$8)&lt;Resumen!$C$4+30,"Caduca pronto","OK"))))))</f>
        <v/>
      </c>
      <c r="F113" s="26" t="str">
        <f aca="false">IF(OR($A113="",F$4=""),"",IF(NOT(OR(F$6="Toda la plantilla",ISNUMBER(SEARCH(";"&amp;SUBSTITUTE($C113," ","")&amp;";",";"&amp;SUBSTITUTE(F$7," ","")&amp;";")))),"—",IF(_xlfn.MAXIFS(Acuses!$C$5:$C$3004,Acuses!$A$5:$A$3004,$A113,Acuses!$B$5:$B$3004,F$4)&lt;F$5,"Pendiente",IF(F$8=0,"OK",IF(EDATE(_xlfn.MAXIFS(Acuses!$D$5:$D$3004,Acuses!$A$5:$A$3004,$A113,Acuses!$B$5:$B$3004,F$4,Acuses!$C$5:$C$3004,F$5),F$8)&lt;Resumen!$C$4,"Caducado",IF(EDATE(_xlfn.MAXIFS(Acuses!$D$5:$D$3004,Acuses!$A$5:$A$3004,$A113,Acuses!$B$5:$B$3004,F$4,Acuses!$C$5:$C$3004,F$5),F$8)&lt;Resumen!$C$4+30,"Caduca pronto","OK"))))))</f>
        <v/>
      </c>
      <c r="G113" s="26" t="str">
        <f aca="false">IF(OR($A113="",G$4=""),"",IF(NOT(OR(G$6="Toda la plantilla",ISNUMBER(SEARCH(";"&amp;SUBSTITUTE($C113," ","")&amp;";",";"&amp;SUBSTITUTE(G$7," ","")&amp;";")))),"—",IF(_xlfn.MAXIFS(Acuses!$C$5:$C$3004,Acuses!$A$5:$A$3004,$A113,Acuses!$B$5:$B$3004,G$4)&lt;G$5,"Pendiente",IF(G$8=0,"OK",IF(EDATE(_xlfn.MAXIFS(Acuses!$D$5:$D$3004,Acuses!$A$5:$A$3004,$A113,Acuses!$B$5:$B$3004,G$4,Acuses!$C$5:$C$3004,G$5),G$8)&lt;Resumen!$C$4,"Caducado",IF(EDATE(_xlfn.MAXIFS(Acuses!$D$5:$D$3004,Acuses!$A$5:$A$3004,$A113,Acuses!$B$5:$B$3004,G$4,Acuses!$C$5:$C$3004,G$5),G$8)&lt;Resumen!$C$4+30,"Caduca pronto","OK"))))))</f>
        <v/>
      </c>
      <c r="H113" s="26" t="str">
        <f aca="false">IF(OR($A113="",H$4=""),"",IF(NOT(OR(H$6="Toda la plantilla",ISNUMBER(SEARCH(";"&amp;SUBSTITUTE($C113," ","")&amp;";",";"&amp;SUBSTITUTE(H$7," ","")&amp;";")))),"—",IF(_xlfn.MAXIFS(Acuses!$C$5:$C$3004,Acuses!$A$5:$A$3004,$A113,Acuses!$B$5:$B$3004,H$4)&lt;H$5,"Pendiente",IF(H$8=0,"OK",IF(EDATE(_xlfn.MAXIFS(Acuses!$D$5:$D$3004,Acuses!$A$5:$A$3004,$A113,Acuses!$B$5:$B$3004,H$4,Acuses!$C$5:$C$3004,H$5),H$8)&lt;Resumen!$C$4,"Caducado",IF(EDATE(_xlfn.MAXIFS(Acuses!$D$5:$D$3004,Acuses!$A$5:$A$3004,$A113,Acuses!$B$5:$B$3004,H$4,Acuses!$C$5:$C$3004,H$5),H$8)&lt;Resumen!$C$4+30,"Caduca pronto","OK"))))))</f>
        <v/>
      </c>
      <c r="I113" s="26" t="str">
        <f aca="false">IF(OR($A113="",I$4=""),"",IF(NOT(OR(I$6="Toda la plantilla",ISNUMBER(SEARCH(";"&amp;SUBSTITUTE($C113," ","")&amp;";",";"&amp;SUBSTITUTE(I$7," ","")&amp;";")))),"—",IF(_xlfn.MAXIFS(Acuses!$C$5:$C$3004,Acuses!$A$5:$A$3004,$A113,Acuses!$B$5:$B$3004,I$4)&lt;I$5,"Pendiente",IF(I$8=0,"OK",IF(EDATE(_xlfn.MAXIFS(Acuses!$D$5:$D$3004,Acuses!$A$5:$A$3004,$A113,Acuses!$B$5:$B$3004,I$4,Acuses!$C$5:$C$3004,I$5),I$8)&lt;Resumen!$C$4,"Caducado",IF(EDATE(_xlfn.MAXIFS(Acuses!$D$5:$D$3004,Acuses!$A$5:$A$3004,$A113,Acuses!$B$5:$B$3004,I$4,Acuses!$C$5:$C$3004,I$5),I$8)&lt;Resumen!$C$4+30,"Caduca pronto","OK"))))))</f>
        <v/>
      </c>
      <c r="J113" s="26" t="str">
        <f aca="false">IF(OR($A113="",J$4=""),"",IF(NOT(OR(J$6="Toda la plantilla",ISNUMBER(SEARCH(";"&amp;SUBSTITUTE($C113," ","")&amp;";",";"&amp;SUBSTITUTE(J$7," ","")&amp;";")))),"—",IF(_xlfn.MAXIFS(Acuses!$C$5:$C$3004,Acuses!$A$5:$A$3004,$A113,Acuses!$B$5:$B$3004,J$4)&lt;J$5,"Pendiente",IF(J$8=0,"OK",IF(EDATE(_xlfn.MAXIFS(Acuses!$D$5:$D$3004,Acuses!$A$5:$A$3004,$A113,Acuses!$B$5:$B$3004,J$4,Acuses!$C$5:$C$3004,J$5),J$8)&lt;Resumen!$C$4,"Caducado",IF(EDATE(_xlfn.MAXIFS(Acuses!$D$5:$D$3004,Acuses!$A$5:$A$3004,$A113,Acuses!$B$5:$B$3004,J$4,Acuses!$C$5:$C$3004,J$5),J$8)&lt;Resumen!$C$4+30,"Caduca pronto","OK"))))))</f>
        <v/>
      </c>
      <c r="K113" s="26" t="str">
        <f aca="false">IF(OR($A113="",K$4=""),"",IF(NOT(OR(K$6="Toda la plantilla",ISNUMBER(SEARCH(";"&amp;SUBSTITUTE($C113," ","")&amp;";",";"&amp;SUBSTITUTE(K$7," ","")&amp;";")))),"—",IF(_xlfn.MAXIFS(Acuses!$C$5:$C$3004,Acuses!$A$5:$A$3004,$A113,Acuses!$B$5:$B$3004,K$4)&lt;K$5,"Pendiente",IF(K$8=0,"OK",IF(EDATE(_xlfn.MAXIFS(Acuses!$D$5:$D$3004,Acuses!$A$5:$A$3004,$A113,Acuses!$B$5:$B$3004,K$4,Acuses!$C$5:$C$3004,K$5),K$8)&lt;Resumen!$C$4,"Caducado",IF(EDATE(_xlfn.MAXIFS(Acuses!$D$5:$D$3004,Acuses!$A$5:$A$3004,$A113,Acuses!$B$5:$B$3004,K$4,Acuses!$C$5:$C$3004,K$5),K$8)&lt;Resumen!$C$4+30,"Caduca pronto","OK"))))))</f>
        <v/>
      </c>
      <c r="L113" s="26" t="str">
        <f aca="false">IF(OR($A113="",L$4=""),"",IF(NOT(OR(L$6="Toda la plantilla",ISNUMBER(SEARCH(";"&amp;SUBSTITUTE($C113," ","")&amp;";",";"&amp;SUBSTITUTE(L$7," ","")&amp;";")))),"—",IF(_xlfn.MAXIFS(Acuses!$C$5:$C$3004,Acuses!$A$5:$A$3004,$A113,Acuses!$B$5:$B$3004,L$4)&lt;L$5,"Pendiente",IF(L$8=0,"OK",IF(EDATE(_xlfn.MAXIFS(Acuses!$D$5:$D$3004,Acuses!$A$5:$A$3004,$A113,Acuses!$B$5:$B$3004,L$4,Acuses!$C$5:$C$3004,L$5),L$8)&lt;Resumen!$C$4,"Caducado",IF(EDATE(_xlfn.MAXIFS(Acuses!$D$5:$D$3004,Acuses!$A$5:$A$3004,$A113,Acuses!$B$5:$B$3004,L$4,Acuses!$C$5:$C$3004,L$5),L$8)&lt;Resumen!$C$4+30,"Caduca pronto","OK"))))))</f>
        <v/>
      </c>
      <c r="M113" s="26" t="str">
        <f aca="false">IF(OR($A113="",M$4=""),"",IF(NOT(OR(M$6="Toda la plantilla",ISNUMBER(SEARCH(";"&amp;SUBSTITUTE($C113," ","")&amp;";",";"&amp;SUBSTITUTE(M$7," ","")&amp;";")))),"—",IF(_xlfn.MAXIFS(Acuses!$C$5:$C$3004,Acuses!$A$5:$A$3004,$A113,Acuses!$B$5:$B$3004,M$4)&lt;M$5,"Pendiente",IF(M$8=0,"OK",IF(EDATE(_xlfn.MAXIFS(Acuses!$D$5:$D$3004,Acuses!$A$5:$A$3004,$A113,Acuses!$B$5:$B$3004,M$4,Acuses!$C$5:$C$3004,M$5),M$8)&lt;Resumen!$C$4,"Caducado",IF(EDATE(_xlfn.MAXIFS(Acuses!$D$5:$D$3004,Acuses!$A$5:$A$3004,$A113,Acuses!$B$5:$B$3004,M$4,Acuses!$C$5:$C$3004,M$5),M$8)&lt;Resumen!$C$4+30,"Caduca pronto","OK"))))))</f>
        <v/>
      </c>
      <c r="N113" s="26" t="str">
        <f aca="false">IF(OR($A113="",N$4=""),"",IF(NOT(OR(N$6="Toda la plantilla",ISNUMBER(SEARCH(";"&amp;SUBSTITUTE($C113," ","")&amp;";",";"&amp;SUBSTITUTE(N$7," ","")&amp;";")))),"—",IF(_xlfn.MAXIFS(Acuses!$C$5:$C$3004,Acuses!$A$5:$A$3004,$A113,Acuses!$B$5:$B$3004,N$4)&lt;N$5,"Pendiente",IF(N$8=0,"OK",IF(EDATE(_xlfn.MAXIFS(Acuses!$D$5:$D$3004,Acuses!$A$5:$A$3004,$A113,Acuses!$B$5:$B$3004,N$4,Acuses!$C$5:$C$3004,N$5),N$8)&lt;Resumen!$C$4,"Caducado",IF(EDATE(_xlfn.MAXIFS(Acuses!$D$5:$D$3004,Acuses!$A$5:$A$3004,$A113,Acuses!$B$5:$B$3004,N$4,Acuses!$C$5:$C$3004,N$5),N$8)&lt;Resumen!$C$4+30,"Caduca pronto","OK"))))))</f>
        <v/>
      </c>
      <c r="O113" s="26" t="str">
        <f aca="false">IF(OR($A113="",O$4=""),"",IF(NOT(OR(O$6="Toda la plantilla",ISNUMBER(SEARCH(";"&amp;SUBSTITUTE($C113," ","")&amp;";",";"&amp;SUBSTITUTE(O$7," ","")&amp;";")))),"—",IF(_xlfn.MAXIFS(Acuses!$C$5:$C$3004,Acuses!$A$5:$A$3004,$A113,Acuses!$B$5:$B$3004,O$4)&lt;O$5,"Pendiente",IF(O$8=0,"OK",IF(EDATE(_xlfn.MAXIFS(Acuses!$D$5:$D$3004,Acuses!$A$5:$A$3004,$A113,Acuses!$B$5:$B$3004,O$4,Acuses!$C$5:$C$3004,O$5),O$8)&lt;Resumen!$C$4,"Caducado",IF(EDATE(_xlfn.MAXIFS(Acuses!$D$5:$D$3004,Acuses!$A$5:$A$3004,$A113,Acuses!$B$5:$B$3004,O$4,Acuses!$C$5:$C$3004,O$5),O$8)&lt;Resumen!$C$4+30,"Caduca pronto","OK"))))))</f>
        <v/>
      </c>
      <c r="P113" s="26" t="str">
        <f aca="false">IF(OR($A113="",P$4=""),"",IF(NOT(OR(P$6="Toda la plantilla",ISNUMBER(SEARCH(";"&amp;SUBSTITUTE($C113," ","")&amp;";",";"&amp;SUBSTITUTE(P$7," ","")&amp;";")))),"—",IF(_xlfn.MAXIFS(Acuses!$C$5:$C$3004,Acuses!$A$5:$A$3004,$A113,Acuses!$B$5:$B$3004,P$4)&lt;P$5,"Pendiente",IF(P$8=0,"OK",IF(EDATE(_xlfn.MAXIFS(Acuses!$D$5:$D$3004,Acuses!$A$5:$A$3004,$A113,Acuses!$B$5:$B$3004,P$4,Acuses!$C$5:$C$3004,P$5),P$8)&lt;Resumen!$C$4,"Caducado",IF(EDATE(_xlfn.MAXIFS(Acuses!$D$5:$D$3004,Acuses!$A$5:$A$3004,$A113,Acuses!$B$5:$B$3004,P$4,Acuses!$C$5:$C$3004,P$5),P$8)&lt;Resumen!$C$4+30,"Caduca pronto","OK"))))))</f>
        <v/>
      </c>
      <c r="Q113" s="26" t="str">
        <f aca="false">IF(OR($A113="",Q$4=""),"",IF(NOT(OR(Q$6="Toda la plantilla",ISNUMBER(SEARCH(";"&amp;SUBSTITUTE($C113," ","")&amp;";",";"&amp;SUBSTITUTE(Q$7," ","")&amp;";")))),"—",IF(_xlfn.MAXIFS(Acuses!$C$5:$C$3004,Acuses!$A$5:$A$3004,$A113,Acuses!$B$5:$B$3004,Q$4)&lt;Q$5,"Pendiente",IF(Q$8=0,"OK",IF(EDATE(_xlfn.MAXIFS(Acuses!$D$5:$D$3004,Acuses!$A$5:$A$3004,$A113,Acuses!$B$5:$B$3004,Q$4,Acuses!$C$5:$C$3004,Q$5),Q$8)&lt;Resumen!$C$4,"Caducado",IF(EDATE(_xlfn.MAXIFS(Acuses!$D$5:$D$3004,Acuses!$A$5:$A$3004,$A113,Acuses!$B$5:$B$3004,Q$4,Acuses!$C$5:$C$3004,Q$5),Q$8)&lt;Resumen!$C$4+30,"Caduca pronto","OK"))))))</f>
        <v/>
      </c>
      <c r="R113" s="26" t="str">
        <f aca="false">IF(OR($A113="",R$4=""),"",IF(NOT(OR(R$6="Toda la plantilla",ISNUMBER(SEARCH(";"&amp;SUBSTITUTE($C113," ","")&amp;";",";"&amp;SUBSTITUTE(R$7," ","")&amp;";")))),"—",IF(_xlfn.MAXIFS(Acuses!$C$5:$C$3004,Acuses!$A$5:$A$3004,$A113,Acuses!$B$5:$B$3004,R$4)&lt;R$5,"Pendiente",IF(R$8=0,"OK",IF(EDATE(_xlfn.MAXIFS(Acuses!$D$5:$D$3004,Acuses!$A$5:$A$3004,$A113,Acuses!$B$5:$B$3004,R$4,Acuses!$C$5:$C$3004,R$5),R$8)&lt;Resumen!$C$4,"Caducado",IF(EDATE(_xlfn.MAXIFS(Acuses!$D$5:$D$3004,Acuses!$A$5:$A$3004,$A113,Acuses!$B$5:$B$3004,R$4,Acuses!$C$5:$C$3004,R$5),R$8)&lt;Resumen!$C$4+30,"Caduca pronto","OK"))))))</f>
        <v/>
      </c>
      <c r="S113" s="26" t="str">
        <f aca="false">IF(OR($A113="",S$4=""),"",IF(NOT(OR(S$6="Toda la plantilla",ISNUMBER(SEARCH(";"&amp;SUBSTITUTE($C113," ","")&amp;";",";"&amp;SUBSTITUTE(S$7," ","")&amp;";")))),"—",IF(_xlfn.MAXIFS(Acuses!$C$5:$C$3004,Acuses!$A$5:$A$3004,$A113,Acuses!$B$5:$B$3004,S$4)&lt;S$5,"Pendiente",IF(S$8=0,"OK",IF(EDATE(_xlfn.MAXIFS(Acuses!$D$5:$D$3004,Acuses!$A$5:$A$3004,$A113,Acuses!$B$5:$B$3004,S$4,Acuses!$C$5:$C$3004,S$5),S$8)&lt;Resumen!$C$4,"Caducado",IF(EDATE(_xlfn.MAXIFS(Acuses!$D$5:$D$3004,Acuses!$A$5:$A$3004,$A113,Acuses!$B$5:$B$3004,S$4,Acuses!$C$5:$C$3004,S$5),S$8)&lt;Resumen!$C$4+30,"Caduca pronto","OK"))))))</f>
        <v/>
      </c>
      <c r="T113" s="26" t="str">
        <f aca="false">IF(OR($A113="",T$4=""),"",IF(NOT(OR(T$6="Toda la plantilla",ISNUMBER(SEARCH(";"&amp;SUBSTITUTE($C113," ","")&amp;";",";"&amp;SUBSTITUTE(T$7," ","")&amp;";")))),"—",IF(_xlfn.MAXIFS(Acuses!$C$5:$C$3004,Acuses!$A$5:$A$3004,$A113,Acuses!$B$5:$B$3004,T$4)&lt;T$5,"Pendiente",IF(T$8=0,"OK",IF(EDATE(_xlfn.MAXIFS(Acuses!$D$5:$D$3004,Acuses!$A$5:$A$3004,$A113,Acuses!$B$5:$B$3004,T$4,Acuses!$C$5:$C$3004,T$5),T$8)&lt;Resumen!$C$4,"Caducado",IF(EDATE(_xlfn.MAXIFS(Acuses!$D$5:$D$3004,Acuses!$A$5:$A$3004,$A113,Acuses!$B$5:$B$3004,T$4,Acuses!$C$5:$C$3004,T$5),T$8)&lt;Resumen!$C$4+30,"Caduca pronto","OK"))))))</f>
        <v/>
      </c>
      <c r="U113" s="26" t="str">
        <f aca="false">IF(OR($A113="",U$4=""),"",IF(NOT(OR(U$6="Toda la plantilla",ISNUMBER(SEARCH(";"&amp;SUBSTITUTE($C113," ","")&amp;";",";"&amp;SUBSTITUTE(U$7," ","")&amp;";")))),"—",IF(_xlfn.MAXIFS(Acuses!$C$5:$C$3004,Acuses!$A$5:$A$3004,$A113,Acuses!$B$5:$B$3004,U$4)&lt;U$5,"Pendiente",IF(U$8=0,"OK",IF(EDATE(_xlfn.MAXIFS(Acuses!$D$5:$D$3004,Acuses!$A$5:$A$3004,$A113,Acuses!$B$5:$B$3004,U$4,Acuses!$C$5:$C$3004,U$5),U$8)&lt;Resumen!$C$4,"Caducado",IF(EDATE(_xlfn.MAXIFS(Acuses!$D$5:$D$3004,Acuses!$A$5:$A$3004,$A113,Acuses!$B$5:$B$3004,U$4,Acuses!$C$5:$C$3004,U$5),U$8)&lt;Resumen!$C$4+30,"Caduca pronto","OK"))))))</f>
        <v/>
      </c>
      <c r="V113" s="26" t="str">
        <f aca="false">IF(OR($A113="",V$4=""),"",IF(NOT(OR(V$6="Toda la plantilla",ISNUMBER(SEARCH(";"&amp;SUBSTITUTE($C113," ","")&amp;";",";"&amp;SUBSTITUTE(V$7," ","")&amp;";")))),"—",IF(_xlfn.MAXIFS(Acuses!$C$5:$C$3004,Acuses!$A$5:$A$3004,$A113,Acuses!$B$5:$B$3004,V$4)&lt;V$5,"Pendiente",IF(V$8=0,"OK",IF(EDATE(_xlfn.MAXIFS(Acuses!$D$5:$D$3004,Acuses!$A$5:$A$3004,$A113,Acuses!$B$5:$B$3004,V$4,Acuses!$C$5:$C$3004,V$5),V$8)&lt;Resumen!$C$4,"Caducado",IF(EDATE(_xlfn.MAXIFS(Acuses!$D$5:$D$3004,Acuses!$A$5:$A$3004,$A113,Acuses!$B$5:$B$3004,V$4,Acuses!$C$5:$C$3004,V$5),V$8)&lt;Resumen!$C$4+30,"Caduca pronto","OK"))))))</f>
        <v/>
      </c>
      <c r="W113" s="26" t="str">
        <f aca="false">IF(OR($A113="",W$4=""),"",IF(NOT(OR(W$6="Toda la plantilla",ISNUMBER(SEARCH(";"&amp;SUBSTITUTE($C113," ","")&amp;";",";"&amp;SUBSTITUTE(W$7," ","")&amp;";")))),"—",IF(_xlfn.MAXIFS(Acuses!$C$5:$C$3004,Acuses!$A$5:$A$3004,$A113,Acuses!$B$5:$B$3004,W$4)&lt;W$5,"Pendiente",IF(W$8=0,"OK",IF(EDATE(_xlfn.MAXIFS(Acuses!$D$5:$D$3004,Acuses!$A$5:$A$3004,$A113,Acuses!$B$5:$B$3004,W$4,Acuses!$C$5:$C$3004,W$5),W$8)&lt;Resumen!$C$4,"Caducado",IF(EDATE(_xlfn.MAXIFS(Acuses!$D$5:$D$3004,Acuses!$A$5:$A$3004,$A113,Acuses!$B$5:$B$3004,W$4,Acuses!$C$5:$C$3004,W$5),W$8)&lt;Resumen!$C$4+30,"Caduca pronto","OK"))))))</f>
        <v/>
      </c>
      <c r="X113" s="26" t="str">
        <f aca="false">IF(OR($A113="",X$4=""),"",IF(NOT(OR(X$6="Toda la plantilla",ISNUMBER(SEARCH(";"&amp;SUBSTITUTE($C113," ","")&amp;";",";"&amp;SUBSTITUTE(X$7," ","")&amp;";")))),"—",IF(_xlfn.MAXIFS(Acuses!$C$5:$C$3004,Acuses!$A$5:$A$3004,$A113,Acuses!$B$5:$B$3004,X$4)&lt;X$5,"Pendiente",IF(X$8=0,"OK",IF(EDATE(_xlfn.MAXIFS(Acuses!$D$5:$D$3004,Acuses!$A$5:$A$3004,$A113,Acuses!$B$5:$B$3004,X$4,Acuses!$C$5:$C$3004,X$5),X$8)&lt;Resumen!$C$4,"Caducado",IF(EDATE(_xlfn.MAXIFS(Acuses!$D$5:$D$3004,Acuses!$A$5:$A$3004,$A113,Acuses!$B$5:$B$3004,X$4,Acuses!$C$5:$C$3004,X$5),X$8)&lt;Resumen!$C$4+30,"Caduca pronto","OK"))))))</f>
        <v/>
      </c>
      <c r="Y113" s="26" t="str">
        <f aca="false">IF(OR($A113="",Y$4=""),"",IF(NOT(OR(Y$6="Toda la plantilla",ISNUMBER(SEARCH(";"&amp;SUBSTITUTE($C113," ","")&amp;";",";"&amp;SUBSTITUTE(Y$7," ","")&amp;";")))),"—",IF(_xlfn.MAXIFS(Acuses!$C$5:$C$3004,Acuses!$A$5:$A$3004,$A113,Acuses!$B$5:$B$3004,Y$4)&lt;Y$5,"Pendiente",IF(Y$8=0,"OK",IF(EDATE(_xlfn.MAXIFS(Acuses!$D$5:$D$3004,Acuses!$A$5:$A$3004,$A113,Acuses!$B$5:$B$3004,Y$4,Acuses!$C$5:$C$3004,Y$5),Y$8)&lt;Resumen!$C$4,"Caducado",IF(EDATE(_xlfn.MAXIFS(Acuses!$D$5:$D$3004,Acuses!$A$5:$A$3004,$A113,Acuses!$B$5:$B$3004,Y$4,Acuses!$C$5:$C$3004,Y$5),Y$8)&lt;Resumen!$C$4+30,"Caduca pronto","OK"))))))</f>
        <v/>
      </c>
      <c r="Z113" s="26" t="str">
        <f aca="false">IF(OR($A113="",Z$4=""),"",IF(NOT(OR(Z$6="Toda la plantilla",ISNUMBER(SEARCH(";"&amp;SUBSTITUTE($C113," ","")&amp;";",";"&amp;SUBSTITUTE(Z$7," ","")&amp;";")))),"—",IF(_xlfn.MAXIFS(Acuses!$C$5:$C$3004,Acuses!$A$5:$A$3004,$A113,Acuses!$B$5:$B$3004,Z$4)&lt;Z$5,"Pendiente",IF(Z$8=0,"OK",IF(EDATE(_xlfn.MAXIFS(Acuses!$D$5:$D$3004,Acuses!$A$5:$A$3004,$A113,Acuses!$B$5:$B$3004,Z$4,Acuses!$C$5:$C$3004,Z$5),Z$8)&lt;Resumen!$C$4,"Caducado",IF(EDATE(_xlfn.MAXIFS(Acuses!$D$5:$D$3004,Acuses!$A$5:$A$3004,$A113,Acuses!$B$5:$B$3004,Z$4,Acuses!$C$5:$C$3004,Z$5),Z$8)&lt;Resumen!$C$4+30,"Caduca pronto","OK"))))))</f>
        <v/>
      </c>
      <c r="AA113" s="26" t="str">
        <f aca="false">IF(OR($A113="",AA$4=""),"",IF(NOT(OR(AA$6="Toda la plantilla",ISNUMBER(SEARCH(";"&amp;SUBSTITUTE($C113," ","")&amp;";",";"&amp;SUBSTITUTE(AA$7," ","")&amp;";")))),"—",IF(_xlfn.MAXIFS(Acuses!$C$5:$C$3004,Acuses!$A$5:$A$3004,$A113,Acuses!$B$5:$B$3004,AA$4)&lt;AA$5,"Pendiente",IF(AA$8=0,"OK",IF(EDATE(_xlfn.MAXIFS(Acuses!$D$5:$D$3004,Acuses!$A$5:$A$3004,$A113,Acuses!$B$5:$B$3004,AA$4,Acuses!$C$5:$C$3004,AA$5),AA$8)&lt;Resumen!$C$4,"Caducado",IF(EDATE(_xlfn.MAXIFS(Acuses!$D$5:$D$3004,Acuses!$A$5:$A$3004,$A113,Acuses!$B$5:$B$3004,AA$4,Acuses!$C$5:$C$3004,AA$5),AA$8)&lt;Resumen!$C$4+30,"Caduca pronto","OK"))))))</f>
        <v/>
      </c>
      <c r="AB113" s="26" t="str">
        <f aca="false">IF(OR($A113="",AB$4=""),"",IF(NOT(OR(AB$6="Toda la plantilla",ISNUMBER(SEARCH(";"&amp;SUBSTITUTE($C113," ","")&amp;";",";"&amp;SUBSTITUTE(AB$7," ","")&amp;";")))),"—",IF(_xlfn.MAXIFS(Acuses!$C$5:$C$3004,Acuses!$A$5:$A$3004,$A113,Acuses!$B$5:$B$3004,AB$4)&lt;AB$5,"Pendiente",IF(AB$8=0,"OK",IF(EDATE(_xlfn.MAXIFS(Acuses!$D$5:$D$3004,Acuses!$A$5:$A$3004,$A113,Acuses!$B$5:$B$3004,AB$4,Acuses!$C$5:$C$3004,AB$5),AB$8)&lt;Resumen!$C$4,"Caducado",IF(EDATE(_xlfn.MAXIFS(Acuses!$D$5:$D$3004,Acuses!$A$5:$A$3004,$A113,Acuses!$B$5:$B$3004,AB$4,Acuses!$C$5:$C$3004,AB$5),AB$8)&lt;Resumen!$C$4+30,"Caduca pronto","OK"))))))</f>
        <v/>
      </c>
      <c r="AC113" s="26" t="str">
        <f aca="false">IF(OR($A113="",AC$4=""),"",IF(NOT(OR(AC$6="Toda la plantilla",ISNUMBER(SEARCH(";"&amp;SUBSTITUTE($C113," ","")&amp;";",";"&amp;SUBSTITUTE(AC$7," ","")&amp;";")))),"—",IF(_xlfn.MAXIFS(Acuses!$C$5:$C$3004,Acuses!$A$5:$A$3004,$A113,Acuses!$B$5:$B$3004,AC$4)&lt;AC$5,"Pendiente",IF(AC$8=0,"OK",IF(EDATE(_xlfn.MAXIFS(Acuses!$D$5:$D$3004,Acuses!$A$5:$A$3004,$A113,Acuses!$B$5:$B$3004,AC$4,Acuses!$C$5:$C$3004,AC$5),AC$8)&lt;Resumen!$C$4,"Caducado",IF(EDATE(_xlfn.MAXIFS(Acuses!$D$5:$D$3004,Acuses!$A$5:$A$3004,$A113,Acuses!$B$5:$B$3004,AC$4,Acuses!$C$5:$C$3004,AC$5),AC$8)&lt;Resumen!$C$4+30,"Caduca pronto","OK"))))))</f>
        <v/>
      </c>
      <c r="AD113" s="26" t="str">
        <f aca="false">IF(OR($A113="",AD$4=""),"",IF(NOT(OR(AD$6="Toda la plantilla",ISNUMBER(SEARCH(";"&amp;SUBSTITUTE($C113," ","")&amp;";",";"&amp;SUBSTITUTE(AD$7," ","")&amp;";")))),"—",IF(_xlfn.MAXIFS(Acuses!$C$5:$C$3004,Acuses!$A$5:$A$3004,$A113,Acuses!$B$5:$B$3004,AD$4)&lt;AD$5,"Pendiente",IF(AD$8=0,"OK",IF(EDATE(_xlfn.MAXIFS(Acuses!$D$5:$D$3004,Acuses!$A$5:$A$3004,$A113,Acuses!$B$5:$B$3004,AD$4,Acuses!$C$5:$C$3004,AD$5),AD$8)&lt;Resumen!$C$4,"Caducado",IF(EDATE(_xlfn.MAXIFS(Acuses!$D$5:$D$3004,Acuses!$A$5:$A$3004,$A113,Acuses!$B$5:$B$3004,AD$4,Acuses!$C$5:$C$3004,AD$5),AD$8)&lt;Resumen!$C$4+30,"Caduca pronto","OK"))))))</f>
        <v/>
      </c>
      <c r="AE113" s="26" t="str">
        <f aca="false">IF(OR($A113="",AE$4=""),"",IF(NOT(OR(AE$6="Toda la plantilla",ISNUMBER(SEARCH(";"&amp;SUBSTITUTE($C113," ","")&amp;";",";"&amp;SUBSTITUTE(AE$7," ","")&amp;";")))),"—",IF(_xlfn.MAXIFS(Acuses!$C$5:$C$3004,Acuses!$A$5:$A$3004,$A113,Acuses!$B$5:$B$3004,AE$4)&lt;AE$5,"Pendiente",IF(AE$8=0,"OK",IF(EDATE(_xlfn.MAXIFS(Acuses!$D$5:$D$3004,Acuses!$A$5:$A$3004,$A113,Acuses!$B$5:$B$3004,AE$4,Acuses!$C$5:$C$3004,AE$5),AE$8)&lt;Resumen!$C$4,"Caducado",IF(EDATE(_xlfn.MAXIFS(Acuses!$D$5:$D$3004,Acuses!$A$5:$A$3004,$A113,Acuses!$B$5:$B$3004,AE$4,Acuses!$C$5:$C$3004,AE$5),AE$8)&lt;Resumen!$C$4+30,"Caduca pronto","OK"))))))</f>
        <v/>
      </c>
      <c r="AF113" s="26" t="str">
        <f aca="false">IF(OR($A113="",AF$4=""),"",IF(NOT(OR(AF$6="Toda la plantilla",ISNUMBER(SEARCH(";"&amp;SUBSTITUTE($C113," ","")&amp;";",";"&amp;SUBSTITUTE(AF$7," ","")&amp;";")))),"—",IF(_xlfn.MAXIFS(Acuses!$C$5:$C$3004,Acuses!$A$5:$A$3004,$A113,Acuses!$B$5:$B$3004,AF$4)&lt;AF$5,"Pendiente",IF(AF$8=0,"OK",IF(EDATE(_xlfn.MAXIFS(Acuses!$D$5:$D$3004,Acuses!$A$5:$A$3004,$A113,Acuses!$B$5:$B$3004,AF$4,Acuses!$C$5:$C$3004,AF$5),AF$8)&lt;Resumen!$C$4,"Caducado",IF(EDATE(_xlfn.MAXIFS(Acuses!$D$5:$D$3004,Acuses!$A$5:$A$3004,$A113,Acuses!$B$5:$B$3004,AF$4,Acuses!$C$5:$C$3004,AF$5),AF$8)&lt;Resumen!$C$4+30,"Caduca pronto","OK"))))))</f>
        <v/>
      </c>
      <c r="AG113" s="26" t="str">
        <f aca="false">IF(OR($A113="",AG$4=""),"",IF(NOT(OR(AG$6="Toda la plantilla",ISNUMBER(SEARCH(";"&amp;SUBSTITUTE($C113," ","")&amp;";",";"&amp;SUBSTITUTE(AG$7," ","")&amp;";")))),"—",IF(_xlfn.MAXIFS(Acuses!$C$5:$C$3004,Acuses!$A$5:$A$3004,$A113,Acuses!$B$5:$B$3004,AG$4)&lt;AG$5,"Pendiente",IF(AG$8=0,"OK",IF(EDATE(_xlfn.MAXIFS(Acuses!$D$5:$D$3004,Acuses!$A$5:$A$3004,$A113,Acuses!$B$5:$B$3004,AG$4,Acuses!$C$5:$C$3004,AG$5),AG$8)&lt;Resumen!$C$4,"Caducado",IF(EDATE(_xlfn.MAXIFS(Acuses!$D$5:$D$3004,Acuses!$A$5:$A$3004,$A113,Acuses!$B$5:$B$3004,AG$4,Acuses!$C$5:$C$3004,AG$5),AG$8)&lt;Resumen!$C$4+30,"Caduca pronto","OK"))))))</f>
        <v/>
      </c>
      <c r="AH113" s="26" t="str">
        <f aca="false">IF(OR($A113="",AH$4=""),"",IF(NOT(OR(AH$6="Toda la plantilla",ISNUMBER(SEARCH(";"&amp;SUBSTITUTE($C113," ","")&amp;";",";"&amp;SUBSTITUTE(AH$7," ","")&amp;";")))),"—",IF(_xlfn.MAXIFS(Acuses!$C$5:$C$3004,Acuses!$A$5:$A$3004,$A113,Acuses!$B$5:$B$3004,AH$4)&lt;AH$5,"Pendiente",IF(AH$8=0,"OK",IF(EDATE(_xlfn.MAXIFS(Acuses!$D$5:$D$3004,Acuses!$A$5:$A$3004,$A113,Acuses!$B$5:$B$3004,AH$4,Acuses!$C$5:$C$3004,AH$5),AH$8)&lt;Resumen!$C$4,"Caducado",IF(EDATE(_xlfn.MAXIFS(Acuses!$D$5:$D$3004,Acuses!$A$5:$A$3004,$A113,Acuses!$B$5:$B$3004,AH$4,Acuses!$C$5:$C$3004,AH$5),AH$8)&lt;Resumen!$C$4+30,"Caduca pronto","OK"))))))</f>
        <v/>
      </c>
      <c r="AI113" s="26" t="str">
        <f aca="false">IF(OR($A113="",AI$4=""),"",IF(NOT(OR(AI$6="Toda la plantilla",ISNUMBER(SEARCH(";"&amp;SUBSTITUTE($C113," ","")&amp;";",";"&amp;SUBSTITUTE(AI$7," ","")&amp;";")))),"—",IF(_xlfn.MAXIFS(Acuses!$C$5:$C$3004,Acuses!$A$5:$A$3004,$A113,Acuses!$B$5:$B$3004,AI$4)&lt;AI$5,"Pendiente",IF(AI$8=0,"OK",IF(EDATE(_xlfn.MAXIFS(Acuses!$D$5:$D$3004,Acuses!$A$5:$A$3004,$A113,Acuses!$B$5:$B$3004,AI$4,Acuses!$C$5:$C$3004,AI$5),AI$8)&lt;Resumen!$C$4,"Caducado",IF(EDATE(_xlfn.MAXIFS(Acuses!$D$5:$D$3004,Acuses!$A$5:$A$3004,$A113,Acuses!$B$5:$B$3004,AI$4,Acuses!$C$5:$C$3004,AI$5),AI$8)&lt;Resumen!$C$4+30,"Caduca pronto","OK"))))))</f>
        <v/>
      </c>
      <c r="AJ113" s="26" t="str">
        <f aca="false">IF(OR($A113="",AJ$4=""),"",IF(NOT(OR(AJ$6="Toda la plantilla",ISNUMBER(SEARCH(";"&amp;SUBSTITUTE($C113," ","")&amp;";",";"&amp;SUBSTITUTE(AJ$7," ","")&amp;";")))),"—",IF(_xlfn.MAXIFS(Acuses!$C$5:$C$3004,Acuses!$A$5:$A$3004,$A113,Acuses!$B$5:$B$3004,AJ$4)&lt;AJ$5,"Pendiente",IF(AJ$8=0,"OK",IF(EDATE(_xlfn.MAXIFS(Acuses!$D$5:$D$3004,Acuses!$A$5:$A$3004,$A113,Acuses!$B$5:$B$3004,AJ$4,Acuses!$C$5:$C$3004,AJ$5),AJ$8)&lt;Resumen!$C$4,"Caducado",IF(EDATE(_xlfn.MAXIFS(Acuses!$D$5:$D$3004,Acuses!$A$5:$A$3004,$A113,Acuses!$B$5:$B$3004,AJ$4,Acuses!$C$5:$C$3004,AJ$5),AJ$8)&lt;Resumen!$C$4+30,"Caduca pronto","OK"))))))</f>
        <v/>
      </c>
      <c r="AK113" s="26" t="str">
        <f aca="false">IF(OR($A113="",AK$4=""),"",IF(NOT(OR(AK$6="Toda la plantilla",ISNUMBER(SEARCH(";"&amp;SUBSTITUTE($C113," ","")&amp;";",";"&amp;SUBSTITUTE(AK$7," ","")&amp;";")))),"—",IF(_xlfn.MAXIFS(Acuses!$C$5:$C$3004,Acuses!$A$5:$A$3004,$A113,Acuses!$B$5:$B$3004,AK$4)&lt;AK$5,"Pendiente",IF(AK$8=0,"OK",IF(EDATE(_xlfn.MAXIFS(Acuses!$D$5:$D$3004,Acuses!$A$5:$A$3004,$A113,Acuses!$B$5:$B$3004,AK$4,Acuses!$C$5:$C$3004,AK$5),AK$8)&lt;Resumen!$C$4,"Caducado",IF(EDATE(_xlfn.MAXIFS(Acuses!$D$5:$D$3004,Acuses!$A$5:$A$3004,$A113,Acuses!$B$5:$B$3004,AK$4,Acuses!$C$5:$C$3004,AK$5),AK$8)&lt;Resumen!$C$4+30,"Caduca pronto","OK"))))))</f>
        <v/>
      </c>
      <c r="AL113" s="26" t="str">
        <f aca="false">IF(OR($A113="",AL$4=""),"",IF(NOT(OR(AL$6="Toda la plantilla",ISNUMBER(SEARCH(";"&amp;SUBSTITUTE($C113," ","")&amp;";",";"&amp;SUBSTITUTE(AL$7," ","")&amp;";")))),"—",IF(_xlfn.MAXIFS(Acuses!$C$5:$C$3004,Acuses!$A$5:$A$3004,$A113,Acuses!$B$5:$B$3004,AL$4)&lt;AL$5,"Pendiente",IF(AL$8=0,"OK",IF(EDATE(_xlfn.MAXIFS(Acuses!$D$5:$D$3004,Acuses!$A$5:$A$3004,$A113,Acuses!$B$5:$B$3004,AL$4,Acuses!$C$5:$C$3004,AL$5),AL$8)&lt;Resumen!$C$4,"Caducado",IF(EDATE(_xlfn.MAXIFS(Acuses!$D$5:$D$3004,Acuses!$A$5:$A$3004,$A113,Acuses!$B$5:$B$3004,AL$4,Acuses!$C$5:$C$3004,AL$5),AL$8)&lt;Resumen!$C$4+30,"Caduca pronto","OK"))))))</f>
        <v/>
      </c>
      <c r="AM113" s="26" t="str">
        <f aca="false">IF(OR($A113="",AM$4=""),"",IF(NOT(OR(AM$6="Toda la plantilla",ISNUMBER(SEARCH(";"&amp;SUBSTITUTE($C113," ","")&amp;";",";"&amp;SUBSTITUTE(AM$7," ","")&amp;";")))),"—",IF(_xlfn.MAXIFS(Acuses!$C$5:$C$3004,Acuses!$A$5:$A$3004,$A113,Acuses!$B$5:$B$3004,AM$4)&lt;AM$5,"Pendiente",IF(AM$8=0,"OK",IF(EDATE(_xlfn.MAXIFS(Acuses!$D$5:$D$3004,Acuses!$A$5:$A$3004,$A113,Acuses!$B$5:$B$3004,AM$4,Acuses!$C$5:$C$3004,AM$5),AM$8)&lt;Resumen!$C$4,"Caducado",IF(EDATE(_xlfn.MAXIFS(Acuses!$D$5:$D$3004,Acuses!$A$5:$A$3004,$A113,Acuses!$B$5:$B$3004,AM$4,Acuses!$C$5:$C$3004,AM$5),AM$8)&lt;Resumen!$C$4+30,"Caduca pronto","OK"))))))</f>
        <v/>
      </c>
      <c r="AN113" s="26" t="str">
        <f aca="false">IF(OR($A113="",AN$4=""),"",IF(NOT(OR(AN$6="Toda la plantilla",ISNUMBER(SEARCH(";"&amp;SUBSTITUTE($C113," ","")&amp;";",";"&amp;SUBSTITUTE(AN$7," ","")&amp;";")))),"—",IF(_xlfn.MAXIFS(Acuses!$C$5:$C$3004,Acuses!$A$5:$A$3004,$A113,Acuses!$B$5:$B$3004,AN$4)&lt;AN$5,"Pendiente",IF(AN$8=0,"OK",IF(EDATE(_xlfn.MAXIFS(Acuses!$D$5:$D$3004,Acuses!$A$5:$A$3004,$A113,Acuses!$B$5:$B$3004,AN$4,Acuses!$C$5:$C$3004,AN$5),AN$8)&lt;Resumen!$C$4,"Caducado",IF(EDATE(_xlfn.MAXIFS(Acuses!$D$5:$D$3004,Acuses!$A$5:$A$3004,$A113,Acuses!$B$5:$B$3004,AN$4,Acuses!$C$5:$C$3004,AN$5),AN$8)&lt;Resumen!$C$4+30,"Caduca pronto","OK"))))))</f>
        <v/>
      </c>
      <c r="AO113" s="26" t="str">
        <f aca="false">IF(OR($A113="",AO$4=""),"",IF(NOT(OR(AO$6="Toda la plantilla",ISNUMBER(SEARCH(";"&amp;SUBSTITUTE($C113," ","")&amp;";",";"&amp;SUBSTITUTE(AO$7," ","")&amp;";")))),"—",IF(_xlfn.MAXIFS(Acuses!$C$5:$C$3004,Acuses!$A$5:$A$3004,$A113,Acuses!$B$5:$B$3004,AO$4)&lt;AO$5,"Pendiente",IF(AO$8=0,"OK",IF(EDATE(_xlfn.MAXIFS(Acuses!$D$5:$D$3004,Acuses!$A$5:$A$3004,$A113,Acuses!$B$5:$B$3004,AO$4,Acuses!$C$5:$C$3004,AO$5),AO$8)&lt;Resumen!$C$4,"Caducado",IF(EDATE(_xlfn.MAXIFS(Acuses!$D$5:$D$3004,Acuses!$A$5:$A$3004,$A113,Acuses!$B$5:$B$3004,AO$4,Acuses!$C$5:$C$3004,AO$5),AO$8)&lt;Resumen!$C$4+30,"Caduca pronto","OK"))))))</f>
        <v/>
      </c>
      <c r="AP113" s="26" t="str">
        <f aca="false">IF(OR($A113="",AP$4=""),"",IF(NOT(OR(AP$6="Toda la plantilla",ISNUMBER(SEARCH(";"&amp;SUBSTITUTE($C113," ","")&amp;";",";"&amp;SUBSTITUTE(AP$7," ","")&amp;";")))),"—",IF(_xlfn.MAXIFS(Acuses!$C$5:$C$3004,Acuses!$A$5:$A$3004,$A113,Acuses!$B$5:$B$3004,AP$4)&lt;AP$5,"Pendiente",IF(AP$8=0,"OK",IF(EDATE(_xlfn.MAXIFS(Acuses!$D$5:$D$3004,Acuses!$A$5:$A$3004,$A113,Acuses!$B$5:$B$3004,AP$4,Acuses!$C$5:$C$3004,AP$5),AP$8)&lt;Resumen!$C$4,"Caducado",IF(EDATE(_xlfn.MAXIFS(Acuses!$D$5:$D$3004,Acuses!$A$5:$A$3004,$A113,Acuses!$B$5:$B$3004,AP$4,Acuses!$C$5:$C$3004,AP$5),AP$8)&lt;Resumen!$C$4+30,"Caduca pronto","OK"))))))</f>
        <v/>
      </c>
      <c r="AQ113" s="26" t="str">
        <f aca="false">IF(OR($A113="",AQ$4=""),"",IF(NOT(OR(AQ$6="Toda la plantilla",ISNUMBER(SEARCH(";"&amp;SUBSTITUTE($C113," ","")&amp;";",";"&amp;SUBSTITUTE(AQ$7," ","")&amp;";")))),"—",IF(_xlfn.MAXIFS(Acuses!$C$5:$C$3004,Acuses!$A$5:$A$3004,$A113,Acuses!$B$5:$B$3004,AQ$4)&lt;AQ$5,"Pendiente",IF(AQ$8=0,"OK",IF(EDATE(_xlfn.MAXIFS(Acuses!$D$5:$D$3004,Acuses!$A$5:$A$3004,$A113,Acuses!$B$5:$B$3004,AQ$4,Acuses!$C$5:$C$3004,AQ$5),AQ$8)&lt;Resumen!$C$4,"Caducado",IF(EDATE(_xlfn.MAXIFS(Acuses!$D$5:$D$3004,Acuses!$A$5:$A$3004,$A113,Acuses!$B$5:$B$3004,AQ$4,Acuses!$C$5:$C$3004,AQ$5),AQ$8)&lt;Resumen!$C$4+30,"Caduca pronto","OK"))))))</f>
        <v/>
      </c>
    </row>
    <row r="114" customFormat="false" ht="15" hidden="false" customHeight="false" outlineLevel="0" collapsed="false">
      <c r="A114" s="25" t="str">
        <f aca="false">IF(AND(Trabajadores!$A$109&lt;&gt;"",Trabajadores!$G$109&lt;&gt;"No"),Trabajadores!$A$109,"")</f>
        <v/>
      </c>
      <c r="B114" s="25" t="str">
        <f aca="false">IF($A114="","",Trabajadores!$B$109)</f>
        <v/>
      </c>
      <c r="C114" s="25" t="str">
        <f aca="false">IF($A114="","",Trabajadores!$C$109)</f>
        <v/>
      </c>
      <c r="D114" s="26" t="str">
        <f aca="false">IF(OR($A114="",D$4=""),"",IF(NOT(OR(D$6="Toda la plantilla",ISNUMBER(SEARCH(";"&amp;SUBSTITUTE($C114," ","")&amp;";",";"&amp;SUBSTITUTE(D$7," ","")&amp;";")))),"—",IF(_xlfn.MAXIFS(Acuses!$C$5:$C$3004,Acuses!$A$5:$A$3004,$A114,Acuses!$B$5:$B$3004,D$4)&lt;D$5,"Pendiente",IF(D$8=0,"OK",IF(EDATE(_xlfn.MAXIFS(Acuses!$D$5:$D$3004,Acuses!$A$5:$A$3004,$A114,Acuses!$B$5:$B$3004,D$4,Acuses!$C$5:$C$3004,D$5),D$8)&lt;Resumen!$C$4,"Caducado",IF(EDATE(_xlfn.MAXIFS(Acuses!$D$5:$D$3004,Acuses!$A$5:$A$3004,$A114,Acuses!$B$5:$B$3004,D$4,Acuses!$C$5:$C$3004,D$5),D$8)&lt;Resumen!$C$4+30,"Caduca pronto","OK"))))))</f>
        <v/>
      </c>
      <c r="E114" s="26" t="str">
        <f aca="false">IF(OR($A114="",E$4=""),"",IF(NOT(OR(E$6="Toda la plantilla",ISNUMBER(SEARCH(";"&amp;SUBSTITUTE($C114," ","")&amp;";",";"&amp;SUBSTITUTE(E$7," ","")&amp;";")))),"—",IF(_xlfn.MAXIFS(Acuses!$C$5:$C$3004,Acuses!$A$5:$A$3004,$A114,Acuses!$B$5:$B$3004,E$4)&lt;E$5,"Pendiente",IF(E$8=0,"OK",IF(EDATE(_xlfn.MAXIFS(Acuses!$D$5:$D$3004,Acuses!$A$5:$A$3004,$A114,Acuses!$B$5:$B$3004,E$4,Acuses!$C$5:$C$3004,E$5),E$8)&lt;Resumen!$C$4,"Caducado",IF(EDATE(_xlfn.MAXIFS(Acuses!$D$5:$D$3004,Acuses!$A$5:$A$3004,$A114,Acuses!$B$5:$B$3004,E$4,Acuses!$C$5:$C$3004,E$5),E$8)&lt;Resumen!$C$4+30,"Caduca pronto","OK"))))))</f>
        <v/>
      </c>
      <c r="F114" s="26" t="str">
        <f aca="false">IF(OR($A114="",F$4=""),"",IF(NOT(OR(F$6="Toda la plantilla",ISNUMBER(SEARCH(";"&amp;SUBSTITUTE($C114," ","")&amp;";",";"&amp;SUBSTITUTE(F$7," ","")&amp;";")))),"—",IF(_xlfn.MAXIFS(Acuses!$C$5:$C$3004,Acuses!$A$5:$A$3004,$A114,Acuses!$B$5:$B$3004,F$4)&lt;F$5,"Pendiente",IF(F$8=0,"OK",IF(EDATE(_xlfn.MAXIFS(Acuses!$D$5:$D$3004,Acuses!$A$5:$A$3004,$A114,Acuses!$B$5:$B$3004,F$4,Acuses!$C$5:$C$3004,F$5),F$8)&lt;Resumen!$C$4,"Caducado",IF(EDATE(_xlfn.MAXIFS(Acuses!$D$5:$D$3004,Acuses!$A$5:$A$3004,$A114,Acuses!$B$5:$B$3004,F$4,Acuses!$C$5:$C$3004,F$5),F$8)&lt;Resumen!$C$4+30,"Caduca pronto","OK"))))))</f>
        <v/>
      </c>
      <c r="G114" s="26" t="str">
        <f aca="false">IF(OR($A114="",G$4=""),"",IF(NOT(OR(G$6="Toda la plantilla",ISNUMBER(SEARCH(";"&amp;SUBSTITUTE($C114," ","")&amp;";",";"&amp;SUBSTITUTE(G$7," ","")&amp;";")))),"—",IF(_xlfn.MAXIFS(Acuses!$C$5:$C$3004,Acuses!$A$5:$A$3004,$A114,Acuses!$B$5:$B$3004,G$4)&lt;G$5,"Pendiente",IF(G$8=0,"OK",IF(EDATE(_xlfn.MAXIFS(Acuses!$D$5:$D$3004,Acuses!$A$5:$A$3004,$A114,Acuses!$B$5:$B$3004,G$4,Acuses!$C$5:$C$3004,G$5),G$8)&lt;Resumen!$C$4,"Caducado",IF(EDATE(_xlfn.MAXIFS(Acuses!$D$5:$D$3004,Acuses!$A$5:$A$3004,$A114,Acuses!$B$5:$B$3004,G$4,Acuses!$C$5:$C$3004,G$5),G$8)&lt;Resumen!$C$4+30,"Caduca pronto","OK"))))))</f>
        <v/>
      </c>
      <c r="H114" s="26" t="str">
        <f aca="false">IF(OR($A114="",H$4=""),"",IF(NOT(OR(H$6="Toda la plantilla",ISNUMBER(SEARCH(";"&amp;SUBSTITUTE($C114," ","")&amp;";",";"&amp;SUBSTITUTE(H$7," ","")&amp;";")))),"—",IF(_xlfn.MAXIFS(Acuses!$C$5:$C$3004,Acuses!$A$5:$A$3004,$A114,Acuses!$B$5:$B$3004,H$4)&lt;H$5,"Pendiente",IF(H$8=0,"OK",IF(EDATE(_xlfn.MAXIFS(Acuses!$D$5:$D$3004,Acuses!$A$5:$A$3004,$A114,Acuses!$B$5:$B$3004,H$4,Acuses!$C$5:$C$3004,H$5),H$8)&lt;Resumen!$C$4,"Caducado",IF(EDATE(_xlfn.MAXIFS(Acuses!$D$5:$D$3004,Acuses!$A$5:$A$3004,$A114,Acuses!$B$5:$B$3004,H$4,Acuses!$C$5:$C$3004,H$5),H$8)&lt;Resumen!$C$4+30,"Caduca pronto","OK"))))))</f>
        <v/>
      </c>
      <c r="I114" s="26" t="str">
        <f aca="false">IF(OR($A114="",I$4=""),"",IF(NOT(OR(I$6="Toda la plantilla",ISNUMBER(SEARCH(";"&amp;SUBSTITUTE($C114," ","")&amp;";",";"&amp;SUBSTITUTE(I$7," ","")&amp;";")))),"—",IF(_xlfn.MAXIFS(Acuses!$C$5:$C$3004,Acuses!$A$5:$A$3004,$A114,Acuses!$B$5:$B$3004,I$4)&lt;I$5,"Pendiente",IF(I$8=0,"OK",IF(EDATE(_xlfn.MAXIFS(Acuses!$D$5:$D$3004,Acuses!$A$5:$A$3004,$A114,Acuses!$B$5:$B$3004,I$4,Acuses!$C$5:$C$3004,I$5),I$8)&lt;Resumen!$C$4,"Caducado",IF(EDATE(_xlfn.MAXIFS(Acuses!$D$5:$D$3004,Acuses!$A$5:$A$3004,$A114,Acuses!$B$5:$B$3004,I$4,Acuses!$C$5:$C$3004,I$5),I$8)&lt;Resumen!$C$4+30,"Caduca pronto","OK"))))))</f>
        <v/>
      </c>
      <c r="J114" s="26" t="str">
        <f aca="false">IF(OR($A114="",J$4=""),"",IF(NOT(OR(J$6="Toda la plantilla",ISNUMBER(SEARCH(";"&amp;SUBSTITUTE($C114," ","")&amp;";",";"&amp;SUBSTITUTE(J$7," ","")&amp;";")))),"—",IF(_xlfn.MAXIFS(Acuses!$C$5:$C$3004,Acuses!$A$5:$A$3004,$A114,Acuses!$B$5:$B$3004,J$4)&lt;J$5,"Pendiente",IF(J$8=0,"OK",IF(EDATE(_xlfn.MAXIFS(Acuses!$D$5:$D$3004,Acuses!$A$5:$A$3004,$A114,Acuses!$B$5:$B$3004,J$4,Acuses!$C$5:$C$3004,J$5),J$8)&lt;Resumen!$C$4,"Caducado",IF(EDATE(_xlfn.MAXIFS(Acuses!$D$5:$D$3004,Acuses!$A$5:$A$3004,$A114,Acuses!$B$5:$B$3004,J$4,Acuses!$C$5:$C$3004,J$5),J$8)&lt;Resumen!$C$4+30,"Caduca pronto","OK"))))))</f>
        <v/>
      </c>
      <c r="K114" s="26" t="str">
        <f aca="false">IF(OR($A114="",K$4=""),"",IF(NOT(OR(K$6="Toda la plantilla",ISNUMBER(SEARCH(";"&amp;SUBSTITUTE($C114," ","")&amp;";",";"&amp;SUBSTITUTE(K$7," ","")&amp;";")))),"—",IF(_xlfn.MAXIFS(Acuses!$C$5:$C$3004,Acuses!$A$5:$A$3004,$A114,Acuses!$B$5:$B$3004,K$4)&lt;K$5,"Pendiente",IF(K$8=0,"OK",IF(EDATE(_xlfn.MAXIFS(Acuses!$D$5:$D$3004,Acuses!$A$5:$A$3004,$A114,Acuses!$B$5:$B$3004,K$4,Acuses!$C$5:$C$3004,K$5),K$8)&lt;Resumen!$C$4,"Caducado",IF(EDATE(_xlfn.MAXIFS(Acuses!$D$5:$D$3004,Acuses!$A$5:$A$3004,$A114,Acuses!$B$5:$B$3004,K$4,Acuses!$C$5:$C$3004,K$5),K$8)&lt;Resumen!$C$4+30,"Caduca pronto","OK"))))))</f>
        <v/>
      </c>
      <c r="L114" s="26" t="str">
        <f aca="false">IF(OR($A114="",L$4=""),"",IF(NOT(OR(L$6="Toda la plantilla",ISNUMBER(SEARCH(";"&amp;SUBSTITUTE($C114," ","")&amp;";",";"&amp;SUBSTITUTE(L$7," ","")&amp;";")))),"—",IF(_xlfn.MAXIFS(Acuses!$C$5:$C$3004,Acuses!$A$5:$A$3004,$A114,Acuses!$B$5:$B$3004,L$4)&lt;L$5,"Pendiente",IF(L$8=0,"OK",IF(EDATE(_xlfn.MAXIFS(Acuses!$D$5:$D$3004,Acuses!$A$5:$A$3004,$A114,Acuses!$B$5:$B$3004,L$4,Acuses!$C$5:$C$3004,L$5),L$8)&lt;Resumen!$C$4,"Caducado",IF(EDATE(_xlfn.MAXIFS(Acuses!$D$5:$D$3004,Acuses!$A$5:$A$3004,$A114,Acuses!$B$5:$B$3004,L$4,Acuses!$C$5:$C$3004,L$5),L$8)&lt;Resumen!$C$4+30,"Caduca pronto","OK"))))))</f>
        <v/>
      </c>
      <c r="M114" s="26" t="str">
        <f aca="false">IF(OR($A114="",M$4=""),"",IF(NOT(OR(M$6="Toda la plantilla",ISNUMBER(SEARCH(";"&amp;SUBSTITUTE($C114," ","")&amp;";",";"&amp;SUBSTITUTE(M$7," ","")&amp;";")))),"—",IF(_xlfn.MAXIFS(Acuses!$C$5:$C$3004,Acuses!$A$5:$A$3004,$A114,Acuses!$B$5:$B$3004,M$4)&lt;M$5,"Pendiente",IF(M$8=0,"OK",IF(EDATE(_xlfn.MAXIFS(Acuses!$D$5:$D$3004,Acuses!$A$5:$A$3004,$A114,Acuses!$B$5:$B$3004,M$4,Acuses!$C$5:$C$3004,M$5),M$8)&lt;Resumen!$C$4,"Caducado",IF(EDATE(_xlfn.MAXIFS(Acuses!$D$5:$D$3004,Acuses!$A$5:$A$3004,$A114,Acuses!$B$5:$B$3004,M$4,Acuses!$C$5:$C$3004,M$5),M$8)&lt;Resumen!$C$4+30,"Caduca pronto","OK"))))))</f>
        <v/>
      </c>
      <c r="N114" s="26" t="str">
        <f aca="false">IF(OR($A114="",N$4=""),"",IF(NOT(OR(N$6="Toda la plantilla",ISNUMBER(SEARCH(";"&amp;SUBSTITUTE($C114," ","")&amp;";",";"&amp;SUBSTITUTE(N$7," ","")&amp;";")))),"—",IF(_xlfn.MAXIFS(Acuses!$C$5:$C$3004,Acuses!$A$5:$A$3004,$A114,Acuses!$B$5:$B$3004,N$4)&lt;N$5,"Pendiente",IF(N$8=0,"OK",IF(EDATE(_xlfn.MAXIFS(Acuses!$D$5:$D$3004,Acuses!$A$5:$A$3004,$A114,Acuses!$B$5:$B$3004,N$4,Acuses!$C$5:$C$3004,N$5),N$8)&lt;Resumen!$C$4,"Caducado",IF(EDATE(_xlfn.MAXIFS(Acuses!$D$5:$D$3004,Acuses!$A$5:$A$3004,$A114,Acuses!$B$5:$B$3004,N$4,Acuses!$C$5:$C$3004,N$5),N$8)&lt;Resumen!$C$4+30,"Caduca pronto","OK"))))))</f>
        <v/>
      </c>
      <c r="O114" s="26" t="str">
        <f aca="false">IF(OR($A114="",O$4=""),"",IF(NOT(OR(O$6="Toda la plantilla",ISNUMBER(SEARCH(";"&amp;SUBSTITUTE($C114," ","")&amp;";",";"&amp;SUBSTITUTE(O$7," ","")&amp;";")))),"—",IF(_xlfn.MAXIFS(Acuses!$C$5:$C$3004,Acuses!$A$5:$A$3004,$A114,Acuses!$B$5:$B$3004,O$4)&lt;O$5,"Pendiente",IF(O$8=0,"OK",IF(EDATE(_xlfn.MAXIFS(Acuses!$D$5:$D$3004,Acuses!$A$5:$A$3004,$A114,Acuses!$B$5:$B$3004,O$4,Acuses!$C$5:$C$3004,O$5),O$8)&lt;Resumen!$C$4,"Caducado",IF(EDATE(_xlfn.MAXIFS(Acuses!$D$5:$D$3004,Acuses!$A$5:$A$3004,$A114,Acuses!$B$5:$B$3004,O$4,Acuses!$C$5:$C$3004,O$5),O$8)&lt;Resumen!$C$4+30,"Caduca pronto","OK"))))))</f>
        <v/>
      </c>
      <c r="P114" s="26" t="str">
        <f aca="false">IF(OR($A114="",P$4=""),"",IF(NOT(OR(P$6="Toda la plantilla",ISNUMBER(SEARCH(";"&amp;SUBSTITUTE($C114," ","")&amp;";",";"&amp;SUBSTITUTE(P$7," ","")&amp;";")))),"—",IF(_xlfn.MAXIFS(Acuses!$C$5:$C$3004,Acuses!$A$5:$A$3004,$A114,Acuses!$B$5:$B$3004,P$4)&lt;P$5,"Pendiente",IF(P$8=0,"OK",IF(EDATE(_xlfn.MAXIFS(Acuses!$D$5:$D$3004,Acuses!$A$5:$A$3004,$A114,Acuses!$B$5:$B$3004,P$4,Acuses!$C$5:$C$3004,P$5),P$8)&lt;Resumen!$C$4,"Caducado",IF(EDATE(_xlfn.MAXIFS(Acuses!$D$5:$D$3004,Acuses!$A$5:$A$3004,$A114,Acuses!$B$5:$B$3004,P$4,Acuses!$C$5:$C$3004,P$5),P$8)&lt;Resumen!$C$4+30,"Caduca pronto","OK"))))))</f>
        <v/>
      </c>
      <c r="Q114" s="26" t="str">
        <f aca="false">IF(OR($A114="",Q$4=""),"",IF(NOT(OR(Q$6="Toda la plantilla",ISNUMBER(SEARCH(";"&amp;SUBSTITUTE($C114," ","")&amp;";",";"&amp;SUBSTITUTE(Q$7," ","")&amp;";")))),"—",IF(_xlfn.MAXIFS(Acuses!$C$5:$C$3004,Acuses!$A$5:$A$3004,$A114,Acuses!$B$5:$B$3004,Q$4)&lt;Q$5,"Pendiente",IF(Q$8=0,"OK",IF(EDATE(_xlfn.MAXIFS(Acuses!$D$5:$D$3004,Acuses!$A$5:$A$3004,$A114,Acuses!$B$5:$B$3004,Q$4,Acuses!$C$5:$C$3004,Q$5),Q$8)&lt;Resumen!$C$4,"Caducado",IF(EDATE(_xlfn.MAXIFS(Acuses!$D$5:$D$3004,Acuses!$A$5:$A$3004,$A114,Acuses!$B$5:$B$3004,Q$4,Acuses!$C$5:$C$3004,Q$5),Q$8)&lt;Resumen!$C$4+30,"Caduca pronto","OK"))))))</f>
        <v/>
      </c>
      <c r="R114" s="26" t="str">
        <f aca="false">IF(OR($A114="",R$4=""),"",IF(NOT(OR(R$6="Toda la plantilla",ISNUMBER(SEARCH(";"&amp;SUBSTITUTE($C114," ","")&amp;";",";"&amp;SUBSTITUTE(R$7," ","")&amp;";")))),"—",IF(_xlfn.MAXIFS(Acuses!$C$5:$C$3004,Acuses!$A$5:$A$3004,$A114,Acuses!$B$5:$B$3004,R$4)&lt;R$5,"Pendiente",IF(R$8=0,"OK",IF(EDATE(_xlfn.MAXIFS(Acuses!$D$5:$D$3004,Acuses!$A$5:$A$3004,$A114,Acuses!$B$5:$B$3004,R$4,Acuses!$C$5:$C$3004,R$5),R$8)&lt;Resumen!$C$4,"Caducado",IF(EDATE(_xlfn.MAXIFS(Acuses!$D$5:$D$3004,Acuses!$A$5:$A$3004,$A114,Acuses!$B$5:$B$3004,R$4,Acuses!$C$5:$C$3004,R$5),R$8)&lt;Resumen!$C$4+30,"Caduca pronto","OK"))))))</f>
        <v/>
      </c>
      <c r="S114" s="26" t="str">
        <f aca="false">IF(OR($A114="",S$4=""),"",IF(NOT(OR(S$6="Toda la plantilla",ISNUMBER(SEARCH(";"&amp;SUBSTITUTE($C114," ","")&amp;";",";"&amp;SUBSTITUTE(S$7," ","")&amp;";")))),"—",IF(_xlfn.MAXIFS(Acuses!$C$5:$C$3004,Acuses!$A$5:$A$3004,$A114,Acuses!$B$5:$B$3004,S$4)&lt;S$5,"Pendiente",IF(S$8=0,"OK",IF(EDATE(_xlfn.MAXIFS(Acuses!$D$5:$D$3004,Acuses!$A$5:$A$3004,$A114,Acuses!$B$5:$B$3004,S$4,Acuses!$C$5:$C$3004,S$5),S$8)&lt;Resumen!$C$4,"Caducado",IF(EDATE(_xlfn.MAXIFS(Acuses!$D$5:$D$3004,Acuses!$A$5:$A$3004,$A114,Acuses!$B$5:$B$3004,S$4,Acuses!$C$5:$C$3004,S$5),S$8)&lt;Resumen!$C$4+30,"Caduca pronto","OK"))))))</f>
        <v/>
      </c>
      <c r="T114" s="26" t="str">
        <f aca="false">IF(OR($A114="",T$4=""),"",IF(NOT(OR(T$6="Toda la plantilla",ISNUMBER(SEARCH(";"&amp;SUBSTITUTE($C114," ","")&amp;";",";"&amp;SUBSTITUTE(T$7," ","")&amp;";")))),"—",IF(_xlfn.MAXIFS(Acuses!$C$5:$C$3004,Acuses!$A$5:$A$3004,$A114,Acuses!$B$5:$B$3004,T$4)&lt;T$5,"Pendiente",IF(T$8=0,"OK",IF(EDATE(_xlfn.MAXIFS(Acuses!$D$5:$D$3004,Acuses!$A$5:$A$3004,$A114,Acuses!$B$5:$B$3004,T$4,Acuses!$C$5:$C$3004,T$5),T$8)&lt;Resumen!$C$4,"Caducado",IF(EDATE(_xlfn.MAXIFS(Acuses!$D$5:$D$3004,Acuses!$A$5:$A$3004,$A114,Acuses!$B$5:$B$3004,T$4,Acuses!$C$5:$C$3004,T$5),T$8)&lt;Resumen!$C$4+30,"Caduca pronto","OK"))))))</f>
        <v/>
      </c>
      <c r="U114" s="26" t="str">
        <f aca="false">IF(OR($A114="",U$4=""),"",IF(NOT(OR(U$6="Toda la plantilla",ISNUMBER(SEARCH(";"&amp;SUBSTITUTE($C114," ","")&amp;";",";"&amp;SUBSTITUTE(U$7," ","")&amp;";")))),"—",IF(_xlfn.MAXIFS(Acuses!$C$5:$C$3004,Acuses!$A$5:$A$3004,$A114,Acuses!$B$5:$B$3004,U$4)&lt;U$5,"Pendiente",IF(U$8=0,"OK",IF(EDATE(_xlfn.MAXIFS(Acuses!$D$5:$D$3004,Acuses!$A$5:$A$3004,$A114,Acuses!$B$5:$B$3004,U$4,Acuses!$C$5:$C$3004,U$5),U$8)&lt;Resumen!$C$4,"Caducado",IF(EDATE(_xlfn.MAXIFS(Acuses!$D$5:$D$3004,Acuses!$A$5:$A$3004,$A114,Acuses!$B$5:$B$3004,U$4,Acuses!$C$5:$C$3004,U$5),U$8)&lt;Resumen!$C$4+30,"Caduca pronto","OK"))))))</f>
        <v/>
      </c>
      <c r="V114" s="26" t="str">
        <f aca="false">IF(OR($A114="",V$4=""),"",IF(NOT(OR(V$6="Toda la plantilla",ISNUMBER(SEARCH(";"&amp;SUBSTITUTE($C114," ","")&amp;";",";"&amp;SUBSTITUTE(V$7," ","")&amp;";")))),"—",IF(_xlfn.MAXIFS(Acuses!$C$5:$C$3004,Acuses!$A$5:$A$3004,$A114,Acuses!$B$5:$B$3004,V$4)&lt;V$5,"Pendiente",IF(V$8=0,"OK",IF(EDATE(_xlfn.MAXIFS(Acuses!$D$5:$D$3004,Acuses!$A$5:$A$3004,$A114,Acuses!$B$5:$B$3004,V$4,Acuses!$C$5:$C$3004,V$5),V$8)&lt;Resumen!$C$4,"Caducado",IF(EDATE(_xlfn.MAXIFS(Acuses!$D$5:$D$3004,Acuses!$A$5:$A$3004,$A114,Acuses!$B$5:$B$3004,V$4,Acuses!$C$5:$C$3004,V$5),V$8)&lt;Resumen!$C$4+30,"Caduca pronto","OK"))))))</f>
        <v/>
      </c>
      <c r="W114" s="26" t="str">
        <f aca="false">IF(OR($A114="",W$4=""),"",IF(NOT(OR(W$6="Toda la plantilla",ISNUMBER(SEARCH(";"&amp;SUBSTITUTE($C114," ","")&amp;";",";"&amp;SUBSTITUTE(W$7," ","")&amp;";")))),"—",IF(_xlfn.MAXIFS(Acuses!$C$5:$C$3004,Acuses!$A$5:$A$3004,$A114,Acuses!$B$5:$B$3004,W$4)&lt;W$5,"Pendiente",IF(W$8=0,"OK",IF(EDATE(_xlfn.MAXIFS(Acuses!$D$5:$D$3004,Acuses!$A$5:$A$3004,$A114,Acuses!$B$5:$B$3004,W$4,Acuses!$C$5:$C$3004,W$5),W$8)&lt;Resumen!$C$4,"Caducado",IF(EDATE(_xlfn.MAXIFS(Acuses!$D$5:$D$3004,Acuses!$A$5:$A$3004,$A114,Acuses!$B$5:$B$3004,W$4,Acuses!$C$5:$C$3004,W$5),W$8)&lt;Resumen!$C$4+30,"Caduca pronto","OK"))))))</f>
        <v/>
      </c>
      <c r="X114" s="26" t="str">
        <f aca="false">IF(OR($A114="",X$4=""),"",IF(NOT(OR(X$6="Toda la plantilla",ISNUMBER(SEARCH(";"&amp;SUBSTITUTE($C114," ","")&amp;";",";"&amp;SUBSTITUTE(X$7," ","")&amp;";")))),"—",IF(_xlfn.MAXIFS(Acuses!$C$5:$C$3004,Acuses!$A$5:$A$3004,$A114,Acuses!$B$5:$B$3004,X$4)&lt;X$5,"Pendiente",IF(X$8=0,"OK",IF(EDATE(_xlfn.MAXIFS(Acuses!$D$5:$D$3004,Acuses!$A$5:$A$3004,$A114,Acuses!$B$5:$B$3004,X$4,Acuses!$C$5:$C$3004,X$5),X$8)&lt;Resumen!$C$4,"Caducado",IF(EDATE(_xlfn.MAXIFS(Acuses!$D$5:$D$3004,Acuses!$A$5:$A$3004,$A114,Acuses!$B$5:$B$3004,X$4,Acuses!$C$5:$C$3004,X$5),X$8)&lt;Resumen!$C$4+30,"Caduca pronto","OK"))))))</f>
        <v/>
      </c>
      <c r="Y114" s="26" t="str">
        <f aca="false">IF(OR($A114="",Y$4=""),"",IF(NOT(OR(Y$6="Toda la plantilla",ISNUMBER(SEARCH(";"&amp;SUBSTITUTE($C114," ","")&amp;";",";"&amp;SUBSTITUTE(Y$7," ","")&amp;";")))),"—",IF(_xlfn.MAXIFS(Acuses!$C$5:$C$3004,Acuses!$A$5:$A$3004,$A114,Acuses!$B$5:$B$3004,Y$4)&lt;Y$5,"Pendiente",IF(Y$8=0,"OK",IF(EDATE(_xlfn.MAXIFS(Acuses!$D$5:$D$3004,Acuses!$A$5:$A$3004,$A114,Acuses!$B$5:$B$3004,Y$4,Acuses!$C$5:$C$3004,Y$5),Y$8)&lt;Resumen!$C$4,"Caducado",IF(EDATE(_xlfn.MAXIFS(Acuses!$D$5:$D$3004,Acuses!$A$5:$A$3004,$A114,Acuses!$B$5:$B$3004,Y$4,Acuses!$C$5:$C$3004,Y$5),Y$8)&lt;Resumen!$C$4+30,"Caduca pronto","OK"))))))</f>
        <v/>
      </c>
      <c r="Z114" s="26" t="str">
        <f aca="false">IF(OR($A114="",Z$4=""),"",IF(NOT(OR(Z$6="Toda la plantilla",ISNUMBER(SEARCH(";"&amp;SUBSTITUTE($C114," ","")&amp;";",";"&amp;SUBSTITUTE(Z$7," ","")&amp;";")))),"—",IF(_xlfn.MAXIFS(Acuses!$C$5:$C$3004,Acuses!$A$5:$A$3004,$A114,Acuses!$B$5:$B$3004,Z$4)&lt;Z$5,"Pendiente",IF(Z$8=0,"OK",IF(EDATE(_xlfn.MAXIFS(Acuses!$D$5:$D$3004,Acuses!$A$5:$A$3004,$A114,Acuses!$B$5:$B$3004,Z$4,Acuses!$C$5:$C$3004,Z$5),Z$8)&lt;Resumen!$C$4,"Caducado",IF(EDATE(_xlfn.MAXIFS(Acuses!$D$5:$D$3004,Acuses!$A$5:$A$3004,$A114,Acuses!$B$5:$B$3004,Z$4,Acuses!$C$5:$C$3004,Z$5),Z$8)&lt;Resumen!$C$4+30,"Caduca pronto","OK"))))))</f>
        <v/>
      </c>
      <c r="AA114" s="26" t="str">
        <f aca="false">IF(OR($A114="",AA$4=""),"",IF(NOT(OR(AA$6="Toda la plantilla",ISNUMBER(SEARCH(";"&amp;SUBSTITUTE($C114," ","")&amp;";",";"&amp;SUBSTITUTE(AA$7," ","")&amp;";")))),"—",IF(_xlfn.MAXIFS(Acuses!$C$5:$C$3004,Acuses!$A$5:$A$3004,$A114,Acuses!$B$5:$B$3004,AA$4)&lt;AA$5,"Pendiente",IF(AA$8=0,"OK",IF(EDATE(_xlfn.MAXIFS(Acuses!$D$5:$D$3004,Acuses!$A$5:$A$3004,$A114,Acuses!$B$5:$B$3004,AA$4,Acuses!$C$5:$C$3004,AA$5),AA$8)&lt;Resumen!$C$4,"Caducado",IF(EDATE(_xlfn.MAXIFS(Acuses!$D$5:$D$3004,Acuses!$A$5:$A$3004,$A114,Acuses!$B$5:$B$3004,AA$4,Acuses!$C$5:$C$3004,AA$5),AA$8)&lt;Resumen!$C$4+30,"Caduca pronto","OK"))))))</f>
        <v/>
      </c>
      <c r="AB114" s="26" t="str">
        <f aca="false">IF(OR($A114="",AB$4=""),"",IF(NOT(OR(AB$6="Toda la plantilla",ISNUMBER(SEARCH(";"&amp;SUBSTITUTE($C114," ","")&amp;";",";"&amp;SUBSTITUTE(AB$7," ","")&amp;";")))),"—",IF(_xlfn.MAXIFS(Acuses!$C$5:$C$3004,Acuses!$A$5:$A$3004,$A114,Acuses!$B$5:$B$3004,AB$4)&lt;AB$5,"Pendiente",IF(AB$8=0,"OK",IF(EDATE(_xlfn.MAXIFS(Acuses!$D$5:$D$3004,Acuses!$A$5:$A$3004,$A114,Acuses!$B$5:$B$3004,AB$4,Acuses!$C$5:$C$3004,AB$5),AB$8)&lt;Resumen!$C$4,"Caducado",IF(EDATE(_xlfn.MAXIFS(Acuses!$D$5:$D$3004,Acuses!$A$5:$A$3004,$A114,Acuses!$B$5:$B$3004,AB$4,Acuses!$C$5:$C$3004,AB$5),AB$8)&lt;Resumen!$C$4+30,"Caduca pronto","OK"))))))</f>
        <v/>
      </c>
      <c r="AC114" s="26" t="str">
        <f aca="false">IF(OR($A114="",AC$4=""),"",IF(NOT(OR(AC$6="Toda la plantilla",ISNUMBER(SEARCH(";"&amp;SUBSTITUTE($C114," ","")&amp;";",";"&amp;SUBSTITUTE(AC$7," ","")&amp;";")))),"—",IF(_xlfn.MAXIFS(Acuses!$C$5:$C$3004,Acuses!$A$5:$A$3004,$A114,Acuses!$B$5:$B$3004,AC$4)&lt;AC$5,"Pendiente",IF(AC$8=0,"OK",IF(EDATE(_xlfn.MAXIFS(Acuses!$D$5:$D$3004,Acuses!$A$5:$A$3004,$A114,Acuses!$B$5:$B$3004,AC$4,Acuses!$C$5:$C$3004,AC$5),AC$8)&lt;Resumen!$C$4,"Caducado",IF(EDATE(_xlfn.MAXIFS(Acuses!$D$5:$D$3004,Acuses!$A$5:$A$3004,$A114,Acuses!$B$5:$B$3004,AC$4,Acuses!$C$5:$C$3004,AC$5),AC$8)&lt;Resumen!$C$4+30,"Caduca pronto","OK"))))))</f>
        <v/>
      </c>
      <c r="AD114" s="26" t="str">
        <f aca="false">IF(OR($A114="",AD$4=""),"",IF(NOT(OR(AD$6="Toda la plantilla",ISNUMBER(SEARCH(";"&amp;SUBSTITUTE($C114," ","")&amp;";",";"&amp;SUBSTITUTE(AD$7," ","")&amp;";")))),"—",IF(_xlfn.MAXIFS(Acuses!$C$5:$C$3004,Acuses!$A$5:$A$3004,$A114,Acuses!$B$5:$B$3004,AD$4)&lt;AD$5,"Pendiente",IF(AD$8=0,"OK",IF(EDATE(_xlfn.MAXIFS(Acuses!$D$5:$D$3004,Acuses!$A$5:$A$3004,$A114,Acuses!$B$5:$B$3004,AD$4,Acuses!$C$5:$C$3004,AD$5),AD$8)&lt;Resumen!$C$4,"Caducado",IF(EDATE(_xlfn.MAXIFS(Acuses!$D$5:$D$3004,Acuses!$A$5:$A$3004,$A114,Acuses!$B$5:$B$3004,AD$4,Acuses!$C$5:$C$3004,AD$5),AD$8)&lt;Resumen!$C$4+30,"Caduca pronto","OK"))))))</f>
        <v/>
      </c>
      <c r="AE114" s="26" t="str">
        <f aca="false">IF(OR($A114="",AE$4=""),"",IF(NOT(OR(AE$6="Toda la plantilla",ISNUMBER(SEARCH(";"&amp;SUBSTITUTE($C114," ","")&amp;";",";"&amp;SUBSTITUTE(AE$7," ","")&amp;";")))),"—",IF(_xlfn.MAXIFS(Acuses!$C$5:$C$3004,Acuses!$A$5:$A$3004,$A114,Acuses!$B$5:$B$3004,AE$4)&lt;AE$5,"Pendiente",IF(AE$8=0,"OK",IF(EDATE(_xlfn.MAXIFS(Acuses!$D$5:$D$3004,Acuses!$A$5:$A$3004,$A114,Acuses!$B$5:$B$3004,AE$4,Acuses!$C$5:$C$3004,AE$5),AE$8)&lt;Resumen!$C$4,"Caducado",IF(EDATE(_xlfn.MAXIFS(Acuses!$D$5:$D$3004,Acuses!$A$5:$A$3004,$A114,Acuses!$B$5:$B$3004,AE$4,Acuses!$C$5:$C$3004,AE$5),AE$8)&lt;Resumen!$C$4+30,"Caduca pronto","OK"))))))</f>
        <v/>
      </c>
      <c r="AF114" s="26" t="str">
        <f aca="false">IF(OR($A114="",AF$4=""),"",IF(NOT(OR(AF$6="Toda la plantilla",ISNUMBER(SEARCH(";"&amp;SUBSTITUTE($C114," ","")&amp;";",";"&amp;SUBSTITUTE(AF$7," ","")&amp;";")))),"—",IF(_xlfn.MAXIFS(Acuses!$C$5:$C$3004,Acuses!$A$5:$A$3004,$A114,Acuses!$B$5:$B$3004,AF$4)&lt;AF$5,"Pendiente",IF(AF$8=0,"OK",IF(EDATE(_xlfn.MAXIFS(Acuses!$D$5:$D$3004,Acuses!$A$5:$A$3004,$A114,Acuses!$B$5:$B$3004,AF$4,Acuses!$C$5:$C$3004,AF$5),AF$8)&lt;Resumen!$C$4,"Caducado",IF(EDATE(_xlfn.MAXIFS(Acuses!$D$5:$D$3004,Acuses!$A$5:$A$3004,$A114,Acuses!$B$5:$B$3004,AF$4,Acuses!$C$5:$C$3004,AF$5),AF$8)&lt;Resumen!$C$4+30,"Caduca pronto","OK"))))))</f>
        <v/>
      </c>
      <c r="AG114" s="26" t="str">
        <f aca="false">IF(OR($A114="",AG$4=""),"",IF(NOT(OR(AG$6="Toda la plantilla",ISNUMBER(SEARCH(";"&amp;SUBSTITUTE($C114," ","")&amp;";",";"&amp;SUBSTITUTE(AG$7," ","")&amp;";")))),"—",IF(_xlfn.MAXIFS(Acuses!$C$5:$C$3004,Acuses!$A$5:$A$3004,$A114,Acuses!$B$5:$B$3004,AG$4)&lt;AG$5,"Pendiente",IF(AG$8=0,"OK",IF(EDATE(_xlfn.MAXIFS(Acuses!$D$5:$D$3004,Acuses!$A$5:$A$3004,$A114,Acuses!$B$5:$B$3004,AG$4,Acuses!$C$5:$C$3004,AG$5),AG$8)&lt;Resumen!$C$4,"Caducado",IF(EDATE(_xlfn.MAXIFS(Acuses!$D$5:$D$3004,Acuses!$A$5:$A$3004,$A114,Acuses!$B$5:$B$3004,AG$4,Acuses!$C$5:$C$3004,AG$5),AG$8)&lt;Resumen!$C$4+30,"Caduca pronto","OK"))))))</f>
        <v/>
      </c>
      <c r="AH114" s="26" t="str">
        <f aca="false">IF(OR($A114="",AH$4=""),"",IF(NOT(OR(AH$6="Toda la plantilla",ISNUMBER(SEARCH(";"&amp;SUBSTITUTE($C114," ","")&amp;";",";"&amp;SUBSTITUTE(AH$7," ","")&amp;";")))),"—",IF(_xlfn.MAXIFS(Acuses!$C$5:$C$3004,Acuses!$A$5:$A$3004,$A114,Acuses!$B$5:$B$3004,AH$4)&lt;AH$5,"Pendiente",IF(AH$8=0,"OK",IF(EDATE(_xlfn.MAXIFS(Acuses!$D$5:$D$3004,Acuses!$A$5:$A$3004,$A114,Acuses!$B$5:$B$3004,AH$4,Acuses!$C$5:$C$3004,AH$5),AH$8)&lt;Resumen!$C$4,"Caducado",IF(EDATE(_xlfn.MAXIFS(Acuses!$D$5:$D$3004,Acuses!$A$5:$A$3004,$A114,Acuses!$B$5:$B$3004,AH$4,Acuses!$C$5:$C$3004,AH$5),AH$8)&lt;Resumen!$C$4+30,"Caduca pronto","OK"))))))</f>
        <v/>
      </c>
      <c r="AI114" s="26" t="str">
        <f aca="false">IF(OR($A114="",AI$4=""),"",IF(NOT(OR(AI$6="Toda la plantilla",ISNUMBER(SEARCH(";"&amp;SUBSTITUTE($C114," ","")&amp;";",";"&amp;SUBSTITUTE(AI$7," ","")&amp;";")))),"—",IF(_xlfn.MAXIFS(Acuses!$C$5:$C$3004,Acuses!$A$5:$A$3004,$A114,Acuses!$B$5:$B$3004,AI$4)&lt;AI$5,"Pendiente",IF(AI$8=0,"OK",IF(EDATE(_xlfn.MAXIFS(Acuses!$D$5:$D$3004,Acuses!$A$5:$A$3004,$A114,Acuses!$B$5:$B$3004,AI$4,Acuses!$C$5:$C$3004,AI$5),AI$8)&lt;Resumen!$C$4,"Caducado",IF(EDATE(_xlfn.MAXIFS(Acuses!$D$5:$D$3004,Acuses!$A$5:$A$3004,$A114,Acuses!$B$5:$B$3004,AI$4,Acuses!$C$5:$C$3004,AI$5),AI$8)&lt;Resumen!$C$4+30,"Caduca pronto","OK"))))))</f>
        <v/>
      </c>
      <c r="AJ114" s="26" t="str">
        <f aca="false">IF(OR($A114="",AJ$4=""),"",IF(NOT(OR(AJ$6="Toda la plantilla",ISNUMBER(SEARCH(";"&amp;SUBSTITUTE($C114," ","")&amp;";",";"&amp;SUBSTITUTE(AJ$7," ","")&amp;";")))),"—",IF(_xlfn.MAXIFS(Acuses!$C$5:$C$3004,Acuses!$A$5:$A$3004,$A114,Acuses!$B$5:$B$3004,AJ$4)&lt;AJ$5,"Pendiente",IF(AJ$8=0,"OK",IF(EDATE(_xlfn.MAXIFS(Acuses!$D$5:$D$3004,Acuses!$A$5:$A$3004,$A114,Acuses!$B$5:$B$3004,AJ$4,Acuses!$C$5:$C$3004,AJ$5),AJ$8)&lt;Resumen!$C$4,"Caducado",IF(EDATE(_xlfn.MAXIFS(Acuses!$D$5:$D$3004,Acuses!$A$5:$A$3004,$A114,Acuses!$B$5:$B$3004,AJ$4,Acuses!$C$5:$C$3004,AJ$5),AJ$8)&lt;Resumen!$C$4+30,"Caduca pronto","OK"))))))</f>
        <v/>
      </c>
      <c r="AK114" s="26" t="str">
        <f aca="false">IF(OR($A114="",AK$4=""),"",IF(NOT(OR(AK$6="Toda la plantilla",ISNUMBER(SEARCH(";"&amp;SUBSTITUTE($C114," ","")&amp;";",";"&amp;SUBSTITUTE(AK$7," ","")&amp;";")))),"—",IF(_xlfn.MAXIFS(Acuses!$C$5:$C$3004,Acuses!$A$5:$A$3004,$A114,Acuses!$B$5:$B$3004,AK$4)&lt;AK$5,"Pendiente",IF(AK$8=0,"OK",IF(EDATE(_xlfn.MAXIFS(Acuses!$D$5:$D$3004,Acuses!$A$5:$A$3004,$A114,Acuses!$B$5:$B$3004,AK$4,Acuses!$C$5:$C$3004,AK$5),AK$8)&lt;Resumen!$C$4,"Caducado",IF(EDATE(_xlfn.MAXIFS(Acuses!$D$5:$D$3004,Acuses!$A$5:$A$3004,$A114,Acuses!$B$5:$B$3004,AK$4,Acuses!$C$5:$C$3004,AK$5),AK$8)&lt;Resumen!$C$4+30,"Caduca pronto","OK"))))))</f>
        <v/>
      </c>
      <c r="AL114" s="26" t="str">
        <f aca="false">IF(OR($A114="",AL$4=""),"",IF(NOT(OR(AL$6="Toda la plantilla",ISNUMBER(SEARCH(";"&amp;SUBSTITUTE($C114," ","")&amp;";",";"&amp;SUBSTITUTE(AL$7," ","")&amp;";")))),"—",IF(_xlfn.MAXIFS(Acuses!$C$5:$C$3004,Acuses!$A$5:$A$3004,$A114,Acuses!$B$5:$B$3004,AL$4)&lt;AL$5,"Pendiente",IF(AL$8=0,"OK",IF(EDATE(_xlfn.MAXIFS(Acuses!$D$5:$D$3004,Acuses!$A$5:$A$3004,$A114,Acuses!$B$5:$B$3004,AL$4,Acuses!$C$5:$C$3004,AL$5),AL$8)&lt;Resumen!$C$4,"Caducado",IF(EDATE(_xlfn.MAXIFS(Acuses!$D$5:$D$3004,Acuses!$A$5:$A$3004,$A114,Acuses!$B$5:$B$3004,AL$4,Acuses!$C$5:$C$3004,AL$5),AL$8)&lt;Resumen!$C$4+30,"Caduca pronto","OK"))))))</f>
        <v/>
      </c>
      <c r="AM114" s="26" t="str">
        <f aca="false">IF(OR($A114="",AM$4=""),"",IF(NOT(OR(AM$6="Toda la plantilla",ISNUMBER(SEARCH(";"&amp;SUBSTITUTE($C114," ","")&amp;";",";"&amp;SUBSTITUTE(AM$7," ","")&amp;";")))),"—",IF(_xlfn.MAXIFS(Acuses!$C$5:$C$3004,Acuses!$A$5:$A$3004,$A114,Acuses!$B$5:$B$3004,AM$4)&lt;AM$5,"Pendiente",IF(AM$8=0,"OK",IF(EDATE(_xlfn.MAXIFS(Acuses!$D$5:$D$3004,Acuses!$A$5:$A$3004,$A114,Acuses!$B$5:$B$3004,AM$4,Acuses!$C$5:$C$3004,AM$5),AM$8)&lt;Resumen!$C$4,"Caducado",IF(EDATE(_xlfn.MAXIFS(Acuses!$D$5:$D$3004,Acuses!$A$5:$A$3004,$A114,Acuses!$B$5:$B$3004,AM$4,Acuses!$C$5:$C$3004,AM$5),AM$8)&lt;Resumen!$C$4+30,"Caduca pronto","OK"))))))</f>
        <v/>
      </c>
      <c r="AN114" s="26" t="str">
        <f aca="false">IF(OR($A114="",AN$4=""),"",IF(NOT(OR(AN$6="Toda la plantilla",ISNUMBER(SEARCH(";"&amp;SUBSTITUTE($C114," ","")&amp;";",";"&amp;SUBSTITUTE(AN$7," ","")&amp;";")))),"—",IF(_xlfn.MAXIFS(Acuses!$C$5:$C$3004,Acuses!$A$5:$A$3004,$A114,Acuses!$B$5:$B$3004,AN$4)&lt;AN$5,"Pendiente",IF(AN$8=0,"OK",IF(EDATE(_xlfn.MAXIFS(Acuses!$D$5:$D$3004,Acuses!$A$5:$A$3004,$A114,Acuses!$B$5:$B$3004,AN$4,Acuses!$C$5:$C$3004,AN$5),AN$8)&lt;Resumen!$C$4,"Caducado",IF(EDATE(_xlfn.MAXIFS(Acuses!$D$5:$D$3004,Acuses!$A$5:$A$3004,$A114,Acuses!$B$5:$B$3004,AN$4,Acuses!$C$5:$C$3004,AN$5),AN$8)&lt;Resumen!$C$4+30,"Caduca pronto","OK"))))))</f>
        <v/>
      </c>
      <c r="AO114" s="26" t="str">
        <f aca="false">IF(OR($A114="",AO$4=""),"",IF(NOT(OR(AO$6="Toda la plantilla",ISNUMBER(SEARCH(";"&amp;SUBSTITUTE($C114," ","")&amp;";",";"&amp;SUBSTITUTE(AO$7," ","")&amp;";")))),"—",IF(_xlfn.MAXIFS(Acuses!$C$5:$C$3004,Acuses!$A$5:$A$3004,$A114,Acuses!$B$5:$B$3004,AO$4)&lt;AO$5,"Pendiente",IF(AO$8=0,"OK",IF(EDATE(_xlfn.MAXIFS(Acuses!$D$5:$D$3004,Acuses!$A$5:$A$3004,$A114,Acuses!$B$5:$B$3004,AO$4,Acuses!$C$5:$C$3004,AO$5),AO$8)&lt;Resumen!$C$4,"Caducado",IF(EDATE(_xlfn.MAXIFS(Acuses!$D$5:$D$3004,Acuses!$A$5:$A$3004,$A114,Acuses!$B$5:$B$3004,AO$4,Acuses!$C$5:$C$3004,AO$5),AO$8)&lt;Resumen!$C$4+30,"Caduca pronto","OK"))))))</f>
        <v/>
      </c>
      <c r="AP114" s="26" t="str">
        <f aca="false">IF(OR($A114="",AP$4=""),"",IF(NOT(OR(AP$6="Toda la plantilla",ISNUMBER(SEARCH(";"&amp;SUBSTITUTE($C114," ","")&amp;";",";"&amp;SUBSTITUTE(AP$7," ","")&amp;";")))),"—",IF(_xlfn.MAXIFS(Acuses!$C$5:$C$3004,Acuses!$A$5:$A$3004,$A114,Acuses!$B$5:$B$3004,AP$4)&lt;AP$5,"Pendiente",IF(AP$8=0,"OK",IF(EDATE(_xlfn.MAXIFS(Acuses!$D$5:$D$3004,Acuses!$A$5:$A$3004,$A114,Acuses!$B$5:$B$3004,AP$4,Acuses!$C$5:$C$3004,AP$5),AP$8)&lt;Resumen!$C$4,"Caducado",IF(EDATE(_xlfn.MAXIFS(Acuses!$D$5:$D$3004,Acuses!$A$5:$A$3004,$A114,Acuses!$B$5:$B$3004,AP$4,Acuses!$C$5:$C$3004,AP$5),AP$8)&lt;Resumen!$C$4+30,"Caduca pronto","OK"))))))</f>
        <v/>
      </c>
      <c r="AQ114" s="26" t="str">
        <f aca="false">IF(OR($A114="",AQ$4=""),"",IF(NOT(OR(AQ$6="Toda la plantilla",ISNUMBER(SEARCH(";"&amp;SUBSTITUTE($C114," ","")&amp;";",";"&amp;SUBSTITUTE(AQ$7," ","")&amp;";")))),"—",IF(_xlfn.MAXIFS(Acuses!$C$5:$C$3004,Acuses!$A$5:$A$3004,$A114,Acuses!$B$5:$B$3004,AQ$4)&lt;AQ$5,"Pendiente",IF(AQ$8=0,"OK",IF(EDATE(_xlfn.MAXIFS(Acuses!$D$5:$D$3004,Acuses!$A$5:$A$3004,$A114,Acuses!$B$5:$B$3004,AQ$4,Acuses!$C$5:$C$3004,AQ$5),AQ$8)&lt;Resumen!$C$4,"Caducado",IF(EDATE(_xlfn.MAXIFS(Acuses!$D$5:$D$3004,Acuses!$A$5:$A$3004,$A114,Acuses!$B$5:$B$3004,AQ$4,Acuses!$C$5:$C$3004,AQ$5),AQ$8)&lt;Resumen!$C$4+30,"Caduca pronto","OK"))))))</f>
        <v/>
      </c>
    </row>
    <row r="115" customFormat="false" ht="15" hidden="false" customHeight="false" outlineLevel="0" collapsed="false">
      <c r="A115" s="25" t="str">
        <f aca="false">IF(AND(Trabajadores!$A$110&lt;&gt;"",Trabajadores!$G$110&lt;&gt;"No"),Trabajadores!$A$110,"")</f>
        <v/>
      </c>
      <c r="B115" s="25" t="str">
        <f aca="false">IF($A115="","",Trabajadores!$B$110)</f>
        <v/>
      </c>
      <c r="C115" s="25" t="str">
        <f aca="false">IF($A115="","",Trabajadores!$C$110)</f>
        <v/>
      </c>
      <c r="D115" s="26" t="str">
        <f aca="false">IF(OR($A115="",D$4=""),"",IF(NOT(OR(D$6="Toda la plantilla",ISNUMBER(SEARCH(";"&amp;SUBSTITUTE($C115," ","")&amp;";",";"&amp;SUBSTITUTE(D$7," ","")&amp;";")))),"—",IF(_xlfn.MAXIFS(Acuses!$C$5:$C$3004,Acuses!$A$5:$A$3004,$A115,Acuses!$B$5:$B$3004,D$4)&lt;D$5,"Pendiente",IF(D$8=0,"OK",IF(EDATE(_xlfn.MAXIFS(Acuses!$D$5:$D$3004,Acuses!$A$5:$A$3004,$A115,Acuses!$B$5:$B$3004,D$4,Acuses!$C$5:$C$3004,D$5),D$8)&lt;Resumen!$C$4,"Caducado",IF(EDATE(_xlfn.MAXIFS(Acuses!$D$5:$D$3004,Acuses!$A$5:$A$3004,$A115,Acuses!$B$5:$B$3004,D$4,Acuses!$C$5:$C$3004,D$5),D$8)&lt;Resumen!$C$4+30,"Caduca pronto","OK"))))))</f>
        <v/>
      </c>
      <c r="E115" s="26" t="str">
        <f aca="false">IF(OR($A115="",E$4=""),"",IF(NOT(OR(E$6="Toda la plantilla",ISNUMBER(SEARCH(";"&amp;SUBSTITUTE($C115," ","")&amp;";",";"&amp;SUBSTITUTE(E$7," ","")&amp;";")))),"—",IF(_xlfn.MAXIFS(Acuses!$C$5:$C$3004,Acuses!$A$5:$A$3004,$A115,Acuses!$B$5:$B$3004,E$4)&lt;E$5,"Pendiente",IF(E$8=0,"OK",IF(EDATE(_xlfn.MAXIFS(Acuses!$D$5:$D$3004,Acuses!$A$5:$A$3004,$A115,Acuses!$B$5:$B$3004,E$4,Acuses!$C$5:$C$3004,E$5),E$8)&lt;Resumen!$C$4,"Caducado",IF(EDATE(_xlfn.MAXIFS(Acuses!$D$5:$D$3004,Acuses!$A$5:$A$3004,$A115,Acuses!$B$5:$B$3004,E$4,Acuses!$C$5:$C$3004,E$5),E$8)&lt;Resumen!$C$4+30,"Caduca pronto","OK"))))))</f>
        <v/>
      </c>
      <c r="F115" s="26" t="str">
        <f aca="false">IF(OR($A115="",F$4=""),"",IF(NOT(OR(F$6="Toda la plantilla",ISNUMBER(SEARCH(";"&amp;SUBSTITUTE($C115," ","")&amp;";",";"&amp;SUBSTITUTE(F$7," ","")&amp;";")))),"—",IF(_xlfn.MAXIFS(Acuses!$C$5:$C$3004,Acuses!$A$5:$A$3004,$A115,Acuses!$B$5:$B$3004,F$4)&lt;F$5,"Pendiente",IF(F$8=0,"OK",IF(EDATE(_xlfn.MAXIFS(Acuses!$D$5:$D$3004,Acuses!$A$5:$A$3004,$A115,Acuses!$B$5:$B$3004,F$4,Acuses!$C$5:$C$3004,F$5),F$8)&lt;Resumen!$C$4,"Caducado",IF(EDATE(_xlfn.MAXIFS(Acuses!$D$5:$D$3004,Acuses!$A$5:$A$3004,$A115,Acuses!$B$5:$B$3004,F$4,Acuses!$C$5:$C$3004,F$5),F$8)&lt;Resumen!$C$4+30,"Caduca pronto","OK"))))))</f>
        <v/>
      </c>
      <c r="G115" s="26" t="str">
        <f aca="false">IF(OR($A115="",G$4=""),"",IF(NOT(OR(G$6="Toda la plantilla",ISNUMBER(SEARCH(";"&amp;SUBSTITUTE($C115," ","")&amp;";",";"&amp;SUBSTITUTE(G$7," ","")&amp;";")))),"—",IF(_xlfn.MAXIFS(Acuses!$C$5:$C$3004,Acuses!$A$5:$A$3004,$A115,Acuses!$B$5:$B$3004,G$4)&lt;G$5,"Pendiente",IF(G$8=0,"OK",IF(EDATE(_xlfn.MAXIFS(Acuses!$D$5:$D$3004,Acuses!$A$5:$A$3004,$A115,Acuses!$B$5:$B$3004,G$4,Acuses!$C$5:$C$3004,G$5),G$8)&lt;Resumen!$C$4,"Caducado",IF(EDATE(_xlfn.MAXIFS(Acuses!$D$5:$D$3004,Acuses!$A$5:$A$3004,$A115,Acuses!$B$5:$B$3004,G$4,Acuses!$C$5:$C$3004,G$5),G$8)&lt;Resumen!$C$4+30,"Caduca pronto","OK"))))))</f>
        <v/>
      </c>
      <c r="H115" s="26" t="str">
        <f aca="false">IF(OR($A115="",H$4=""),"",IF(NOT(OR(H$6="Toda la plantilla",ISNUMBER(SEARCH(";"&amp;SUBSTITUTE($C115," ","")&amp;";",";"&amp;SUBSTITUTE(H$7," ","")&amp;";")))),"—",IF(_xlfn.MAXIFS(Acuses!$C$5:$C$3004,Acuses!$A$5:$A$3004,$A115,Acuses!$B$5:$B$3004,H$4)&lt;H$5,"Pendiente",IF(H$8=0,"OK",IF(EDATE(_xlfn.MAXIFS(Acuses!$D$5:$D$3004,Acuses!$A$5:$A$3004,$A115,Acuses!$B$5:$B$3004,H$4,Acuses!$C$5:$C$3004,H$5),H$8)&lt;Resumen!$C$4,"Caducado",IF(EDATE(_xlfn.MAXIFS(Acuses!$D$5:$D$3004,Acuses!$A$5:$A$3004,$A115,Acuses!$B$5:$B$3004,H$4,Acuses!$C$5:$C$3004,H$5),H$8)&lt;Resumen!$C$4+30,"Caduca pronto","OK"))))))</f>
        <v/>
      </c>
      <c r="I115" s="26" t="str">
        <f aca="false">IF(OR($A115="",I$4=""),"",IF(NOT(OR(I$6="Toda la plantilla",ISNUMBER(SEARCH(";"&amp;SUBSTITUTE($C115," ","")&amp;";",";"&amp;SUBSTITUTE(I$7," ","")&amp;";")))),"—",IF(_xlfn.MAXIFS(Acuses!$C$5:$C$3004,Acuses!$A$5:$A$3004,$A115,Acuses!$B$5:$B$3004,I$4)&lt;I$5,"Pendiente",IF(I$8=0,"OK",IF(EDATE(_xlfn.MAXIFS(Acuses!$D$5:$D$3004,Acuses!$A$5:$A$3004,$A115,Acuses!$B$5:$B$3004,I$4,Acuses!$C$5:$C$3004,I$5),I$8)&lt;Resumen!$C$4,"Caducado",IF(EDATE(_xlfn.MAXIFS(Acuses!$D$5:$D$3004,Acuses!$A$5:$A$3004,$A115,Acuses!$B$5:$B$3004,I$4,Acuses!$C$5:$C$3004,I$5),I$8)&lt;Resumen!$C$4+30,"Caduca pronto","OK"))))))</f>
        <v/>
      </c>
      <c r="J115" s="26" t="str">
        <f aca="false">IF(OR($A115="",J$4=""),"",IF(NOT(OR(J$6="Toda la plantilla",ISNUMBER(SEARCH(";"&amp;SUBSTITUTE($C115," ","")&amp;";",";"&amp;SUBSTITUTE(J$7," ","")&amp;";")))),"—",IF(_xlfn.MAXIFS(Acuses!$C$5:$C$3004,Acuses!$A$5:$A$3004,$A115,Acuses!$B$5:$B$3004,J$4)&lt;J$5,"Pendiente",IF(J$8=0,"OK",IF(EDATE(_xlfn.MAXIFS(Acuses!$D$5:$D$3004,Acuses!$A$5:$A$3004,$A115,Acuses!$B$5:$B$3004,J$4,Acuses!$C$5:$C$3004,J$5),J$8)&lt;Resumen!$C$4,"Caducado",IF(EDATE(_xlfn.MAXIFS(Acuses!$D$5:$D$3004,Acuses!$A$5:$A$3004,$A115,Acuses!$B$5:$B$3004,J$4,Acuses!$C$5:$C$3004,J$5),J$8)&lt;Resumen!$C$4+30,"Caduca pronto","OK"))))))</f>
        <v/>
      </c>
      <c r="K115" s="26" t="str">
        <f aca="false">IF(OR($A115="",K$4=""),"",IF(NOT(OR(K$6="Toda la plantilla",ISNUMBER(SEARCH(";"&amp;SUBSTITUTE($C115," ","")&amp;";",";"&amp;SUBSTITUTE(K$7," ","")&amp;";")))),"—",IF(_xlfn.MAXIFS(Acuses!$C$5:$C$3004,Acuses!$A$5:$A$3004,$A115,Acuses!$B$5:$B$3004,K$4)&lt;K$5,"Pendiente",IF(K$8=0,"OK",IF(EDATE(_xlfn.MAXIFS(Acuses!$D$5:$D$3004,Acuses!$A$5:$A$3004,$A115,Acuses!$B$5:$B$3004,K$4,Acuses!$C$5:$C$3004,K$5),K$8)&lt;Resumen!$C$4,"Caducado",IF(EDATE(_xlfn.MAXIFS(Acuses!$D$5:$D$3004,Acuses!$A$5:$A$3004,$A115,Acuses!$B$5:$B$3004,K$4,Acuses!$C$5:$C$3004,K$5),K$8)&lt;Resumen!$C$4+30,"Caduca pronto","OK"))))))</f>
        <v/>
      </c>
      <c r="L115" s="26" t="str">
        <f aca="false">IF(OR($A115="",L$4=""),"",IF(NOT(OR(L$6="Toda la plantilla",ISNUMBER(SEARCH(";"&amp;SUBSTITUTE($C115," ","")&amp;";",";"&amp;SUBSTITUTE(L$7," ","")&amp;";")))),"—",IF(_xlfn.MAXIFS(Acuses!$C$5:$C$3004,Acuses!$A$5:$A$3004,$A115,Acuses!$B$5:$B$3004,L$4)&lt;L$5,"Pendiente",IF(L$8=0,"OK",IF(EDATE(_xlfn.MAXIFS(Acuses!$D$5:$D$3004,Acuses!$A$5:$A$3004,$A115,Acuses!$B$5:$B$3004,L$4,Acuses!$C$5:$C$3004,L$5),L$8)&lt;Resumen!$C$4,"Caducado",IF(EDATE(_xlfn.MAXIFS(Acuses!$D$5:$D$3004,Acuses!$A$5:$A$3004,$A115,Acuses!$B$5:$B$3004,L$4,Acuses!$C$5:$C$3004,L$5),L$8)&lt;Resumen!$C$4+30,"Caduca pronto","OK"))))))</f>
        <v/>
      </c>
      <c r="M115" s="26" t="str">
        <f aca="false">IF(OR($A115="",M$4=""),"",IF(NOT(OR(M$6="Toda la plantilla",ISNUMBER(SEARCH(";"&amp;SUBSTITUTE($C115," ","")&amp;";",";"&amp;SUBSTITUTE(M$7," ","")&amp;";")))),"—",IF(_xlfn.MAXIFS(Acuses!$C$5:$C$3004,Acuses!$A$5:$A$3004,$A115,Acuses!$B$5:$B$3004,M$4)&lt;M$5,"Pendiente",IF(M$8=0,"OK",IF(EDATE(_xlfn.MAXIFS(Acuses!$D$5:$D$3004,Acuses!$A$5:$A$3004,$A115,Acuses!$B$5:$B$3004,M$4,Acuses!$C$5:$C$3004,M$5),M$8)&lt;Resumen!$C$4,"Caducado",IF(EDATE(_xlfn.MAXIFS(Acuses!$D$5:$D$3004,Acuses!$A$5:$A$3004,$A115,Acuses!$B$5:$B$3004,M$4,Acuses!$C$5:$C$3004,M$5),M$8)&lt;Resumen!$C$4+30,"Caduca pronto","OK"))))))</f>
        <v/>
      </c>
      <c r="N115" s="26" t="str">
        <f aca="false">IF(OR($A115="",N$4=""),"",IF(NOT(OR(N$6="Toda la plantilla",ISNUMBER(SEARCH(";"&amp;SUBSTITUTE($C115," ","")&amp;";",";"&amp;SUBSTITUTE(N$7," ","")&amp;";")))),"—",IF(_xlfn.MAXIFS(Acuses!$C$5:$C$3004,Acuses!$A$5:$A$3004,$A115,Acuses!$B$5:$B$3004,N$4)&lt;N$5,"Pendiente",IF(N$8=0,"OK",IF(EDATE(_xlfn.MAXIFS(Acuses!$D$5:$D$3004,Acuses!$A$5:$A$3004,$A115,Acuses!$B$5:$B$3004,N$4,Acuses!$C$5:$C$3004,N$5),N$8)&lt;Resumen!$C$4,"Caducado",IF(EDATE(_xlfn.MAXIFS(Acuses!$D$5:$D$3004,Acuses!$A$5:$A$3004,$A115,Acuses!$B$5:$B$3004,N$4,Acuses!$C$5:$C$3004,N$5),N$8)&lt;Resumen!$C$4+30,"Caduca pronto","OK"))))))</f>
        <v/>
      </c>
      <c r="O115" s="26" t="str">
        <f aca="false">IF(OR($A115="",O$4=""),"",IF(NOT(OR(O$6="Toda la plantilla",ISNUMBER(SEARCH(";"&amp;SUBSTITUTE($C115," ","")&amp;";",";"&amp;SUBSTITUTE(O$7," ","")&amp;";")))),"—",IF(_xlfn.MAXIFS(Acuses!$C$5:$C$3004,Acuses!$A$5:$A$3004,$A115,Acuses!$B$5:$B$3004,O$4)&lt;O$5,"Pendiente",IF(O$8=0,"OK",IF(EDATE(_xlfn.MAXIFS(Acuses!$D$5:$D$3004,Acuses!$A$5:$A$3004,$A115,Acuses!$B$5:$B$3004,O$4,Acuses!$C$5:$C$3004,O$5),O$8)&lt;Resumen!$C$4,"Caducado",IF(EDATE(_xlfn.MAXIFS(Acuses!$D$5:$D$3004,Acuses!$A$5:$A$3004,$A115,Acuses!$B$5:$B$3004,O$4,Acuses!$C$5:$C$3004,O$5),O$8)&lt;Resumen!$C$4+30,"Caduca pronto","OK"))))))</f>
        <v/>
      </c>
      <c r="P115" s="26" t="str">
        <f aca="false">IF(OR($A115="",P$4=""),"",IF(NOT(OR(P$6="Toda la plantilla",ISNUMBER(SEARCH(";"&amp;SUBSTITUTE($C115," ","")&amp;";",";"&amp;SUBSTITUTE(P$7," ","")&amp;";")))),"—",IF(_xlfn.MAXIFS(Acuses!$C$5:$C$3004,Acuses!$A$5:$A$3004,$A115,Acuses!$B$5:$B$3004,P$4)&lt;P$5,"Pendiente",IF(P$8=0,"OK",IF(EDATE(_xlfn.MAXIFS(Acuses!$D$5:$D$3004,Acuses!$A$5:$A$3004,$A115,Acuses!$B$5:$B$3004,P$4,Acuses!$C$5:$C$3004,P$5),P$8)&lt;Resumen!$C$4,"Caducado",IF(EDATE(_xlfn.MAXIFS(Acuses!$D$5:$D$3004,Acuses!$A$5:$A$3004,$A115,Acuses!$B$5:$B$3004,P$4,Acuses!$C$5:$C$3004,P$5),P$8)&lt;Resumen!$C$4+30,"Caduca pronto","OK"))))))</f>
        <v/>
      </c>
      <c r="Q115" s="26" t="str">
        <f aca="false">IF(OR($A115="",Q$4=""),"",IF(NOT(OR(Q$6="Toda la plantilla",ISNUMBER(SEARCH(";"&amp;SUBSTITUTE($C115," ","")&amp;";",";"&amp;SUBSTITUTE(Q$7," ","")&amp;";")))),"—",IF(_xlfn.MAXIFS(Acuses!$C$5:$C$3004,Acuses!$A$5:$A$3004,$A115,Acuses!$B$5:$B$3004,Q$4)&lt;Q$5,"Pendiente",IF(Q$8=0,"OK",IF(EDATE(_xlfn.MAXIFS(Acuses!$D$5:$D$3004,Acuses!$A$5:$A$3004,$A115,Acuses!$B$5:$B$3004,Q$4,Acuses!$C$5:$C$3004,Q$5),Q$8)&lt;Resumen!$C$4,"Caducado",IF(EDATE(_xlfn.MAXIFS(Acuses!$D$5:$D$3004,Acuses!$A$5:$A$3004,$A115,Acuses!$B$5:$B$3004,Q$4,Acuses!$C$5:$C$3004,Q$5),Q$8)&lt;Resumen!$C$4+30,"Caduca pronto","OK"))))))</f>
        <v/>
      </c>
      <c r="R115" s="26" t="str">
        <f aca="false">IF(OR($A115="",R$4=""),"",IF(NOT(OR(R$6="Toda la plantilla",ISNUMBER(SEARCH(";"&amp;SUBSTITUTE($C115," ","")&amp;";",";"&amp;SUBSTITUTE(R$7," ","")&amp;";")))),"—",IF(_xlfn.MAXIFS(Acuses!$C$5:$C$3004,Acuses!$A$5:$A$3004,$A115,Acuses!$B$5:$B$3004,R$4)&lt;R$5,"Pendiente",IF(R$8=0,"OK",IF(EDATE(_xlfn.MAXIFS(Acuses!$D$5:$D$3004,Acuses!$A$5:$A$3004,$A115,Acuses!$B$5:$B$3004,R$4,Acuses!$C$5:$C$3004,R$5),R$8)&lt;Resumen!$C$4,"Caducado",IF(EDATE(_xlfn.MAXIFS(Acuses!$D$5:$D$3004,Acuses!$A$5:$A$3004,$A115,Acuses!$B$5:$B$3004,R$4,Acuses!$C$5:$C$3004,R$5),R$8)&lt;Resumen!$C$4+30,"Caduca pronto","OK"))))))</f>
        <v/>
      </c>
      <c r="S115" s="26" t="str">
        <f aca="false">IF(OR($A115="",S$4=""),"",IF(NOT(OR(S$6="Toda la plantilla",ISNUMBER(SEARCH(";"&amp;SUBSTITUTE($C115," ","")&amp;";",";"&amp;SUBSTITUTE(S$7," ","")&amp;";")))),"—",IF(_xlfn.MAXIFS(Acuses!$C$5:$C$3004,Acuses!$A$5:$A$3004,$A115,Acuses!$B$5:$B$3004,S$4)&lt;S$5,"Pendiente",IF(S$8=0,"OK",IF(EDATE(_xlfn.MAXIFS(Acuses!$D$5:$D$3004,Acuses!$A$5:$A$3004,$A115,Acuses!$B$5:$B$3004,S$4,Acuses!$C$5:$C$3004,S$5),S$8)&lt;Resumen!$C$4,"Caducado",IF(EDATE(_xlfn.MAXIFS(Acuses!$D$5:$D$3004,Acuses!$A$5:$A$3004,$A115,Acuses!$B$5:$B$3004,S$4,Acuses!$C$5:$C$3004,S$5),S$8)&lt;Resumen!$C$4+30,"Caduca pronto","OK"))))))</f>
        <v/>
      </c>
      <c r="T115" s="26" t="str">
        <f aca="false">IF(OR($A115="",T$4=""),"",IF(NOT(OR(T$6="Toda la plantilla",ISNUMBER(SEARCH(";"&amp;SUBSTITUTE($C115," ","")&amp;";",";"&amp;SUBSTITUTE(T$7," ","")&amp;";")))),"—",IF(_xlfn.MAXIFS(Acuses!$C$5:$C$3004,Acuses!$A$5:$A$3004,$A115,Acuses!$B$5:$B$3004,T$4)&lt;T$5,"Pendiente",IF(T$8=0,"OK",IF(EDATE(_xlfn.MAXIFS(Acuses!$D$5:$D$3004,Acuses!$A$5:$A$3004,$A115,Acuses!$B$5:$B$3004,T$4,Acuses!$C$5:$C$3004,T$5),T$8)&lt;Resumen!$C$4,"Caducado",IF(EDATE(_xlfn.MAXIFS(Acuses!$D$5:$D$3004,Acuses!$A$5:$A$3004,$A115,Acuses!$B$5:$B$3004,T$4,Acuses!$C$5:$C$3004,T$5),T$8)&lt;Resumen!$C$4+30,"Caduca pronto","OK"))))))</f>
        <v/>
      </c>
      <c r="U115" s="26" t="str">
        <f aca="false">IF(OR($A115="",U$4=""),"",IF(NOT(OR(U$6="Toda la plantilla",ISNUMBER(SEARCH(";"&amp;SUBSTITUTE($C115," ","")&amp;";",";"&amp;SUBSTITUTE(U$7," ","")&amp;";")))),"—",IF(_xlfn.MAXIFS(Acuses!$C$5:$C$3004,Acuses!$A$5:$A$3004,$A115,Acuses!$B$5:$B$3004,U$4)&lt;U$5,"Pendiente",IF(U$8=0,"OK",IF(EDATE(_xlfn.MAXIFS(Acuses!$D$5:$D$3004,Acuses!$A$5:$A$3004,$A115,Acuses!$B$5:$B$3004,U$4,Acuses!$C$5:$C$3004,U$5),U$8)&lt;Resumen!$C$4,"Caducado",IF(EDATE(_xlfn.MAXIFS(Acuses!$D$5:$D$3004,Acuses!$A$5:$A$3004,$A115,Acuses!$B$5:$B$3004,U$4,Acuses!$C$5:$C$3004,U$5),U$8)&lt;Resumen!$C$4+30,"Caduca pronto","OK"))))))</f>
        <v/>
      </c>
      <c r="V115" s="26" t="str">
        <f aca="false">IF(OR($A115="",V$4=""),"",IF(NOT(OR(V$6="Toda la plantilla",ISNUMBER(SEARCH(";"&amp;SUBSTITUTE($C115," ","")&amp;";",";"&amp;SUBSTITUTE(V$7," ","")&amp;";")))),"—",IF(_xlfn.MAXIFS(Acuses!$C$5:$C$3004,Acuses!$A$5:$A$3004,$A115,Acuses!$B$5:$B$3004,V$4)&lt;V$5,"Pendiente",IF(V$8=0,"OK",IF(EDATE(_xlfn.MAXIFS(Acuses!$D$5:$D$3004,Acuses!$A$5:$A$3004,$A115,Acuses!$B$5:$B$3004,V$4,Acuses!$C$5:$C$3004,V$5),V$8)&lt;Resumen!$C$4,"Caducado",IF(EDATE(_xlfn.MAXIFS(Acuses!$D$5:$D$3004,Acuses!$A$5:$A$3004,$A115,Acuses!$B$5:$B$3004,V$4,Acuses!$C$5:$C$3004,V$5),V$8)&lt;Resumen!$C$4+30,"Caduca pronto","OK"))))))</f>
        <v/>
      </c>
      <c r="W115" s="26" t="str">
        <f aca="false">IF(OR($A115="",W$4=""),"",IF(NOT(OR(W$6="Toda la plantilla",ISNUMBER(SEARCH(";"&amp;SUBSTITUTE($C115," ","")&amp;";",";"&amp;SUBSTITUTE(W$7," ","")&amp;";")))),"—",IF(_xlfn.MAXIFS(Acuses!$C$5:$C$3004,Acuses!$A$5:$A$3004,$A115,Acuses!$B$5:$B$3004,W$4)&lt;W$5,"Pendiente",IF(W$8=0,"OK",IF(EDATE(_xlfn.MAXIFS(Acuses!$D$5:$D$3004,Acuses!$A$5:$A$3004,$A115,Acuses!$B$5:$B$3004,W$4,Acuses!$C$5:$C$3004,W$5),W$8)&lt;Resumen!$C$4,"Caducado",IF(EDATE(_xlfn.MAXIFS(Acuses!$D$5:$D$3004,Acuses!$A$5:$A$3004,$A115,Acuses!$B$5:$B$3004,W$4,Acuses!$C$5:$C$3004,W$5),W$8)&lt;Resumen!$C$4+30,"Caduca pronto","OK"))))))</f>
        <v/>
      </c>
      <c r="X115" s="26" t="str">
        <f aca="false">IF(OR($A115="",X$4=""),"",IF(NOT(OR(X$6="Toda la plantilla",ISNUMBER(SEARCH(";"&amp;SUBSTITUTE($C115," ","")&amp;";",";"&amp;SUBSTITUTE(X$7," ","")&amp;";")))),"—",IF(_xlfn.MAXIFS(Acuses!$C$5:$C$3004,Acuses!$A$5:$A$3004,$A115,Acuses!$B$5:$B$3004,X$4)&lt;X$5,"Pendiente",IF(X$8=0,"OK",IF(EDATE(_xlfn.MAXIFS(Acuses!$D$5:$D$3004,Acuses!$A$5:$A$3004,$A115,Acuses!$B$5:$B$3004,X$4,Acuses!$C$5:$C$3004,X$5),X$8)&lt;Resumen!$C$4,"Caducado",IF(EDATE(_xlfn.MAXIFS(Acuses!$D$5:$D$3004,Acuses!$A$5:$A$3004,$A115,Acuses!$B$5:$B$3004,X$4,Acuses!$C$5:$C$3004,X$5),X$8)&lt;Resumen!$C$4+30,"Caduca pronto","OK"))))))</f>
        <v/>
      </c>
      <c r="Y115" s="26" t="str">
        <f aca="false">IF(OR($A115="",Y$4=""),"",IF(NOT(OR(Y$6="Toda la plantilla",ISNUMBER(SEARCH(";"&amp;SUBSTITUTE($C115," ","")&amp;";",";"&amp;SUBSTITUTE(Y$7," ","")&amp;";")))),"—",IF(_xlfn.MAXIFS(Acuses!$C$5:$C$3004,Acuses!$A$5:$A$3004,$A115,Acuses!$B$5:$B$3004,Y$4)&lt;Y$5,"Pendiente",IF(Y$8=0,"OK",IF(EDATE(_xlfn.MAXIFS(Acuses!$D$5:$D$3004,Acuses!$A$5:$A$3004,$A115,Acuses!$B$5:$B$3004,Y$4,Acuses!$C$5:$C$3004,Y$5),Y$8)&lt;Resumen!$C$4,"Caducado",IF(EDATE(_xlfn.MAXIFS(Acuses!$D$5:$D$3004,Acuses!$A$5:$A$3004,$A115,Acuses!$B$5:$B$3004,Y$4,Acuses!$C$5:$C$3004,Y$5),Y$8)&lt;Resumen!$C$4+30,"Caduca pronto","OK"))))))</f>
        <v/>
      </c>
      <c r="Z115" s="26" t="str">
        <f aca="false">IF(OR($A115="",Z$4=""),"",IF(NOT(OR(Z$6="Toda la plantilla",ISNUMBER(SEARCH(";"&amp;SUBSTITUTE($C115," ","")&amp;";",";"&amp;SUBSTITUTE(Z$7," ","")&amp;";")))),"—",IF(_xlfn.MAXIFS(Acuses!$C$5:$C$3004,Acuses!$A$5:$A$3004,$A115,Acuses!$B$5:$B$3004,Z$4)&lt;Z$5,"Pendiente",IF(Z$8=0,"OK",IF(EDATE(_xlfn.MAXIFS(Acuses!$D$5:$D$3004,Acuses!$A$5:$A$3004,$A115,Acuses!$B$5:$B$3004,Z$4,Acuses!$C$5:$C$3004,Z$5),Z$8)&lt;Resumen!$C$4,"Caducado",IF(EDATE(_xlfn.MAXIFS(Acuses!$D$5:$D$3004,Acuses!$A$5:$A$3004,$A115,Acuses!$B$5:$B$3004,Z$4,Acuses!$C$5:$C$3004,Z$5),Z$8)&lt;Resumen!$C$4+30,"Caduca pronto","OK"))))))</f>
        <v/>
      </c>
      <c r="AA115" s="26" t="str">
        <f aca="false">IF(OR($A115="",AA$4=""),"",IF(NOT(OR(AA$6="Toda la plantilla",ISNUMBER(SEARCH(";"&amp;SUBSTITUTE($C115," ","")&amp;";",";"&amp;SUBSTITUTE(AA$7," ","")&amp;";")))),"—",IF(_xlfn.MAXIFS(Acuses!$C$5:$C$3004,Acuses!$A$5:$A$3004,$A115,Acuses!$B$5:$B$3004,AA$4)&lt;AA$5,"Pendiente",IF(AA$8=0,"OK",IF(EDATE(_xlfn.MAXIFS(Acuses!$D$5:$D$3004,Acuses!$A$5:$A$3004,$A115,Acuses!$B$5:$B$3004,AA$4,Acuses!$C$5:$C$3004,AA$5),AA$8)&lt;Resumen!$C$4,"Caducado",IF(EDATE(_xlfn.MAXIFS(Acuses!$D$5:$D$3004,Acuses!$A$5:$A$3004,$A115,Acuses!$B$5:$B$3004,AA$4,Acuses!$C$5:$C$3004,AA$5),AA$8)&lt;Resumen!$C$4+30,"Caduca pronto","OK"))))))</f>
        <v/>
      </c>
      <c r="AB115" s="26" t="str">
        <f aca="false">IF(OR($A115="",AB$4=""),"",IF(NOT(OR(AB$6="Toda la plantilla",ISNUMBER(SEARCH(";"&amp;SUBSTITUTE($C115," ","")&amp;";",";"&amp;SUBSTITUTE(AB$7," ","")&amp;";")))),"—",IF(_xlfn.MAXIFS(Acuses!$C$5:$C$3004,Acuses!$A$5:$A$3004,$A115,Acuses!$B$5:$B$3004,AB$4)&lt;AB$5,"Pendiente",IF(AB$8=0,"OK",IF(EDATE(_xlfn.MAXIFS(Acuses!$D$5:$D$3004,Acuses!$A$5:$A$3004,$A115,Acuses!$B$5:$B$3004,AB$4,Acuses!$C$5:$C$3004,AB$5),AB$8)&lt;Resumen!$C$4,"Caducado",IF(EDATE(_xlfn.MAXIFS(Acuses!$D$5:$D$3004,Acuses!$A$5:$A$3004,$A115,Acuses!$B$5:$B$3004,AB$4,Acuses!$C$5:$C$3004,AB$5),AB$8)&lt;Resumen!$C$4+30,"Caduca pronto","OK"))))))</f>
        <v/>
      </c>
      <c r="AC115" s="26" t="str">
        <f aca="false">IF(OR($A115="",AC$4=""),"",IF(NOT(OR(AC$6="Toda la plantilla",ISNUMBER(SEARCH(";"&amp;SUBSTITUTE($C115," ","")&amp;";",";"&amp;SUBSTITUTE(AC$7," ","")&amp;";")))),"—",IF(_xlfn.MAXIFS(Acuses!$C$5:$C$3004,Acuses!$A$5:$A$3004,$A115,Acuses!$B$5:$B$3004,AC$4)&lt;AC$5,"Pendiente",IF(AC$8=0,"OK",IF(EDATE(_xlfn.MAXIFS(Acuses!$D$5:$D$3004,Acuses!$A$5:$A$3004,$A115,Acuses!$B$5:$B$3004,AC$4,Acuses!$C$5:$C$3004,AC$5),AC$8)&lt;Resumen!$C$4,"Caducado",IF(EDATE(_xlfn.MAXIFS(Acuses!$D$5:$D$3004,Acuses!$A$5:$A$3004,$A115,Acuses!$B$5:$B$3004,AC$4,Acuses!$C$5:$C$3004,AC$5),AC$8)&lt;Resumen!$C$4+30,"Caduca pronto","OK"))))))</f>
        <v/>
      </c>
      <c r="AD115" s="26" t="str">
        <f aca="false">IF(OR($A115="",AD$4=""),"",IF(NOT(OR(AD$6="Toda la plantilla",ISNUMBER(SEARCH(";"&amp;SUBSTITUTE($C115," ","")&amp;";",";"&amp;SUBSTITUTE(AD$7," ","")&amp;";")))),"—",IF(_xlfn.MAXIFS(Acuses!$C$5:$C$3004,Acuses!$A$5:$A$3004,$A115,Acuses!$B$5:$B$3004,AD$4)&lt;AD$5,"Pendiente",IF(AD$8=0,"OK",IF(EDATE(_xlfn.MAXIFS(Acuses!$D$5:$D$3004,Acuses!$A$5:$A$3004,$A115,Acuses!$B$5:$B$3004,AD$4,Acuses!$C$5:$C$3004,AD$5),AD$8)&lt;Resumen!$C$4,"Caducado",IF(EDATE(_xlfn.MAXIFS(Acuses!$D$5:$D$3004,Acuses!$A$5:$A$3004,$A115,Acuses!$B$5:$B$3004,AD$4,Acuses!$C$5:$C$3004,AD$5),AD$8)&lt;Resumen!$C$4+30,"Caduca pronto","OK"))))))</f>
        <v/>
      </c>
      <c r="AE115" s="26" t="str">
        <f aca="false">IF(OR($A115="",AE$4=""),"",IF(NOT(OR(AE$6="Toda la plantilla",ISNUMBER(SEARCH(";"&amp;SUBSTITUTE($C115," ","")&amp;";",";"&amp;SUBSTITUTE(AE$7," ","")&amp;";")))),"—",IF(_xlfn.MAXIFS(Acuses!$C$5:$C$3004,Acuses!$A$5:$A$3004,$A115,Acuses!$B$5:$B$3004,AE$4)&lt;AE$5,"Pendiente",IF(AE$8=0,"OK",IF(EDATE(_xlfn.MAXIFS(Acuses!$D$5:$D$3004,Acuses!$A$5:$A$3004,$A115,Acuses!$B$5:$B$3004,AE$4,Acuses!$C$5:$C$3004,AE$5),AE$8)&lt;Resumen!$C$4,"Caducado",IF(EDATE(_xlfn.MAXIFS(Acuses!$D$5:$D$3004,Acuses!$A$5:$A$3004,$A115,Acuses!$B$5:$B$3004,AE$4,Acuses!$C$5:$C$3004,AE$5),AE$8)&lt;Resumen!$C$4+30,"Caduca pronto","OK"))))))</f>
        <v/>
      </c>
      <c r="AF115" s="26" t="str">
        <f aca="false">IF(OR($A115="",AF$4=""),"",IF(NOT(OR(AF$6="Toda la plantilla",ISNUMBER(SEARCH(";"&amp;SUBSTITUTE($C115," ","")&amp;";",";"&amp;SUBSTITUTE(AF$7," ","")&amp;";")))),"—",IF(_xlfn.MAXIFS(Acuses!$C$5:$C$3004,Acuses!$A$5:$A$3004,$A115,Acuses!$B$5:$B$3004,AF$4)&lt;AF$5,"Pendiente",IF(AF$8=0,"OK",IF(EDATE(_xlfn.MAXIFS(Acuses!$D$5:$D$3004,Acuses!$A$5:$A$3004,$A115,Acuses!$B$5:$B$3004,AF$4,Acuses!$C$5:$C$3004,AF$5),AF$8)&lt;Resumen!$C$4,"Caducado",IF(EDATE(_xlfn.MAXIFS(Acuses!$D$5:$D$3004,Acuses!$A$5:$A$3004,$A115,Acuses!$B$5:$B$3004,AF$4,Acuses!$C$5:$C$3004,AF$5),AF$8)&lt;Resumen!$C$4+30,"Caduca pronto","OK"))))))</f>
        <v/>
      </c>
      <c r="AG115" s="26" t="str">
        <f aca="false">IF(OR($A115="",AG$4=""),"",IF(NOT(OR(AG$6="Toda la plantilla",ISNUMBER(SEARCH(";"&amp;SUBSTITUTE($C115," ","")&amp;";",";"&amp;SUBSTITUTE(AG$7," ","")&amp;";")))),"—",IF(_xlfn.MAXIFS(Acuses!$C$5:$C$3004,Acuses!$A$5:$A$3004,$A115,Acuses!$B$5:$B$3004,AG$4)&lt;AG$5,"Pendiente",IF(AG$8=0,"OK",IF(EDATE(_xlfn.MAXIFS(Acuses!$D$5:$D$3004,Acuses!$A$5:$A$3004,$A115,Acuses!$B$5:$B$3004,AG$4,Acuses!$C$5:$C$3004,AG$5),AG$8)&lt;Resumen!$C$4,"Caducado",IF(EDATE(_xlfn.MAXIFS(Acuses!$D$5:$D$3004,Acuses!$A$5:$A$3004,$A115,Acuses!$B$5:$B$3004,AG$4,Acuses!$C$5:$C$3004,AG$5),AG$8)&lt;Resumen!$C$4+30,"Caduca pronto","OK"))))))</f>
        <v/>
      </c>
      <c r="AH115" s="26" t="str">
        <f aca="false">IF(OR($A115="",AH$4=""),"",IF(NOT(OR(AH$6="Toda la plantilla",ISNUMBER(SEARCH(";"&amp;SUBSTITUTE($C115," ","")&amp;";",";"&amp;SUBSTITUTE(AH$7," ","")&amp;";")))),"—",IF(_xlfn.MAXIFS(Acuses!$C$5:$C$3004,Acuses!$A$5:$A$3004,$A115,Acuses!$B$5:$B$3004,AH$4)&lt;AH$5,"Pendiente",IF(AH$8=0,"OK",IF(EDATE(_xlfn.MAXIFS(Acuses!$D$5:$D$3004,Acuses!$A$5:$A$3004,$A115,Acuses!$B$5:$B$3004,AH$4,Acuses!$C$5:$C$3004,AH$5),AH$8)&lt;Resumen!$C$4,"Caducado",IF(EDATE(_xlfn.MAXIFS(Acuses!$D$5:$D$3004,Acuses!$A$5:$A$3004,$A115,Acuses!$B$5:$B$3004,AH$4,Acuses!$C$5:$C$3004,AH$5),AH$8)&lt;Resumen!$C$4+30,"Caduca pronto","OK"))))))</f>
        <v/>
      </c>
      <c r="AI115" s="26" t="str">
        <f aca="false">IF(OR($A115="",AI$4=""),"",IF(NOT(OR(AI$6="Toda la plantilla",ISNUMBER(SEARCH(";"&amp;SUBSTITUTE($C115," ","")&amp;";",";"&amp;SUBSTITUTE(AI$7," ","")&amp;";")))),"—",IF(_xlfn.MAXIFS(Acuses!$C$5:$C$3004,Acuses!$A$5:$A$3004,$A115,Acuses!$B$5:$B$3004,AI$4)&lt;AI$5,"Pendiente",IF(AI$8=0,"OK",IF(EDATE(_xlfn.MAXIFS(Acuses!$D$5:$D$3004,Acuses!$A$5:$A$3004,$A115,Acuses!$B$5:$B$3004,AI$4,Acuses!$C$5:$C$3004,AI$5),AI$8)&lt;Resumen!$C$4,"Caducado",IF(EDATE(_xlfn.MAXIFS(Acuses!$D$5:$D$3004,Acuses!$A$5:$A$3004,$A115,Acuses!$B$5:$B$3004,AI$4,Acuses!$C$5:$C$3004,AI$5),AI$8)&lt;Resumen!$C$4+30,"Caduca pronto","OK"))))))</f>
        <v/>
      </c>
      <c r="AJ115" s="26" t="str">
        <f aca="false">IF(OR($A115="",AJ$4=""),"",IF(NOT(OR(AJ$6="Toda la plantilla",ISNUMBER(SEARCH(";"&amp;SUBSTITUTE($C115," ","")&amp;";",";"&amp;SUBSTITUTE(AJ$7," ","")&amp;";")))),"—",IF(_xlfn.MAXIFS(Acuses!$C$5:$C$3004,Acuses!$A$5:$A$3004,$A115,Acuses!$B$5:$B$3004,AJ$4)&lt;AJ$5,"Pendiente",IF(AJ$8=0,"OK",IF(EDATE(_xlfn.MAXIFS(Acuses!$D$5:$D$3004,Acuses!$A$5:$A$3004,$A115,Acuses!$B$5:$B$3004,AJ$4,Acuses!$C$5:$C$3004,AJ$5),AJ$8)&lt;Resumen!$C$4,"Caducado",IF(EDATE(_xlfn.MAXIFS(Acuses!$D$5:$D$3004,Acuses!$A$5:$A$3004,$A115,Acuses!$B$5:$B$3004,AJ$4,Acuses!$C$5:$C$3004,AJ$5),AJ$8)&lt;Resumen!$C$4+30,"Caduca pronto","OK"))))))</f>
        <v/>
      </c>
      <c r="AK115" s="26" t="str">
        <f aca="false">IF(OR($A115="",AK$4=""),"",IF(NOT(OR(AK$6="Toda la plantilla",ISNUMBER(SEARCH(";"&amp;SUBSTITUTE($C115," ","")&amp;";",";"&amp;SUBSTITUTE(AK$7," ","")&amp;";")))),"—",IF(_xlfn.MAXIFS(Acuses!$C$5:$C$3004,Acuses!$A$5:$A$3004,$A115,Acuses!$B$5:$B$3004,AK$4)&lt;AK$5,"Pendiente",IF(AK$8=0,"OK",IF(EDATE(_xlfn.MAXIFS(Acuses!$D$5:$D$3004,Acuses!$A$5:$A$3004,$A115,Acuses!$B$5:$B$3004,AK$4,Acuses!$C$5:$C$3004,AK$5),AK$8)&lt;Resumen!$C$4,"Caducado",IF(EDATE(_xlfn.MAXIFS(Acuses!$D$5:$D$3004,Acuses!$A$5:$A$3004,$A115,Acuses!$B$5:$B$3004,AK$4,Acuses!$C$5:$C$3004,AK$5),AK$8)&lt;Resumen!$C$4+30,"Caduca pronto","OK"))))))</f>
        <v/>
      </c>
      <c r="AL115" s="26" t="str">
        <f aca="false">IF(OR($A115="",AL$4=""),"",IF(NOT(OR(AL$6="Toda la plantilla",ISNUMBER(SEARCH(";"&amp;SUBSTITUTE($C115," ","")&amp;";",";"&amp;SUBSTITUTE(AL$7," ","")&amp;";")))),"—",IF(_xlfn.MAXIFS(Acuses!$C$5:$C$3004,Acuses!$A$5:$A$3004,$A115,Acuses!$B$5:$B$3004,AL$4)&lt;AL$5,"Pendiente",IF(AL$8=0,"OK",IF(EDATE(_xlfn.MAXIFS(Acuses!$D$5:$D$3004,Acuses!$A$5:$A$3004,$A115,Acuses!$B$5:$B$3004,AL$4,Acuses!$C$5:$C$3004,AL$5),AL$8)&lt;Resumen!$C$4,"Caducado",IF(EDATE(_xlfn.MAXIFS(Acuses!$D$5:$D$3004,Acuses!$A$5:$A$3004,$A115,Acuses!$B$5:$B$3004,AL$4,Acuses!$C$5:$C$3004,AL$5),AL$8)&lt;Resumen!$C$4+30,"Caduca pronto","OK"))))))</f>
        <v/>
      </c>
      <c r="AM115" s="26" t="str">
        <f aca="false">IF(OR($A115="",AM$4=""),"",IF(NOT(OR(AM$6="Toda la plantilla",ISNUMBER(SEARCH(";"&amp;SUBSTITUTE($C115," ","")&amp;";",";"&amp;SUBSTITUTE(AM$7," ","")&amp;";")))),"—",IF(_xlfn.MAXIFS(Acuses!$C$5:$C$3004,Acuses!$A$5:$A$3004,$A115,Acuses!$B$5:$B$3004,AM$4)&lt;AM$5,"Pendiente",IF(AM$8=0,"OK",IF(EDATE(_xlfn.MAXIFS(Acuses!$D$5:$D$3004,Acuses!$A$5:$A$3004,$A115,Acuses!$B$5:$B$3004,AM$4,Acuses!$C$5:$C$3004,AM$5),AM$8)&lt;Resumen!$C$4,"Caducado",IF(EDATE(_xlfn.MAXIFS(Acuses!$D$5:$D$3004,Acuses!$A$5:$A$3004,$A115,Acuses!$B$5:$B$3004,AM$4,Acuses!$C$5:$C$3004,AM$5),AM$8)&lt;Resumen!$C$4+30,"Caduca pronto","OK"))))))</f>
        <v/>
      </c>
      <c r="AN115" s="26" t="str">
        <f aca="false">IF(OR($A115="",AN$4=""),"",IF(NOT(OR(AN$6="Toda la plantilla",ISNUMBER(SEARCH(";"&amp;SUBSTITUTE($C115," ","")&amp;";",";"&amp;SUBSTITUTE(AN$7," ","")&amp;";")))),"—",IF(_xlfn.MAXIFS(Acuses!$C$5:$C$3004,Acuses!$A$5:$A$3004,$A115,Acuses!$B$5:$B$3004,AN$4)&lt;AN$5,"Pendiente",IF(AN$8=0,"OK",IF(EDATE(_xlfn.MAXIFS(Acuses!$D$5:$D$3004,Acuses!$A$5:$A$3004,$A115,Acuses!$B$5:$B$3004,AN$4,Acuses!$C$5:$C$3004,AN$5),AN$8)&lt;Resumen!$C$4,"Caducado",IF(EDATE(_xlfn.MAXIFS(Acuses!$D$5:$D$3004,Acuses!$A$5:$A$3004,$A115,Acuses!$B$5:$B$3004,AN$4,Acuses!$C$5:$C$3004,AN$5),AN$8)&lt;Resumen!$C$4+30,"Caduca pronto","OK"))))))</f>
        <v/>
      </c>
      <c r="AO115" s="26" t="str">
        <f aca="false">IF(OR($A115="",AO$4=""),"",IF(NOT(OR(AO$6="Toda la plantilla",ISNUMBER(SEARCH(";"&amp;SUBSTITUTE($C115," ","")&amp;";",";"&amp;SUBSTITUTE(AO$7," ","")&amp;";")))),"—",IF(_xlfn.MAXIFS(Acuses!$C$5:$C$3004,Acuses!$A$5:$A$3004,$A115,Acuses!$B$5:$B$3004,AO$4)&lt;AO$5,"Pendiente",IF(AO$8=0,"OK",IF(EDATE(_xlfn.MAXIFS(Acuses!$D$5:$D$3004,Acuses!$A$5:$A$3004,$A115,Acuses!$B$5:$B$3004,AO$4,Acuses!$C$5:$C$3004,AO$5),AO$8)&lt;Resumen!$C$4,"Caducado",IF(EDATE(_xlfn.MAXIFS(Acuses!$D$5:$D$3004,Acuses!$A$5:$A$3004,$A115,Acuses!$B$5:$B$3004,AO$4,Acuses!$C$5:$C$3004,AO$5),AO$8)&lt;Resumen!$C$4+30,"Caduca pronto","OK"))))))</f>
        <v/>
      </c>
      <c r="AP115" s="26" t="str">
        <f aca="false">IF(OR($A115="",AP$4=""),"",IF(NOT(OR(AP$6="Toda la plantilla",ISNUMBER(SEARCH(";"&amp;SUBSTITUTE($C115," ","")&amp;";",";"&amp;SUBSTITUTE(AP$7," ","")&amp;";")))),"—",IF(_xlfn.MAXIFS(Acuses!$C$5:$C$3004,Acuses!$A$5:$A$3004,$A115,Acuses!$B$5:$B$3004,AP$4)&lt;AP$5,"Pendiente",IF(AP$8=0,"OK",IF(EDATE(_xlfn.MAXIFS(Acuses!$D$5:$D$3004,Acuses!$A$5:$A$3004,$A115,Acuses!$B$5:$B$3004,AP$4,Acuses!$C$5:$C$3004,AP$5),AP$8)&lt;Resumen!$C$4,"Caducado",IF(EDATE(_xlfn.MAXIFS(Acuses!$D$5:$D$3004,Acuses!$A$5:$A$3004,$A115,Acuses!$B$5:$B$3004,AP$4,Acuses!$C$5:$C$3004,AP$5),AP$8)&lt;Resumen!$C$4+30,"Caduca pronto","OK"))))))</f>
        <v/>
      </c>
      <c r="AQ115" s="26" t="str">
        <f aca="false">IF(OR($A115="",AQ$4=""),"",IF(NOT(OR(AQ$6="Toda la plantilla",ISNUMBER(SEARCH(";"&amp;SUBSTITUTE($C115," ","")&amp;";",";"&amp;SUBSTITUTE(AQ$7," ","")&amp;";")))),"—",IF(_xlfn.MAXIFS(Acuses!$C$5:$C$3004,Acuses!$A$5:$A$3004,$A115,Acuses!$B$5:$B$3004,AQ$4)&lt;AQ$5,"Pendiente",IF(AQ$8=0,"OK",IF(EDATE(_xlfn.MAXIFS(Acuses!$D$5:$D$3004,Acuses!$A$5:$A$3004,$A115,Acuses!$B$5:$B$3004,AQ$4,Acuses!$C$5:$C$3004,AQ$5),AQ$8)&lt;Resumen!$C$4,"Caducado",IF(EDATE(_xlfn.MAXIFS(Acuses!$D$5:$D$3004,Acuses!$A$5:$A$3004,$A115,Acuses!$B$5:$B$3004,AQ$4,Acuses!$C$5:$C$3004,AQ$5),AQ$8)&lt;Resumen!$C$4+30,"Caduca pronto","OK"))))))</f>
        <v/>
      </c>
    </row>
    <row r="116" customFormat="false" ht="15" hidden="false" customHeight="false" outlineLevel="0" collapsed="false">
      <c r="A116" s="25" t="str">
        <f aca="false">IF(AND(Trabajadores!$A$111&lt;&gt;"",Trabajadores!$G$111&lt;&gt;"No"),Trabajadores!$A$111,"")</f>
        <v/>
      </c>
      <c r="B116" s="25" t="str">
        <f aca="false">IF($A116="","",Trabajadores!$B$111)</f>
        <v/>
      </c>
      <c r="C116" s="25" t="str">
        <f aca="false">IF($A116="","",Trabajadores!$C$111)</f>
        <v/>
      </c>
      <c r="D116" s="26" t="str">
        <f aca="false">IF(OR($A116="",D$4=""),"",IF(NOT(OR(D$6="Toda la plantilla",ISNUMBER(SEARCH(";"&amp;SUBSTITUTE($C116," ","")&amp;";",";"&amp;SUBSTITUTE(D$7," ","")&amp;";")))),"—",IF(_xlfn.MAXIFS(Acuses!$C$5:$C$3004,Acuses!$A$5:$A$3004,$A116,Acuses!$B$5:$B$3004,D$4)&lt;D$5,"Pendiente",IF(D$8=0,"OK",IF(EDATE(_xlfn.MAXIFS(Acuses!$D$5:$D$3004,Acuses!$A$5:$A$3004,$A116,Acuses!$B$5:$B$3004,D$4,Acuses!$C$5:$C$3004,D$5),D$8)&lt;Resumen!$C$4,"Caducado",IF(EDATE(_xlfn.MAXIFS(Acuses!$D$5:$D$3004,Acuses!$A$5:$A$3004,$A116,Acuses!$B$5:$B$3004,D$4,Acuses!$C$5:$C$3004,D$5),D$8)&lt;Resumen!$C$4+30,"Caduca pronto","OK"))))))</f>
        <v/>
      </c>
      <c r="E116" s="26" t="str">
        <f aca="false">IF(OR($A116="",E$4=""),"",IF(NOT(OR(E$6="Toda la plantilla",ISNUMBER(SEARCH(";"&amp;SUBSTITUTE($C116," ","")&amp;";",";"&amp;SUBSTITUTE(E$7," ","")&amp;";")))),"—",IF(_xlfn.MAXIFS(Acuses!$C$5:$C$3004,Acuses!$A$5:$A$3004,$A116,Acuses!$B$5:$B$3004,E$4)&lt;E$5,"Pendiente",IF(E$8=0,"OK",IF(EDATE(_xlfn.MAXIFS(Acuses!$D$5:$D$3004,Acuses!$A$5:$A$3004,$A116,Acuses!$B$5:$B$3004,E$4,Acuses!$C$5:$C$3004,E$5),E$8)&lt;Resumen!$C$4,"Caducado",IF(EDATE(_xlfn.MAXIFS(Acuses!$D$5:$D$3004,Acuses!$A$5:$A$3004,$A116,Acuses!$B$5:$B$3004,E$4,Acuses!$C$5:$C$3004,E$5),E$8)&lt;Resumen!$C$4+30,"Caduca pronto","OK"))))))</f>
        <v/>
      </c>
      <c r="F116" s="26" t="str">
        <f aca="false">IF(OR($A116="",F$4=""),"",IF(NOT(OR(F$6="Toda la plantilla",ISNUMBER(SEARCH(";"&amp;SUBSTITUTE($C116," ","")&amp;";",";"&amp;SUBSTITUTE(F$7," ","")&amp;";")))),"—",IF(_xlfn.MAXIFS(Acuses!$C$5:$C$3004,Acuses!$A$5:$A$3004,$A116,Acuses!$B$5:$B$3004,F$4)&lt;F$5,"Pendiente",IF(F$8=0,"OK",IF(EDATE(_xlfn.MAXIFS(Acuses!$D$5:$D$3004,Acuses!$A$5:$A$3004,$A116,Acuses!$B$5:$B$3004,F$4,Acuses!$C$5:$C$3004,F$5),F$8)&lt;Resumen!$C$4,"Caducado",IF(EDATE(_xlfn.MAXIFS(Acuses!$D$5:$D$3004,Acuses!$A$5:$A$3004,$A116,Acuses!$B$5:$B$3004,F$4,Acuses!$C$5:$C$3004,F$5),F$8)&lt;Resumen!$C$4+30,"Caduca pronto","OK"))))))</f>
        <v/>
      </c>
      <c r="G116" s="26" t="str">
        <f aca="false">IF(OR($A116="",G$4=""),"",IF(NOT(OR(G$6="Toda la plantilla",ISNUMBER(SEARCH(";"&amp;SUBSTITUTE($C116," ","")&amp;";",";"&amp;SUBSTITUTE(G$7," ","")&amp;";")))),"—",IF(_xlfn.MAXIFS(Acuses!$C$5:$C$3004,Acuses!$A$5:$A$3004,$A116,Acuses!$B$5:$B$3004,G$4)&lt;G$5,"Pendiente",IF(G$8=0,"OK",IF(EDATE(_xlfn.MAXIFS(Acuses!$D$5:$D$3004,Acuses!$A$5:$A$3004,$A116,Acuses!$B$5:$B$3004,G$4,Acuses!$C$5:$C$3004,G$5),G$8)&lt;Resumen!$C$4,"Caducado",IF(EDATE(_xlfn.MAXIFS(Acuses!$D$5:$D$3004,Acuses!$A$5:$A$3004,$A116,Acuses!$B$5:$B$3004,G$4,Acuses!$C$5:$C$3004,G$5),G$8)&lt;Resumen!$C$4+30,"Caduca pronto","OK"))))))</f>
        <v/>
      </c>
      <c r="H116" s="26" t="str">
        <f aca="false">IF(OR($A116="",H$4=""),"",IF(NOT(OR(H$6="Toda la plantilla",ISNUMBER(SEARCH(";"&amp;SUBSTITUTE($C116," ","")&amp;";",";"&amp;SUBSTITUTE(H$7," ","")&amp;";")))),"—",IF(_xlfn.MAXIFS(Acuses!$C$5:$C$3004,Acuses!$A$5:$A$3004,$A116,Acuses!$B$5:$B$3004,H$4)&lt;H$5,"Pendiente",IF(H$8=0,"OK",IF(EDATE(_xlfn.MAXIFS(Acuses!$D$5:$D$3004,Acuses!$A$5:$A$3004,$A116,Acuses!$B$5:$B$3004,H$4,Acuses!$C$5:$C$3004,H$5),H$8)&lt;Resumen!$C$4,"Caducado",IF(EDATE(_xlfn.MAXIFS(Acuses!$D$5:$D$3004,Acuses!$A$5:$A$3004,$A116,Acuses!$B$5:$B$3004,H$4,Acuses!$C$5:$C$3004,H$5),H$8)&lt;Resumen!$C$4+30,"Caduca pronto","OK"))))))</f>
        <v/>
      </c>
      <c r="I116" s="26" t="str">
        <f aca="false">IF(OR($A116="",I$4=""),"",IF(NOT(OR(I$6="Toda la plantilla",ISNUMBER(SEARCH(";"&amp;SUBSTITUTE($C116," ","")&amp;";",";"&amp;SUBSTITUTE(I$7," ","")&amp;";")))),"—",IF(_xlfn.MAXIFS(Acuses!$C$5:$C$3004,Acuses!$A$5:$A$3004,$A116,Acuses!$B$5:$B$3004,I$4)&lt;I$5,"Pendiente",IF(I$8=0,"OK",IF(EDATE(_xlfn.MAXIFS(Acuses!$D$5:$D$3004,Acuses!$A$5:$A$3004,$A116,Acuses!$B$5:$B$3004,I$4,Acuses!$C$5:$C$3004,I$5),I$8)&lt;Resumen!$C$4,"Caducado",IF(EDATE(_xlfn.MAXIFS(Acuses!$D$5:$D$3004,Acuses!$A$5:$A$3004,$A116,Acuses!$B$5:$B$3004,I$4,Acuses!$C$5:$C$3004,I$5),I$8)&lt;Resumen!$C$4+30,"Caduca pronto","OK"))))))</f>
        <v/>
      </c>
      <c r="J116" s="26" t="str">
        <f aca="false">IF(OR($A116="",J$4=""),"",IF(NOT(OR(J$6="Toda la plantilla",ISNUMBER(SEARCH(";"&amp;SUBSTITUTE($C116," ","")&amp;";",";"&amp;SUBSTITUTE(J$7," ","")&amp;";")))),"—",IF(_xlfn.MAXIFS(Acuses!$C$5:$C$3004,Acuses!$A$5:$A$3004,$A116,Acuses!$B$5:$B$3004,J$4)&lt;J$5,"Pendiente",IF(J$8=0,"OK",IF(EDATE(_xlfn.MAXIFS(Acuses!$D$5:$D$3004,Acuses!$A$5:$A$3004,$A116,Acuses!$B$5:$B$3004,J$4,Acuses!$C$5:$C$3004,J$5),J$8)&lt;Resumen!$C$4,"Caducado",IF(EDATE(_xlfn.MAXIFS(Acuses!$D$5:$D$3004,Acuses!$A$5:$A$3004,$A116,Acuses!$B$5:$B$3004,J$4,Acuses!$C$5:$C$3004,J$5),J$8)&lt;Resumen!$C$4+30,"Caduca pronto","OK"))))))</f>
        <v/>
      </c>
      <c r="K116" s="26" t="str">
        <f aca="false">IF(OR($A116="",K$4=""),"",IF(NOT(OR(K$6="Toda la plantilla",ISNUMBER(SEARCH(";"&amp;SUBSTITUTE($C116," ","")&amp;";",";"&amp;SUBSTITUTE(K$7," ","")&amp;";")))),"—",IF(_xlfn.MAXIFS(Acuses!$C$5:$C$3004,Acuses!$A$5:$A$3004,$A116,Acuses!$B$5:$B$3004,K$4)&lt;K$5,"Pendiente",IF(K$8=0,"OK",IF(EDATE(_xlfn.MAXIFS(Acuses!$D$5:$D$3004,Acuses!$A$5:$A$3004,$A116,Acuses!$B$5:$B$3004,K$4,Acuses!$C$5:$C$3004,K$5),K$8)&lt;Resumen!$C$4,"Caducado",IF(EDATE(_xlfn.MAXIFS(Acuses!$D$5:$D$3004,Acuses!$A$5:$A$3004,$A116,Acuses!$B$5:$B$3004,K$4,Acuses!$C$5:$C$3004,K$5),K$8)&lt;Resumen!$C$4+30,"Caduca pronto","OK"))))))</f>
        <v/>
      </c>
      <c r="L116" s="26" t="str">
        <f aca="false">IF(OR($A116="",L$4=""),"",IF(NOT(OR(L$6="Toda la plantilla",ISNUMBER(SEARCH(";"&amp;SUBSTITUTE($C116," ","")&amp;";",";"&amp;SUBSTITUTE(L$7," ","")&amp;";")))),"—",IF(_xlfn.MAXIFS(Acuses!$C$5:$C$3004,Acuses!$A$5:$A$3004,$A116,Acuses!$B$5:$B$3004,L$4)&lt;L$5,"Pendiente",IF(L$8=0,"OK",IF(EDATE(_xlfn.MAXIFS(Acuses!$D$5:$D$3004,Acuses!$A$5:$A$3004,$A116,Acuses!$B$5:$B$3004,L$4,Acuses!$C$5:$C$3004,L$5),L$8)&lt;Resumen!$C$4,"Caducado",IF(EDATE(_xlfn.MAXIFS(Acuses!$D$5:$D$3004,Acuses!$A$5:$A$3004,$A116,Acuses!$B$5:$B$3004,L$4,Acuses!$C$5:$C$3004,L$5),L$8)&lt;Resumen!$C$4+30,"Caduca pronto","OK"))))))</f>
        <v/>
      </c>
      <c r="M116" s="26" t="str">
        <f aca="false">IF(OR($A116="",M$4=""),"",IF(NOT(OR(M$6="Toda la plantilla",ISNUMBER(SEARCH(";"&amp;SUBSTITUTE($C116," ","")&amp;";",";"&amp;SUBSTITUTE(M$7," ","")&amp;";")))),"—",IF(_xlfn.MAXIFS(Acuses!$C$5:$C$3004,Acuses!$A$5:$A$3004,$A116,Acuses!$B$5:$B$3004,M$4)&lt;M$5,"Pendiente",IF(M$8=0,"OK",IF(EDATE(_xlfn.MAXIFS(Acuses!$D$5:$D$3004,Acuses!$A$5:$A$3004,$A116,Acuses!$B$5:$B$3004,M$4,Acuses!$C$5:$C$3004,M$5),M$8)&lt;Resumen!$C$4,"Caducado",IF(EDATE(_xlfn.MAXIFS(Acuses!$D$5:$D$3004,Acuses!$A$5:$A$3004,$A116,Acuses!$B$5:$B$3004,M$4,Acuses!$C$5:$C$3004,M$5),M$8)&lt;Resumen!$C$4+30,"Caduca pronto","OK"))))))</f>
        <v/>
      </c>
      <c r="N116" s="26" t="str">
        <f aca="false">IF(OR($A116="",N$4=""),"",IF(NOT(OR(N$6="Toda la plantilla",ISNUMBER(SEARCH(";"&amp;SUBSTITUTE($C116," ","")&amp;";",";"&amp;SUBSTITUTE(N$7," ","")&amp;";")))),"—",IF(_xlfn.MAXIFS(Acuses!$C$5:$C$3004,Acuses!$A$5:$A$3004,$A116,Acuses!$B$5:$B$3004,N$4)&lt;N$5,"Pendiente",IF(N$8=0,"OK",IF(EDATE(_xlfn.MAXIFS(Acuses!$D$5:$D$3004,Acuses!$A$5:$A$3004,$A116,Acuses!$B$5:$B$3004,N$4,Acuses!$C$5:$C$3004,N$5),N$8)&lt;Resumen!$C$4,"Caducado",IF(EDATE(_xlfn.MAXIFS(Acuses!$D$5:$D$3004,Acuses!$A$5:$A$3004,$A116,Acuses!$B$5:$B$3004,N$4,Acuses!$C$5:$C$3004,N$5),N$8)&lt;Resumen!$C$4+30,"Caduca pronto","OK"))))))</f>
        <v/>
      </c>
      <c r="O116" s="26" t="str">
        <f aca="false">IF(OR($A116="",O$4=""),"",IF(NOT(OR(O$6="Toda la plantilla",ISNUMBER(SEARCH(";"&amp;SUBSTITUTE($C116," ","")&amp;";",";"&amp;SUBSTITUTE(O$7," ","")&amp;";")))),"—",IF(_xlfn.MAXIFS(Acuses!$C$5:$C$3004,Acuses!$A$5:$A$3004,$A116,Acuses!$B$5:$B$3004,O$4)&lt;O$5,"Pendiente",IF(O$8=0,"OK",IF(EDATE(_xlfn.MAXIFS(Acuses!$D$5:$D$3004,Acuses!$A$5:$A$3004,$A116,Acuses!$B$5:$B$3004,O$4,Acuses!$C$5:$C$3004,O$5),O$8)&lt;Resumen!$C$4,"Caducado",IF(EDATE(_xlfn.MAXIFS(Acuses!$D$5:$D$3004,Acuses!$A$5:$A$3004,$A116,Acuses!$B$5:$B$3004,O$4,Acuses!$C$5:$C$3004,O$5),O$8)&lt;Resumen!$C$4+30,"Caduca pronto","OK"))))))</f>
        <v/>
      </c>
      <c r="P116" s="26" t="str">
        <f aca="false">IF(OR($A116="",P$4=""),"",IF(NOT(OR(P$6="Toda la plantilla",ISNUMBER(SEARCH(";"&amp;SUBSTITUTE($C116," ","")&amp;";",";"&amp;SUBSTITUTE(P$7," ","")&amp;";")))),"—",IF(_xlfn.MAXIFS(Acuses!$C$5:$C$3004,Acuses!$A$5:$A$3004,$A116,Acuses!$B$5:$B$3004,P$4)&lt;P$5,"Pendiente",IF(P$8=0,"OK",IF(EDATE(_xlfn.MAXIFS(Acuses!$D$5:$D$3004,Acuses!$A$5:$A$3004,$A116,Acuses!$B$5:$B$3004,P$4,Acuses!$C$5:$C$3004,P$5),P$8)&lt;Resumen!$C$4,"Caducado",IF(EDATE(_xlfn.MAXIFS(Acuses!$D$5:$D$3004,Acuses!$A$5:$A$3004,$A116,Acuses!$B$5:$B$3004,P$4,Acuses!$C$5:$C$3004,P$5),P$8)&lt;Resumen!$C$4+30,"Caduca pronto","OK"))))))</f>
        <v/>
      </c>
      <c r="Q116" s="26" t="str">
        <f aca="false">IF(OR($A116="",Q$4=""),"",IF(NOT(OR(Q$6="Toda la plantilla",ISNUMBER(SEARCH(";"&amp;SUBSTITUTE($C116," ","")&amp;";",";"&amp;SUBSTITUTE(Q$7," ","")&amp;";")))),"—",IF(_xlfn.MAXIFS(Acuses!$C$5:$C$3004,Acuses!$A$5:$A$3004,$A116,Acuses!$B$5:$B$3004,Q$4)&lt;Q$5,"Pendiente",IF(Q$8=0,"OK",IF(EDATE(_xlfn.MAXIFS(Acuses!$D$5:$D$3004,Acuses!$A$5:$A$3004,$A116,Acuses!$B$5:$B$3004,Q$4,Acuses!$C$5:$C$3004,Q$5),Q$8)&lt;Resumen!$C$4,"Caducado",IF(EDATE(_xlfn.MAXIFS(Acuses!$D$5:$D$3004,Acuses!$A$5:$A$3004,$A116,Acuses!$B$5:$B$3004,Q$4,Acuses!$C$5:$C$3004,Q$5),Q$8)&lt;Resumen!$C$4+30,"Caduca pronto","OK"))))))</f>
        <v/>
      </c>
      <c r="R116" s="26" t="str">
        <f aca="false">IF(OR($A116="",R$4=""),"",IF(NOT(OR(R$6="Toda la plantilla",ISNUMBER(SEARCH(";"&amp;SUBSTITUTE($C116," ","")&amp;";",";"&amp;SUBSTITUTE(R$7," ","")&amp;";")))),"—",IF(_xlfn.MAXIFS(Acuses!$C$5:$C$3004,Acuses!$A$5:$A$3004,$A116,Acuses!$B$5:$B$3004,R$4)&lt;R$5,"Pendiente",IF(R$8=0,"OK",IF(EDATE(_xlfn.MAXIFS(Acuses!$D$5:$D$3004,Acuses!$A$5:$A$3004,$A116,Acuses!$B$5:$B$3004,R$4,Acuses!$C$5:$C$3004,R$5),R$8)&lt;Resumen!$C$4,"Caducado",IF(EDATE(_xlfn.MAXIFS(Acuses!$D$5:$D$3004,Acuses!$A$5:$A$3004,$A116,Acuses!$B$5:$B$3004,R$4,Acuses!$C$5:$C$3004,R$5),R$8)&lt;Resumen!$C$4+30,"Caduca pronto","OK"))))))</f>
        <v/>
      </c>
      <c r="S116" s="26" t="str">
        <f aca="false">IF(OR($A116="",S$4=""),"",IF(NOT(OR(S$6="Toda la plantilla",ISNUMBER(SEARCH(";"&amp;SUBSTITUTE($C116," ","")&amp;";",";"&amp;SUBSTITUTE(S$7," ","")&amp;";")))),"—",IF(_xlfn.MAXIFS(Acuses!$C$5:$C$3004,Acuses!$A$5:$A$3004,$A116,Acuses!$B$5:$B$3004,S$4)&lt;S$5,"Pendiente",IF(S$8=0,"OK",IF(EDATE(_xlfn.MAXIFS(Acuses!$D$5:$D$3004,Acuses!$A$5:$A$3004,$A116,Acuses!$B$5:$B$3004,S$4,Acuses!$C$5:$C$3004,S$5),S$8)&lt;Resumen!$C$4,"Caducado",IF(EDATE(_xlfn.MAXIFS(Acuses!$D$5:$D$3004,Acuses!$A$5:$A$3004,$A116,Acuses!$B$5:$B$3004,S$4,Acuses!$C$5:$C$3004,S$5),S$8)&lt;Resumen!$C$4+30,"Caduca pronto","OK"))))))</f>
        <v/>
      </c>
      <c r="T116" s="26" t="str">
        <f aca="false">IF(OR($A116="",T$4=""),"",IF(NOT(OR(T$6="Toda la plantilla",ISNUMBER(SEARCH(";"&amp;SUBSTITUTE($C116," ","")&amp;";",";"&amp;SUBSTITUTE(T$7," ","")&amp;";")))),"—",IF(_xlfn.MAXIFS(Acuses!$C$5:$C$3004,Acuses!$A$5:$A$3004,$A116,Acuses!$B$5:$B$3004,T$4)&lt;T$5,"Pendiente",IF(T$8=0,"OK",IF(EDATE(_xlfn.MAXIFS(Acuses!$D$5:$D$3004,Acuses!$A$5:$A$3004,$A116,Acuses!$B$5:$B$3004,T$4,Acuses!$C$5:$C$3004,T$5),T$8)&lt;Resumen!$C$4,"Caducado",IF(EDATE(_xlfn.MAXIFS(Acuses!$D$5:$D$3004,Acuses!$A$5:$A$3004,$A116,Acuses!$B$5:$B$3004,T$4,Acuses!$C$5:$C$3004,T$5),T$8)&lt;Resumen!$C$4+30,"Caduca pronto","OK"))))))</f>
        <v/>
      </c>
      <c r="U116" s="26" t="str">
        <f aca="false">IF(OR($A116="",U$4=""),"",IF(NOT(OR(U$6="Toda la plantilla",ISNUMBER(SEARCH(";"&amp;SUBSTITUTE($C116," ","")&amp;";",";"&amp;SUBSTITUTE(U$7," ","")&amp;";")))),"—",IF(_xlfn.MAXIFS(Acuses!$C$5:$C$3004,Acuses!$A$5:$A$3004,$A116,Acuses!$B$5:$B$3004,U$4)&lt;U$5,"Pendiente",IF(U$8=0,"OK",IF(EDATE(_xlfn.MAXIFS(Acuses!$D$5:$D$3004,Acuses!$A$5:$A$3004,$A116,Acuses!$B$5:$B$3004,U$4,Acuses!$C$5:$C$3004,U$5),U$8)&lt;Resumen!$C$4,"Caducado",IF(EDATE(_xlfn.MAXIFS(Acuses!$D$5:$D$3004,Acuses!$A$5:$A$3004,$A116,Acuses!$B$5:$B$3004,U$4,Acuses!$C$5:$C$3004,U$5),U$8)&lt;Resumen!$C$4+30,"Caduca pronto","OK"))))))</f>
        <v/>
      </c>
      <c r="V116" s="26" t="str">
        <f aca="false">IF(OR($A116="",V$4=""),"",IF(NOT(OR(V$6="Toda la plantilla",ISNUMBER(SEARCH(";"&amp;SUBSTITUTE($C116," ","")&amp;";",";"&amp;SUBSTITUTE(V$7," ","")&amp;";")))),"—",IF(_xlfn.MAXIFS(Acuses!$C$5:$C$3004,Acuses!$A$5:$A$3004,$A116,Acuses!$B$5:$B$3004,V$4)&lt;V$5,"Pendiente",IF(V$8=0,"OK",IF(EDATE(_xlfn.MAXIFS(Acuses!$D$5:$D$3004,Acuses!$A$5:$A$3004,$A116,Acuses!$B$5:$B$3004,V$4,Acuses!$C$5:$C$3004,V$5),V$8)&lt;Resumen!$C$4,"Caducado",IF(EDATE(_xlfn.MAXIFS(Acuses!$D$5:$D$3004,Acuses!$A$5:$A$3004,$A116,Acuses!$B$5:$B$3004,V$4,Acuses!$C$5:$C$3004,V$5),V$8)&lt;Resumen!$C$4+30,"Caduca pronto","OK"))))))</f>
        <v/>
      </c>
      <c r="W116" s="26" t="str">
        <f aca="false">IF(OR($A116="",W$4=""),"",IF(NOT(OR(W$6="Toda la plantilla",ISNUMBER(SEARCH(";"&amp;SUBSTITUTE($C116," ","")&amp;";",";"&amp;SUBSTITUTE(W$7," ","")&amp;";")))),"—",IF(_xlfn.MAXIFS(Acuses!$C$5:$C$3004,Acuses!$A$5:$A$3004,$A116,Acuses!$B$5:$B$3004,W$4)&lt;W$5,"Pendiente",IF(W$8=0,"OK",IF(EDATE(_xlfn.MAXIFS(Acuses!$D$5:$D$3004,Acuses!$A$5:$A$3004,$A116,Acuses!$B$5:$B$3004,W$4,Acuses!$C$5:$C$3004,W$5),W$8)&lt;Resumen!$C$4,"Caducado",IF(EDATE(_xlfn.MAXIFS(Acuses!$D$5:$D$3004,Acuses!$A$5:$A$3004,$A116,Acuses!$B$5:$B$3004,W$4,Acuses!$C$5:$C$3004,W$5),W$8)&lt;Resumen!$C$4+30,"Caduca pronto","OK"))))))</f>
        <v/>
      </c>
      <c r="X116" s="26" t="str">
        <f aca="false">IF(OR($A116="",X$4=""),"",IF(NOT(OR(X$6="Toda la plantilla",ISNUMBER(SEARCH(";"&amp;SUBSTITUTE($C116," ","")&amp;";",";"&amp;SUBSTITUTE(X$7," ","")&amp;";")))),"—",IF(_xlfn.MAXIFS(Acuses!$C$5:$C$3004,Acuses!$A$5:$A$3004,$A116,Acuses!$B$5:$B$3004,X$4)&lt;X$5,"Pendiente",IF(X$8=0,"OK",IF(EDATE(_xlfn.MAXIFS(Acuses!$D$5:$D$3004,Acuses!$A$5:$A$3004,$A116,Acuses!$B$5:$B$3004,X$4,Acuses!$C$5:$C$3004,X$5),X$8)&lt;Resumen!$C$4,"Caducado",IF(EDATE(_xlfn.MAXIFS(Acuses!$D$5:$D$3004,Acuses!$A$5:$A$3004,$A116,Acuses!$B$5:$B$3004,X$4,Acuses!$C$5:$C$3004,X$5),X$8)&lt;Resumen!$C$4+30,"Caduca pronto","OK"))))))</f>
        <v/>
      </c>
      <c r="Y116" s="26" t="str">
        <f aca="false">IF(OR($A116="",Y$4=""),"",IF(NOT(OR(Y$6="Toda la plantilla",ISNUMBER(SEARCH(";"&amp;SUBSTITUTE($C116," ","")&amp;";",";"&amp;SUBSTITUTE(Y$7," ","")&amp;";")))),"—",IF(_xlfn.MAXIFS(Acuses!$C$5:$C$3004,Acuses!$A$5:$A$3004,$A116,Acuses!$B$5:$B$3004,Y$4)&lt;Y$5,"Pendiente",IF(Y$8=0,"OK",IF(EDATE(_xlfn.MAXIFS(Acuses!$D$5:$D$3004,Acuses!$A$5:$A$3004,$A116,Acuses!$B$5:$B$3004,Y$4,Acuses!$C$5:$C$3004,Y$5),Y$8)&lt;Resumen!$C$4,"Caducado",IF(EDATE(_xlfn.MAXIFS(Acuses!$D$5:$D$3004,Acuses!$A$5:$A$3004,$A116,Acuses!$B$5:$B$3004,Y$4,Acuses!$C$5:$C$3004,Y$5),Y$8)&lt;Resumen!$C$4+30,"Caduca pronto","OK"))))))</f>
        <v/>
      </c>
      <c r="Z116" s="26" t="str">
        <f aca="false">IF(OR($A116="",Z$4=""),"",IF(NOT(OR(Z$6="Toda la plantilla",ISNUMBER(SEARCH(";"&amp;SUBSTITUTE($C116," ","")&amp;";",";"&amp;SUBSTITUTE(Z$7," ","")&amp;";")))),"—",IF(_xlfn.MAXIFS(Acuses!$C$5:$C$3004,Acuses!$A$5:$A$3004,$A116,Acuses!$B$5:$B$3004,Z$4)&lt;Z$5,"Pendiente",IF(Z$8=0,"OK",IF(EDATE(_xlfn.MAXIFS(Acuses!$D$5:$D$3004,Acuses!$A$5:$A$3004,$A116,Acuses!$B$5:$B$3004,Z$4,Acuses!$C$5:$C$3004,Z$5),Z$8)&lt;Resumen!$C$4,"Caducado",IF(EDATE(_xlfn.MAXIFS(Acuses!$D$5:$D$3004,Acuses!$A$5:$A$3004,$A116,Acuses!$B$5:$B$3004,Z$4,Acuses!$C$5:$C$3004,Z$5),Z$8)&lt;Resumen!$C$4+30,"Caduca pronto","OK"))))))</f>
        <v/>
      </c>
      <c r="AA116" s="26" t="str">
        <f aca="false">IF(OR($A116="",AA$4=""),"",IF(NOT(OR(AA$6="Toda la plantilla",ISNUMBER(SEARCH(";"&amp;SUBSTITUTE($C116," ","")&amp;";",";"&amp;SUBSTITUTE(AA$7," ","")&amp;";")))),"—",IF(_xlfn.MAXIFS(Acuses!$C$5:$C$3004,Acuses!$A$5:$A$3004,$A116,Acuses!$B$5:$B$3004,AA$4)&lt;AA$5,"Pendiente",IF(AA$8=0,"OK",IF(EDATE(_xlfn.MAXIFS(Acuses!$D$5:$D$3004,Acuses!$A$5:$A$3004,$A116,Acuses!$B$5:$B$3004,AA$4,Acuses!$C$5:$C$3004,AA$5),AA$8)&lt;Resumen!$C$4,"Caducado",IF(EDATE(_xlfn.MAXIFS(Acuses!$D$5:$D$3004,Acuses!$A$5:$A$3004,$A116,Acuses!$B$5:$B$3004,AA$4,Acuses!$C$5:$C$3004,AA$5),AA$8)&lt;Resumen!$C$4+30,"Caduca pronto","OK"))))))</f>
        <v/>
      </c>
      <c r="AB116" s="26" t="str">
        <f aca="false">IF(OR($A116="",AB$4=""),"",IF(NOT(OR(AB$6="Toda la plantilla",ISNUMBER(SEARCH(";"&amp;SUBSTITUTE($C116," ","")&amp;";",";"&amp;SUBSTITUTE(AB$7," ","")&amp;";")))),"—",IF(_xlfn.MAXIFS(Acuses!$C$5:$C$3004,Acuses!$A$5:$A$3004,$A116,Acuses!$B$5:$B$3004,AB$4)&lt;AB$5,"Pendiente",IF(AB$8=0,"OK",IF(EDATE(_xlfn.MAXIFS(Acuses!$D$5:$D$3004,Acuses!$A$5:$A$3004,$A116,Acuses!$B$5:$B$3004,AB$4,Acuses!$C$5:$C$3004,AB$5),AB$8)&lt;Resumen!$C$4,"Caducado",IF(EDATE(_xlfn.MAXIFS(Acuses!$D$5:$D$3004,Acuses!$A$5:$A$3004,$A116,Acuses!$B$5:$B$3004,AB$4,Acuses!$C$5:$C$3004,AB$5),AB$8)&lt;Resumen!$C$4+30,"Caduca pronto","OK"))))))</f>
        <v/>
      </c>
      <c r="AC116" s="26" t="str">
        <f aca="false">IF(OR($A116="",AC$4=""),"",IF(NOT(OR(AC$6="Toda la plantilla",ISNUMBER(SEARCH(";"&amp;SUBSTITUTE($C116," ","")&amp;";",";"&amp;SUBSTITUTE(AC$7," ","")&amp;";")))),"—",IF(_xlfn.MAXIFS(Acuses!$C$5:$C$3004,Acuses!$A$5:$A$3004,$A116,Acuses!$B$5:$B$3004,AC$4)&lt;AC$5,"Pendiente",IF(AC$8=0,"OK",IF(EDATE(_xlfn.MAXIFS(Acuses!$D$5:$D$3004,Acuses!$A$5:$A$3004,$A116,Acuses!$B$5:$B$3004,AC$4,Acuses!$C$5:$C$3004,AC$5),AC$8)&lt;Resumen!$C$4,"Caducado",IF(EDATE(_xlfn.MAXIFS(Acuses!$D$5:$D$3004,Acuses!$A$5:$A$3004,$A116,Acuses!$B$5:$B$3004,AC$4,Acuses!$C$5:$C$3004,AC$5),AC$8)&lt;Resumen!$C$4+30,"Caduca pronto","OK"))))))</f>
        <v/>
      </c>
      <c r="AD116" s="26" t="str">
        <f aca="false">IF(OR($A116="",AD$4=""),"",IF(NOT(OR(AD$6="Toda la plantilla",ISNUMBER(SEARCH(";"&amp;SUBSTITUTE($C116," ","")&amp;";",";"&amp;SUBSTITUTE(AD$7," ","")&amp;";")))),"—",IF(_xlfn.MAXIFS(Acuses!$C$5:$C$3004,Acuses!$A$5:$A$3004,$A116,Acuses!$B$5:$B$3004,AD$4)&lt;AD$5,"Pendiente",IF(AD$8=0,"OK",IF(EDATE(_xlfn.MAXIFS(Acuses!$D$5:$D$3004,Acuses!$A$5:$A$3004,$A116,Acuses!$B$5:$B$3004,AD$4,Acuses!$C$5:$C$3004,AD$5),AD$8)&lt;Resumen!$C$4,"Caducado",IF(EDATE(_xlfn.MAXIFS(Acuses!$D$5:$D$3004,Acuses!$A$5:$A$3004,$A116,Acuses!$B$5:$B$3004,AD$4,Acuses!$C$5:$C$3004,AD$5),AD$8)&lt;Resumen!$C$4+30,"Caduca pronto","OK"))))))</f>
        <v/>
      </c>
      <c r="AE116" s="26" t="str">
        <f aca="false">IF(OR($A116="",AE$4=""),"",IF(NOT(OR(AE$6="Toda la plantilla",ISNUMBER(SEARCH(";"&amp;SUBSTITUTE($C116," ","")&amp;";",";"&amp;SUBSTITUTE(AE$7," ","")&amp;";")))),"—",IF(_xlfn.MAXIFS(Acuses!$C$5:$C$3004,Acuses!$A$5:$A$3004,$A116,Acuses!$B$5:$B$3004,AE$4)&lt;AE$5,"Pendiente",IF(AE$8=0,"OK",IF(EDATE(_xlfn.MAXIFS(Acuses!$D$5:$D$3004,Acuses!$A$5:$A$3004,$A116,Acuses!$B$5:$B$3004,AE$4,Acuses!$C$5:$C$3004,AE$5),AE$8)&lt;Resumen!$C$4,"Caducado",IF(EDATE(_xlfn.MAXIFS(Acuses!$D$5:$D$3004,Acuses!$A$5:$A$3004,$A116,Acuses!$B$5:$B$3004,AE$4,Acuses!$C$5:$C$3004,AE$5),AE$8)&lt;Resumen!$C$4+30,"Caduca pronto","OK"))))))</f>
        <v/>
      </c>
      <c r="AF116" s="26" t="str">
        <f aca="false">IF(OR($A116="",AF$4=""),"",IF(NOT(OR(AF$6="Toda la plantilla",ISNUMBER(SEARCH(";"&amp;SUBSTITUTE($C116," ","")&amp;";",";"&amp;SUBSTITUTE(AF$7," ","")&amp;";")))),"—",IF(_xlfn.MAXIFS(Acuses!$C$5:$C$3004,Acuses!$A$5:$A$3004,$A116,Acuses!$B$5:$B$3004,AF$4)&lt;AF$5,"Pendiente",IF(AF$8=0,"OK",IF(EDATE(_xlfn.MAXIFS(Acuses!$D$5:$D$3004,Acuses!$A$5:$A$3004,$A116,Acuses!$B$5:$B$3004,AF$4,Acuses!$C$5:$C$3004,AF$5),AF$8)&lt;Resumen!$C$4,"Caducado",IF(EDATE(_xlfn.MAXIFS(Acuses!$D$5:$D$3004,Acuses!$A$5:$A$3004,$A116,Acuses!$B$5:$B$3004,AF$4,Acuses!$C$5:$C$3004,AF$5),AF$8)&lt;Resumen!$C$4+30,"Caduca pronto","OK"))))))</f>
        <v/>
      </c>
      <c r="AG116" s="26" t="str">
        <f aca="false">IF(OR($A116="",AG$4=""),"",IF(NOT(OR(AG$6="Toda la plantilla",ISNUMBER(SEARCH(";"&amp;SUBSTITUTE($C116," ","")&amp;";",";"&amp;SUBSTITUTE(AG$7," ","")&amp;";")))),"—",IF(_xlfn.MAXIFS(Acuses!$C$5:$C$3004,Acuses!$A$5:$A$3004,$A116,Acuses!$B$5:$B$3004,AG$4)&lt;AG$5,"Pendiente",IF(AG$8=0,"OK",IF(EDATE(_xlfn.MAXIFS(Acuses!$D$5:$D$3004,Acuses!$A$5:$A$3004,$A116,Acuses!$B$5:$B$3004,AG$4,Acuses!$C$5:$C$3004,AG$5),AG$8)&lt;Resumen!$C$4,"Caducado",IF(EDATE(_xlfn.MAXIFS(Acuses!$D$5:$D$3004,Acuses!$A$5:$A$3004,$A116,Acuses!$B$5:$B$3004,AG$4,Acuses!$C$5:$C$3004,AG$5),AG$8)&lt;Resumen!$C$4+30,"Caduca pronto","OK"))))))</f>
        <v/>
      </c>
      <c r="AH116" s="26" t="str">
        <f aca="false">IF(OR($A116="",AH$4=""),"",IF(NOT(OR(AH$6="Toda la plantilla",ISNUMBER(SEARCH(";"&amp;SUBSTITUTE($C116," ","")&amp;";",";"&amp;SUBSTITUTE(AH$7," ","")&amp;";")))),"—",IF(_xlfn.MAXIFS(Acuses!$C$5:$C$3004,Acuses!$A$5:$A$3004,$A116,Acuses!$B$5:$B$3004,AH$4)&lt;AH$5,"Pendiente",IF(AH$8=0,"OK",IF(EDATE(_xlfn.MAXIFS(Acuses!$D$5:$D$3004,Acuses!$A$5:$A$3004,$A116,Acuses!$B$5:$B$3004,AH$4,Acuses!$C$5:$C$3004,AH$5),AH$8)&lt;Resumen!$C$4,"Caducado",IF(EDATE(_xlfn.MAXIFS(Acuses!$D$5:$D$3004,Acuses!$A$5:$A$3004,$A116,Acuses!$B$5:$B$3004,AH$4,Acuses!$C$5:$C$3004,AH$5),AH$8)&lt;Resumen!$C$4+30,"Caduca pronto","OK"))))))</f>
        <v/>
      </c>
      <c r="AI116" s="26" t="str">
        <f aca="false">IF(OR($A116="",AI$4=""),"",IF(NOT(OR(AI$6="Toda la plantilla",ISNUMBER(SEARCH(";"&amp;SUBSTITUTE($C116," ","")&amp;";",";"&amp;SUBSTITUTE(AI$7," ","")&amp;";")))),"—",IF(_xlfn.MAXIFS(Acuses!$C$5:$C$3004,Acuses!$A$5:$A$3004,$A116,Acuses!$B$5:$B$3004,AI$4)&lt;AI$5,"Pendiente",IF(AI$8=0,"OK",IF(EDATE(_xlfn.MAXIFS(Acuses!$D$5:$D$3004,Acuses!$A$5:$A$3004,$A116,Acuses!$B$5:$B$3004,AI$4,Acuses!$C$5:$C$3004,AI$5),AI$8)&lt;Resumen!$C$4,"Caducado",IF(EDATE(_xlfn.MAXIFS(Acuses!$D$5:$D$3004,Acuses!$A$5:$A$3004,$A116,Acuses!$B$5:$B$3004,AI$4,Acuses!$C$5:$C$3004,AI$5),AI$8)&lt;Resumen!$C$4+30,"Caduca pronto","OK"))))))</f>
        <v/>
      </c>
      <c r="AJ116" s="26" t="str">
        <f aca="false">IF(OR($A116="",AJ$4=""),"",IF(NOT(OR(AJ$6="Toda la plantilla",ISNUMBER(SEARCH(";"&amp;SUBSTITUTE($C116," ","")&amp;";",";"&amp;SUBSTITUTE(AJ$7," ","")&amp;";")))),"—",IF(_xlfn.MAXIFS(Acuses!$C$5:$C$3004,Acuses!$A$5:$A$3004,$A116,Acuses!$B$5:$B$3004,AJ$4)&lt;AJ$5,"Pendiente",IF(AJ$8=0,"OK",IF(EDATE(_xlfn.MAXIFS(Acuses!$D$5:$D$3004,Acuses!$A$5:$A$3004,$A116,Acuses!$B$5:$B$3004,AJ$4,Acuses!$C$5:$C$3004,AJ$5),AJ$8)&lt;Resumen!$C$4,"Caducado",IF(EDATE(_xlfn.MAXIFS(Acuses!$D$5:$D$3004,Acuses!$A$5:$A$3004,$A116,Acuses!$B$5:$B$3004,AJ$4,Acuses!$C$5:$C$3004,AJ$5),AJ$8)&lt;Resumen!$C$4+30,"Caduca pronto","OK"))))))</f>
        <v/>
      </c>
      <c r="AK116" s="26" t="str">
        <f aca="false">IF(OR($A116="",AK$4=""),"",IF(NOT(OR(AK$6="Toda la plantilla",ISNUMBER(SEARCH(";"&amp;SUBSTITUTE($C116," ","")&amp;";",";"&amp;SUBSTITUTE(AK$7," ","")&amp;";")))),"—",IF(_xlfn.MAXIFS(Acuses!$C$5:$C$3004,Acuses!$A$5:$A$3004,$A116,Acuses!$B$5:$B$3004,AK$4)&lt;AK$5,"Pendiente",IF(AK$8=0,"OK",IF(EDATE(_xlfn.MAXIFS(Acuses!$D$5:$D$3004,Acuses!$A$5:$A$3004,$A116,Acuses!$B$5:$B$3004,AK$4,Acuses!$C$5:$C$3004,AK$5),AK$8)&lt;Resumen!$C$4,"Caducado",IF(EDATE(_xlfn.MAXIFS(Acuses!$D$5:$D$3004,Acuses!$A$5:$A$3004,$A116,Acuses!$B$5:$B$3004,AK$4,Acuses!$C$5:$C$3004,AK$5),AK$8)&lt;Resumen!$C$4+30,"Caduca pronto","OK"))))))</f>
        <v/>
      </c>
      <c r="AL116" s="26" t="str">
        <f aca="false">IF(OR($A116="",AL$4=""),"",IF(NOT(OR(AL$6="Toda la plantilla",ISNUMBER(SEARCH(";"&amp;SUBSTITUTE($C116," ","")&amp;";",";"&amp;SUBSTITUTE(AL$7," ","")&amp;";")))),"—",IF(_xlfn.MAXIFS(Acuses!$C$5:$C$3004,Acuses!$A$5:$A$3004,$A116,Acuses!$B$5:$B$3004,AL$4)&lt;AL$5,"Pendiente",IF(AL$8=0,"OK",IF(EDATE(_xlfn.MAXIFS(Acuses!$D$5:$D$3004,Acuses!$A$5:$A$3004,$A116,Acuses!$B$5:$B$3004,AL$4,Acuses!$C$5:$C$3004,AL$5),AL$8)&lt;Resumen!$C$4,"Caducado",IF(EDATE(_xlfn.MAXIFS(Acuses!$D$5:$D$3004,Acuses!$A$5:$A$3004,$A116,Acuses!$B$5:$B$3004,AL$4,Acuses!$C$5:$C$3004,AL$5),AL$8)&lt;Resumen!$C$4+30,"Caduca pronto","OK"))))))</f>
        <v/>
      </c>
      <c r="AM116" s="26" t="str">
        <f aca="false">IF(OR($A116="",AM$4=""),"",IF(NOT(OR(AM$6="Toda la plantilla",ISNUMBER(SEARCH(";"&amp;SUBSTITUTE($C116," ","")&amp;";",";"&amp;SUBSTITUTE(AM$7," ","")&amp;";")))),"—",IF(_xlfn.MAXIFS(Acuses!$C$5:$C$3004,Acuses!$A$5:$A$3004,$A116,Acuses!$B$5:$B$3004,AM$4)&lt;AM$5,"Pendiente",IF(AM$8=0,"OK",IF(EDATE(_xlfn.MAXIFS(Acuses!$D$5:$D$3004,Acuses!$A$5:$A$3004,$A116,Acuses!$B$5:$B$3004,AM$4,Acuses!$C$5:$C$3004,AM$5),AM$8)&lt;Resumen!$C$4,"Caducado",IF(EDATE(_xlfn.MAXIFS(Acuses!$D$5:$D$3004,Acuses!$A$5:$A$3004,$A116,Acuses!$B$5:$B$3004,AM$4,Acuses!$C$5:$C$3004,AM$5),AM$8)&lt;Resumen!$C$4+30,"Caduca pronto","OK"))))))</f>
        <v/>
      </c>
      <c r="AN116" s="26" t="str">
        <f aca="false">IF(OR($A116="",AN$4=""),"",IF(NOT(OR(AN$6="Toda la plantilla",ISNUMBER(SEARCH(";"&amp;SUBSTITUTE($C116," ","")&amp;";",";"&amp;SUBSTITUTE(AN$7," ","")&amp;";")))),"—",IF(_xlfn.MAXIFS(Acuses!$C$5:$C$3004,Acuses!$A$5:$A$3004,$A116,Acuses!$B$5:$B$3004,AN$4)&lt;AN$5,"Pendiente",IF(AN$8=0,"OK",IF(EDATE(_xlfn.MAXIFS(Acuses!$D$5:$D$3004,Acuses!$A$5:$A$3004,$A116,Acuses!$B$5:$B$3004,AN$4,Acuses!$C$5:$C$3004,AN$5),AN$8)&lt;Resumen!$C$4,"Caducado",IF(EDATE(_xlfn.MAXIFS(Acuses!$D$5:$D$3004,Acuses!$A$5:$A$3004,$A116,Acuses!$B$5:$B$3004,AN$4,Acuses!$C$5:$C$3004,AN$5),AN$8)&lt;Resumen!$C$4+30,"Caduca pronto","OK"))))))</f>
        <v/>
      </c>
      <c r="AO116" s="26" t="str">
        <f aca="false">IF(OR($A116="",AO$4=""),"",IF(NOT(OR(AO$6="Toda la plantilla",ISNUMBER(SEARCH(";"&amp;SUBSTITUTE($C116," ","")&amp;";",";"&amp;SUBSTITUTE(AO$7," ","")&amp;";")))),"—",IF(_xlfn.MAXIFS(Acuses!$C$5:$C$3004,Acuses!$A$5:$A$3004,$A116,Acuses!$B$5:$B$3004,AO$4)&lt;AO$5,"Pendiente",IF(AO$8=0,"OK",IF(EDATE(_xlfn.MAXIFS(Acuses!$D$5:$D$3004,Acuses!$A$5:$A$3004,$A116,Acuses!$B$5:$B$3004,AO$4,Acuses!$C$5:$C$3004,AO$5),AO$8)&lt;Resumen!$C$4,"Caducado",IF(EDATE(_xlfn.MAXIFS(Acuses!$D$5:$D$3004,Acuses!$A$5:$A$3004,$A116,Acuses!$B$5:$B$3004,AO$4,Acuses!$C$5:$C$3004,AO$5),AO$8)&lt;Resumen!$C$4+30,"Caduca pronto","OK"))))))</f>
        <v/>
      </c>
      <c r="AP116" s="26" t="str">
        <f aca="false">IF(OR($A116="",AP$4=""),"",IF(NOT(OR(AP$6="Toda la plantilla",ISNUMBER(SEARCH(";"&amp;SUBSTITUTE($C116," ","")&amp;";",";"&amp;SUBSTITUTE(AP$7," ","")&amp;";")))),"—",IF(_xlfn.MAXIFS(Acuses!$C$5:$C$3004,Acuses!$A$5:$A$3004,$A116,Acuses!$B$5:$B$3004,AP$4)&lt;AP$5,"Pendiente",IF(AP$8=0,"OK",IF(EDATE(_xlfn.MAXIFS(Acuses!$D$5:$D$3004,Acuses!$A$5:$A$3004,$A116,Acuses!$B$5:$B$3004,AP$4,Acuses!$C$5:$C$3004,AP$5),AP$8)&lt;Resumen!$C$4,"Caducado",IF(EDATE(_xlfn.MAXIFS(Acuses!$D$5:$D$3004,Acuses!$A$5:$A$3004,$A116,Acuses!$B$5:$B$3004,AP$4,Acuses!$C$5:$C$3004,AP$5),AP$8)&lt;Resumen!$C$4+30,"Caduca pronto","OK"))))))</f>
        <v/>
      </c>
      <c r="AQ116" s="26" t="str">
        <f aca="false">IF(OR($A116="",AQ$4=""),"",IF(NOT(OR(AQ$6="Toda la plantilla",ISNUMBER(SEARCH(";"&amp;SUBSTITUTE($C116," ","")&amp;";",";"&amp;SUBSTITUTE(AQ$7," ","")&amp;";")))),"—",IF(_xlfn.MAXIFS(Acuses!$C$5:$C$3004,Acuses!$A$5:$A$3004,$A116,Acuses!$B$5:$B$3004,AQ$4)&lt;AQ$5,"Pendiente",IF(AQ$8=0,"OK",IF(EDATE(_xlfn.MAXIFS(Acuses!$D$5:$D$3004,Acuses!$A$5:$A$3004,$A116,Acuses!$B$5:$B$3004,AQ$4,Acuses!$C$5:$C$3004,AQ$5),AQ$8)&lt;Resumen!$C$4,"Caducado",IF(EDATE(_xlfn.MAXIFS(Acuses!$D$5:$D$3004,Acuses!$A$5:$A$3004,$A116,Acuses!$B$5:$B$3004,AQ$4,Acuses!$C$5:$C$3004,AQ$5),AQ$8)&lt;Resumen!$C$4+30,"Caduca pronto","OK"))))))</f>
        <v/>
      </c>
    </row>
    <row r="117" customFormat="false" ht="15" hidden="false" customHeight="false" outlineLevel="0" collapsed="false">
      <c r="A117" s="25" t="str">
        <f aca="false">IF(AND(Trabajadores!$A$112&lt;&gt;"",Trabajadores!$G$112&lt;&gt;"No"),Trabajadores!$A$112,"")</f>
        <v/>
      </c>
      <c r="B117" s="25" t="str">
        <f aca="false">IF($A117="","",Trabajadores!$B$112)</f>
        <v/>
      </c>
      <c r="C117" s="25" t="str">
        <f aca="false">IF($A117="","",Trabajadores!$C$112)</f>
        <v/>
      </c>
      <c r="D117" s="26" t="str">
        <f aca="false">IF(OR($A117="",D$4=""),"",IF(NOT(OR(D$6="Toda la plantilla",ISNUMBER(SEARCH(";"&amp;SUBSTITUTE($C117," ","")&amp;";",";"&amp;SUBSTITUTE(D$7," ","")&amp;";")))),"—",IF(_xlfn.MAXIFS(Acuses!$C$5:$C$3004,Acuses!$A$5:$A$3004,$A117,Acuses!$B$5:$B$3004,D$4)&lt;D$5,"Pendiente",IF(D$8=0,"OK",IF(EDATE(_xlfn.MAXIFS(Acuses!$D$5:$D$3004,Acuses!$A$5:$A$3004,$A117,Acuses!$B$5:$B$3004,D$4,Acuses!$C$5:$C$3004,D$5),D$8)&lt;Resumen!$C$4,"Caducado",IF(EDATE(_xlfn.MAXIFS(Acuses!$D$5:$D$3004,Acuses!$A$5:$A$3004,$A117,Acuses!$B$5:$B$3004,D$4,Acuses!$C$5:$C$3004,D$5),D$8)&lt;Resumen!$C$4+30,"Caduca pronto","OK"))))))</f>
        <v/>
      </c>
      <c r="E117" s="26" t="str">
        <f aca="false">IF(OR($A117="",E$4=""),"",IF(NOT(OR(E$6="Toda la plantilla",ISNUMBER(SEARCH(";"&amp;SUBSTITUTE($C117," ","")&amp;";",";"&amp;SUBSTITUTE(E$7," ","")&amp;";")))),"—",IF(_xlfn.MAXIFS(Acuses!$C$5:$C$3004,Acuses!$A$5:$A$3004,$A117,Acuses!$B$5:$B$3004,E$4)&lt;E$5,"Pendiente",IF(E$8=0,"OK",IF(EDATE(_xlfn.MAXIFS(Acuses!$D$5:$D$3004,Acuses!$A$5:$A$3004,$A117,Acuses!$B$5:$B$3004,E$4,Acuses!$C$5:$C$3004,E$5),E$8)&lt;Resumen!$C$4,"Caducado",IF(EDATE(_xlfn.MAXIFS(Acuses!$D$5:$D$3004,Acuses!$A$5:$A$3004,$A117,Acuses!$B$5:$B$3004,E$4,Acuses!$C$5:$C$3004,E$5),E$8)&lt;Resumen!$C$4+30,"Caduca pronto","OK"))))))</f>
        <v/>
      </c>
      <c r="F117" s="26" t="str">
        <f aca="false">IF(OR($A117="",F$4=""),"",IF(NOT(OR(F$6="Toda la plantilla",ISNUMBER(SEARCH(";"&amp;SUBSTITUTE($C117," ","")&amp;";",";"&amp;SUBSTITUTE(F$7," ","")&amp;";")))),"—",IF(_xlfn.MAXIFS(Acuses!$C$5:$C$3004,Acuses!$A$5:$A$3004,$A117,Acuses!$B$5:$B$3004,F$4)&lt;F$5,"Pendiente",IF(F$8=0,"OK",IF(EDATE(_xlfn.MAXIFS(Acuses!$D$5:$D$3004,Acuses!$A$5:$A$3004,$A117,Acuses!$B$5:$B$3004,F$4,Acuses!$C$5:$C$3004,F$5),F$8)&lt;Resumen!$C$4,"Caducado",IF(EDATE(_xlfn.MAXIFS(Acuses!$D$5:$D$3004,Acuses!$A$5:$A$3004,$A117,Acuses!$B$5:$B$3004,F$4,Acuses!$C$5:$C$3004,F$5),F$8)&lt;Resumen!$C$4+30,"Caduca pronto","OK"))))))</f>
        <v/>
      </c>
      <c r="G117" s="26" t="str">
        <f aca="false">IF(OR($A117="",G$4=""),"",IF(NOT(OR(G$6="Toda la plantilla",ISNUMBER(SEARCH(";"&amp;SUBSTITUTE($C117," ","")&amp;";",";"&amp;SUBSTITUTE(G$7," ","")&amp;";")))),"—",IF(_xlfn.MAXIFS(Acuses!$C$5:$C$3004,Acuses!$A$5:$A$3004,$A117,Acuses!$B$5:$B$3004,G$4)&lt;G$5,"Pendiente",IF(G$8=0,"OK",IF(EDATE(_xlfn.MAXIFS(Acuses!$D$5:$D$3004,Acuses!$A$5:$A$3004,$A117,Acuses!$B$5:$B$3004,G$4,Acuses!$C$5:$C$3004,G$5),G$8)&lt;Resumen!$C$4,"Caducado",IF(EDATE(_xlfn.MAXIFS(Acuses!$D$5:$D$3004,Acuses!$A$5:$A$3004,$A117,Acuses!$B$5:$B$3004,G$4,Acuses!$C$5:$C$3004,G$5),G$8)&lt;Resumen!$C$4+30,"Caduca pronto","OK"))))))</f>
        <v/>
      </c>
      <c r="H117" s="26" t="str">
        <f aca="false">IF(OR($A117="",H$4=""),"",IF(NOT(OR(H$6="Toda la plantilla",ISNUMBER(SEARCH(";"&amp;SUBSTITUTE($C117," ","")&amp;";",";"&amp;SUBSTITUTE(H$7," ","")&amp;";")))),"—",IF(_xlfn.MAXIFS(Acuses!$C$5:$C$3004,Acuses!$A$5:$A$3004,$A117,Acuses!$B$5:$B$3004,H$4)&lt;H$5,"Pendiente",IF(H$8=0,"OK",IF(EDATE(_xlfn.MAXIFS(Acuses!$D$5:$D$3004,Acuses!$A$5:$A$3004,$A117,Acuses!$B$5:$B$3004,H$4,Acuses!$C$5:$C$3004,H$5),H$8)&lt;Resumen!$C$4,"Caducado",IF(EDATE(_xlfn.MAXIFS(Acuses!$D$5:$D$3004,Acuses!$A$5:$A$3004,$A117,Acuses!$B$5:$B$3004,H$4,Acuses!$C$5:$C$3004,H$5),H$8)&lt;Resumen!$C$4+30,"Caduca pronto","OK"))))))</f>
        <v/>
      </c>
      <c r="I117" s="26" t="str">
        <f aca="false">IF(OR($A117="",I$4=""),"",IF(NOT(OR(I$6="Toda la plantilla",ISNUMBER(SEARCH(";"&amp;SUBSTITUTE($C117," ","")&amp;";",";"&amp;SUBSTITUTE(I$7," ","")&amp;";")))),"—",IF(_xlfn.MAXIFS(Acuses!$C$5:$C$3004,Acuses!$A$5:$A$3004,$A117,Acuses!$B$5:$B$3004,I$4)&lt;I$5,"Pendiente",IF(I$8=0,"OK",IF(EDATE(_xlfn.MAXIFS(Acuses!$D$5:$D$3004,Acuses!$A$5:$A$3004,$A117,Acuses!$B$5:$B$3004,I$4,Acuses!$C$5:$C$3004,I$5),I$8)&lt;Resumen!$C$4,"Caducado",IF(EDATE(_xlfn.MAXIFS(Acuses!$D$5:$D$3004,Acuses!$A$5:$A$3004,$A117,Acuses!$B$5:$B$3004,I$4,Acuses!$C$5:$C$3004,I$5),I$8)&lt;Resumen!$C$4+30,"Caduca pronto","OK"))))))</f>
        <v/>
      </c>
      <c r="J117" s="26" t="str">
        <f aca="false">IF(OR($A117="",J$4=""),"",IF(NOT(OR(J$6="Toda la plantilla",ISNUMBER(SEARCH(";"&amp;SUBSTITUTE($C117," ","")&amp;";",";"&amp;SUBSTITUTE(J$7," ","")&amp;";")))),"—",IF(_xlfn.MAXIFS(Acuses!$C$5:$C$3004,Acuses!$A$5:$A$3004,$A117,Acuses!$B$5:$B$3004,J$4)&lt;J$5,"Pendiente",IF(J$8=0,"OK",IF(EDATE(_xlfn.MAXIFS(Acuses!$D$5:$D$3004,Acuses!$A$5:$A$3004,$A117,Acuses!$B$5:$B$3004,J$4,Acuses!$C$5:$C$3004,J$5),J$8)&lt;Resumen!$C$4,"Caducado",IF(EDATE(_xlfn.MAXIFS(Acuses!$D$5:$D$3004,Acuses!$A$5:$A$3004,$A117,Acuses!$B$5:$B$3004,J$4,Acuses!$C$5:$C$3004,J$5),J$8)&lt;Resumen!$C$4+30,"Caduca pronto","OK"))))))</f>
        <v/>
      </c>
      <c r="K117" s="26" t="str">
        <f aca="false">IF(OR($A117="",K$4=""),"",IF(NOT(OR(K$6="Toda la plantilla",ISNUMBER(SEARCH(";"&amp;SUBSTITUTE($C117," ","")&amp;";",";"&amp;SUBSTITUTE(K$7," ","")&amp;";")))),"—",IF(_xlfn.MAXIFS(Acuses!$C$5:$C$3004,Acuses!$A$5:$A$3004,$A117,Acuses!$B$5:$B$3004,K$4)&lt;K$5,"Pendiente",IF(K$8=0,"OK",IF(EDATE(_xlfn.MAXIFS(Acuses!$D$5:$D$3004,Acuses!$A$5:$A$3004,$A117,Acuses!$B$5:$B$3004,K$4,Acuses!$C$5:$C$3004,K$5),K$8)&lt;Resumen!$C$4,"Caducado",IF(EDATE(_xlfn.MAXIFS(Acuses!$D$5:$D$3004,Acuses!$A$5:$A$3004,$A117,Acuses!$B$5:$B$3004,K$4,Acuses!$C$5:$C$3004,K$5),K$8)&lt;Resumen!$C$4+30,"Caduca pronto","OK"))))))</f>
        <v/>
      </c>
      <c r="L117" s="26" t="str">
        <f aca="false">IF(OR($A117="",L$4=""),"",IF(NOT(OR(L$6="Toda la plantilla",ISNUMBER(SEARCH(";"&amp;SUBSTITUTE($C117," ","")&amp;";",";"&amp;SUBSTITUTE(L$7," ","")&amp;";")))),"—",IF(_xlfn.MAXIFS(Acuses!$C$5:$C$3004,Acuses!$A$5:$A$3004,$A117,Acuses!$B$5:$B$3004,L$4)&lt;L$5,"Pendiente",IF(L$8=0,"OK",IF(EDATE(_xlfn.MAXIFS(Acuses!$D$5:$D$3004,Acuses!$A$5:$A$3004,$A117,Acuses!$B$5:$B$3004,L$4,Acuses!$C$5:$C$3004,L$5),L$8)&lt;Resumen!$C$4,"Caducado",IF(EDATE(_xlfn.MAXIFS(Acuses!$D$5:$D$3004,Acuses!$A$5:$A$3004,$A117,Acuses!$B$5:$B$3004,L$4,Acuses!$C$5:$C$3004,L$5),L$8)&lt;Resumen!$C$4+30,"Caduca pronto","OK"))))))</f>
        <v/>
      </c>
      <c r="M117" s="26" t="str">
        <f aca="false">IF(OR($A117="",M$4=""),"",IF(NOT(OR(M$6="Toda la plantilla",ISNUMBER(SEARCH(";"&amp;SUBSTITUTE($C117," ","")&amp;";",";"&amp;SUBSTITUTE(M$7," ","")&amp;";")))),"—",IF(_xlfn.MAXIFS(Acuses!$C$5:$C$3004,Acuses!$A$5:$A$3004,$A117,Acuses!$B$5:$B$3004,M$4)&lt;M$5,"Pendiente",IF(M$8=0,"OK",IF(EDATE(_xlfn.MAXIFS(Acuses!$D$5:$D$3004,Acuses!$A$5:$A$3004,$A117,Acuses!$B$5:$B$3004,M$4,Acuses!$C$5:$C$3004,M$5),M$8)&lt;Resumen!$C$4,"Caducado",IF(EDATE(_xlfn.MAXIFS(Acuses!$D$5:$D$3004,Acuses!$A$5:$A$3004,$A117,Acuses!$B$5:$B$3004,M$4,Acuses!$C$5:$C$3004,M$5),M$8)&lt;Resumen!$C$4+30,"Caduca pronto","OK"))))))</f>
        <v/>
      </c>
      <c r="N117" s="26" t="str">
        <f aca="false">IF(OR($A117="",N$4=""),"",IF(NOT(OR(N$6="Toda la plantilla",ISNUMBER(SEARCH(";"&amp;SUBSTITUTE($C117," ","")&amp;";",";"&amp;SUBSTITUTE(N$7," ","")&amp;";")))),"—",IF(_xlfn.MAXIFS(Acuses!$C$5:$C$3004,Acuses!$A$5:$A$3004,$A117,Acuses!$B$5:$B$3004,N$4)&lt;N$5,"Pendiente",IF(N$8=0,"OK",IF(EDATE(_xlfn.MAXIFS(Acuses!$D$5:$D$3004,Acuses!$A$5:$A$3004,$A117,Acuses!$B$5:$B$3004,N$4,Acuses!$C$5:$C$3004,N$5),N$8)&lt;Resumen!$C$4,"Caducado",IF(EDATE(_xlfn.MAXIFS(Acuses!$D$5:$D$3004,Acuses!$A$5:$A$3004,$A117,Acuses!$B$5:$B$3004,N$4,Acuses!$C$5:$C$3004,N$5),N$8)&lt;Resumen!$C$4+30,"Caduca pronto","OK"))))))</f>
        <v/>
      </c>
      <c r="O117" s="26" t="str">
        <f aca="false">IF(OR($A117="",O$4=""),"",IF(NOT(OR(O$6="Toda la plantilla",ISNUMBER(SEARCH(";"&amp;SUBSTITUTE($C117," ","")&amp;";",";"&amp;SUBSTITUTE(O$7," ","")&amp;";")))),"—",IF(_xlfn.MAXIFS(Acuses!$C$5:$C$3004,Acuses!$A$5:$A$3004,$A117,Acuses!$B$5:$B$3004,O$4)&lt;O$5,"Pendiente",IF(O$8=0,"OK",IF(EDATE(_xlfn.MAXIFS(Acuses!$D$5:$D$3004,Acuses!$A$5:$A$3004,$A117,Acuses!$B$5:$B$3004,O$4,Acuses!$C$5:$C$3004,O$5),O$8)&lt;Resumen!$C$4,"Caducado",IF(EDATE(_xlfn.MAXIFS(Acuses!$D$5:$D$3004,Acuses!$A$5:$A$3004,$A117,Acuses!$B$5:$B$3004,O$4,Acuses!$C$5:$C$3004,O$5),O$8)&lt;Resumen!$C$4+30,"Caduca pronto","OK"))))))</f>
        <v/>
      </c>
      <c r="P117" s="26" t="str">
        <f aca="false">IF(OR($A117="",P$4=""),"",IF(NOT(OR(P$6="Toda la plantilla",ISNUMBER(SEARCH(";"&amp;SUBSTITUTE($C117," ","")&amp;";",";"&amp;SUBSTITUTE(P$7," ","")&amp;";")))),"—",IF(_xlfn.MAXIFS(Acuses!$C$5:$C$3004,Acuses!$A$5:$A$3004,$A117,Acuses!$B$5:$B$3004,P$4)&lt;P$5,"Pendiente",IF(P$8=0,"OK",IF(EDATE(_xlfn.MAXIFS(Acuses!$D$5:$D$3004,Acuses!$A$5:$A$3004,$A117,Acuses!$B$5:$B$3004,P$4,Acuses!$C$5:$C$3004,P$5),P$8)&lt;Resumen!$C$4,"Caducado",IF(EDATE(_xlfn.MAXIFS(Acuses!$D$5:$D$3004,Acuses!$A$5:$A$3004,$A117,Acuses!$B$5:$B$3004,P$4,Acuses!$C$5:$C$3004,P$5),P$8)&lt;Resumen!$C$4+30,"Caduca pronto","OK"))))))</f>
        <v/>
      </c>
      <c r="Q117" s="26" t="str">
        <f aca="false">IF(OR($A117="",Q$4=""),"",IF(NOT(OR(Q$6="Toda la plantilla",ISNUMBER(SEARCH(";"&amp;SUBSTITUTE($C117," ","")&amp;";",";"&amp;SUBSTITUTE(Q$7," ","")&amp;";")))),"—",IF(_xlfn.MAXIFS(Acuses!$C$5:$C$3004,Acuses!$A$5:$A$3004,$A117,Acuses!$B$5:$B$3004,Q$4)&lt;Q$5,"Pendiente",IF(Q$8=0,"OK",IF(EDATE(_xlfn.MAXIFS(Acuses!$D$5:$D$3004,Acuses!$A$5:$A$3004,$A117,Acuses!$B$5:$B$3004,Q$4,Acuses!$C$5:$C$3004,Q$5),Q$8)&lt;Resumen!$C$4,"Caducado",IF(EDATE(_xlfn.MAXIFS(Acuses!$D$5:$D$3004,Acuses!$A$5:$A$3004,$A117,Acuses!$B$5:$B$3004,Q$4,Acuses!$C$5:$C$3004,Q$5),Q$8)&lt;Resumen!$C$4+30,"Caduca pronto","OK"))))))</f>
        <v/>
      </c>
      <c r="R117" s="26" t="str">
        <f aca="false">IF(OR($A117="",R$4=""),"",IF(NOT(OR(R$6="Toda la plantilla",ISNUMBER(SEARCH(";"&amp;SUBSTITUTE($C117," ","")&amp;";",";"&amp;SUBSTITUTE(R$7," ","")&amp;";")))),"—",IF(_xlfn.MAXIFS(Acuses!$C$5:$C$3004,Acuses!$A$5:$A$3004,$A117,Acuses!$B$5:$B$3004,R$4)&lt;R$5,"Pendiente",IF(R$8=0,"OK",IF(EDATE(_xlfn.MAXIFS(Acuses!$D$5:$D$3004,Acuses!$A$5:$A$3004,$A117,Acuses!$B$5:$B$3004,R$4,Acuses!$C$5:$C$3004,R$5),R$8)&lt;Resumen!$C$4,"Caducado",IF(EDATE(_xlfn.MAXIFS(Acuses!$D$5:$D$3004,Acuses!$A$5:$A$3004,$A117,Acuses!$B$5:$B$3004,R$4,Acuses!$C$5:$C$3004,R$5),R$8)&lt;Resumen!$C$4+30,"Caduca pronto","OK"))))))</f>
        <v/>
      </c>
      <c r="S117" s="26" t="str">
        <f aca="false">IF(OR($A117="",S$4=""),"",IF(NOT(OR(S$6="Toda la plantilla",ISNUMBER(SEARCH(";"&amp;SUBSTITUTE($C117," ","")&amp;";",";"&amp;SUBSTITUTE(S$7," ","")&amp;";")))),"—",IF(_xlfn.MAXIFS(Acuses!$C$5:$C$3004,Acuses!$A$5:$A$3004,$A117,Acuses!$B$5:$B$3004,S$4)&lt;S$5,"Pendiente",IF(S$8=0,"OK",IF(EDATE(_xlfn.MAXIFS(Acuses!$D$5:$D$3004,Acuses!$A$5:$A$3004,$A117,Acuses!$B$5:$B$3004,S$4,Acuses!$C$5:$C$3004,S$5),S$8)&lt;Resumen!$C$4,"Caducado",IF(EDATE(_xlfn.MAXIFS(Acuses!$D$5:$D$3004,Acuses!$A$5:$A$3004,$A117,Acuses!$B$5:$B$3004,S$4,Acuses!$C$5:$C$3004,S$5),S$8)&lt;Resumen!$C$4+30,"Caduca pronto","OK"))))))</f>
        <v/>
      </c>
      <c r="T117" s="26" t="str">
        <f aca="false">IF(OR($A117="",T$4=""),"",IF(NOT(OR(T$6="Toda la plantilla",ISNUMBER(SEARCH(";"&amp;SUBSTITUTE($C117," ","")&amp;";",";"&amp;SUBSTITUTE(T$7," ","")&amp;";")))),"—",IF(_xlfn.MAXIFS(Acuses!$C$5:$C$3004,Acuses!$A$5:$A$3004,$A117,Acuses!$B$5:$B$3004,T$4)&lt;T$5,"Pendiente",IF(T$8=0,"OK",IF(EDATE(_xlfn.MAXIFS(Acuses!$D$5:$D$3004,Acuses!$A$5:$A$3004,$A117,Acuses!$B$5:$B$3004,T$4,Acuses!$C$5:$C$3004,T$5),T$8)&lt;Resumen!$C$4,"Caducado",IF(EDATE(_xlfn.MAXIFS(Acuses!$D$5:$D$3004,Acuses!$A$5:$A$3004,$A117,Acuses!$B$5:$B$3004,T$4,Acuses!$C$5:$C$3004,T$5),T$8)&lt;Resumen!$C$4+30,"Caduca pronto","OK"))))))</f>
        <v/>
      </c>
      <c r="U117" s="26" t="str">
        <f aca="false">IF(OR($A117="",U$4=""),"",IF(NOT(OR(U$6="Toda la plantilla",ISNUMBER(SEARCH(";"&amp;SUBSTITUTE($C117," ","")&amp;";",";"&amp;SUBSTITUTE(U$7," ","")&amp;";")))),"—",IF(_xlfn.MAXIFS(Acuses!$C$5:$C$3004,Acuses!$A$5:$A$3004,$A117,Acuses!$B$5:$B$3004,U$4)&lt;U$5,"Pendiente",IF(U$8=0,"OK",IF(EDATE(_xlfn.MAXIFS(Acuses!$D$5:$D$3004,Acuses!$A$5:$A$3004,$A117,Acuses!$B$5:$B$3004,U$4,Acuses!$C$5:$C$3004,U$5),U$8)&lt;Resumen!$C$4,"Caducado",IF(EDATE(_xlfn.MAXIFS(Acuses!$D$5:$D$3004,Acuses!$A$5:$A$3004,$A117,Acuses!$B$5:$B$3004,U$4,Acuses!$C$5:$C$3004,U$5),U$8)&lt;Resumen!$C$4+30,"Caduca pronto","OK"))))))</f>
        <v/>
      </c>
      <c r="V117" s="26" t="str">
        <f aca="false">IF(OR($A117="",V$4=""),"",IF(NOT(OR(V$6="Toda la plantilla",ISNUMBER(SEARCH(";"&amp;SUBSTITUTE($C117," ","")&amp;";",";"&amp;SUBSTITUTE(V$7," ","")&amp;";")))),"—",IF(_xlfn.MAXIFS(Acuses!$C$5:$C$3004,Acuses!$A$5:$A$3004,$A117,Acuses!$B$5:$B$3004,V$4)&lt;V$5,"Pendiente",IF(V$8=0,"OK",IF(EDATE(_xlfn.MAXIFS(Acuses!$D$5:$D$3004,Acuses!$A$5:$A$3004,$A117,Acuses!$B$5:$B$3004,V$4,Acuses!$C$5:$C$3004,V$5),V$8)&lt;Resumen!$C$4,"Caducado",IF(EDATE(_xlfn.MAXIFS(Acuses!$D$5:$D$3004,Acuses!$A$5:$A$3004,$A117,Acuses!$B$5:$B$3004,V$4,Acuses!$C$5:$C$3004,V$5),V$8)&lt;Resumen!$C$4+30,"Caduca pronto","OK"))))))</f>
        <v/>
      </c>
      <c r="W117" s="26" t="str">
        <f aca="false">IF(OR($A117="",W$4=""),"",IF(NOT(OR(W$6="Toda la plantilla",ISNUMBER(SEARCH(";"&amp;SUBSTITUTE($C117," ","")&amp;";",";"&amp;SUBSTITUTE(W$7," ","")&amp;";")))),"—",IF(_xlfn.MAXIFS(Acuses!$C$5:$C$3004,Acuses!$A$5:$A$3004,$A117,Acuses!$B$5:$B$3004,W$4)&lt;W$5,"Pendiente",IF(W$8=0,"OK",IF(EDATE(_xlfn.MAXIFS(Acuses!$D$5:$D$3004,Acuses!$A$5:$A$3004,$A117,Acuses!$B$5:$B$3004,W$4,Acuses!$C$5:$C$3004,W$5),W$8)&lt;Resumen!$C$4,"Caducado",IF(EDATE(_xlfn.MAXIFS(Acuses!$D$5:$D$3004,Acuses!$A$5:$A$3004,$A117,Acuses!$B$5:$B$3004,W$4,Acuses!$C$5:$C$3004,W$5),W$8)&lt;Resumen!$C$4+30,"Caduca pronto","OK"))))))</f>
        <v/>
      </c>
      <c r="X117" s="26" t="str">
        <f aca="false">IF(OR($A117="",X$4=""),"",IF(NOT(OR(X$6="Toda la plantilla",ISNUMBER(SEARCH(";"&amp;SUBSTITUTE($C117," ","")&amp;";",";"&amp;SUBSTITUTE(X$7," ","")&amp;";")))),"—",IF(_xlfn.MAXIFS(Acuses!$C$5:$C$3004,Acuses!$A$5:$A$3004,$A117,Acuses!$B$5:$B$3004,X$4)&lt;X$5,"Pendiente",IF(X$8=0,"OK",IF(EDATE(_xlfn.MAXIFS(Acuses!$D$5:$D$3004,Acuses!$A$5:$A$3004,$A117,Acuses!$B$5:$B$3004,X$4,Acuses!$C$5:$C$3004,X$5),X$8)&lt;Resumen!$C$4,"Caducado",IF(EDATE(_xlfn.MAXIFS(Acuses!$D$5:$D$3004,Acuses!$A$5:$A$3004,$A117,Acuses!$B$5:$B$3004,X$4,Acuses!$C$5:$C$3004,X$5),X$8)&lt;Resumen!$C$4+30,"Caduca pronto","OK"))))))</f>
        <v/>
      </c>
      <c r="Y117" s="26" t="str">
        <f aca="false">IF(OR($A117="",Y$4=""),"",IF(NOT(OR(Y$6="Toda la plantilla",ISNUMBER(SEARCH(";"&amp;SUBSTITUTE($C117," ","")&amp;";",";"&amp;SUBSTITUTE(Y$7," ","")&amp;";")))),"—",IF(_xlfn.MAXIFS(Acuses!$C$5:$C$3004,Acuses!$A$5:$A$3004,$A117,Acuses!$B$5:$B$3004,Y$4)&lt;Y$5,"Pendiente",IF(Y$8=0,"OK",IF(EDATE(_xlfn.MAXIFS(Acuses!$D$5:$D$3004,Acuses!$A$5:$A$3004,$A117,Acuses!$B$5:$B$3004,Y$4,Acuses!$C$5:$C$3004,Y$5),Y$8)&lt;Resumen!$C$4,"Caducado",IF(EDATE(_xlfn.MAXIFS(Acuses!$D$5:$D$3004,Acuses!$A$5:$A$3004,$A117,Acuses!$B$5:$B$3004,Y$4,Acuses!$C$5:$C$3004,Y$5),Y$8)&lt;Resumen!$C$4+30,"Caduca pronto","OK"))))))</f>
        <v/>
      </c>
      <c r="Z117" s="26" t="str">
        <f aca="false">IF(OR($A117="",Z$4=""),"",IF(NOT(OR(Z$6="Toda la plantilla",ISNUMBER(SEARCH(";"&amp;SUBSTITUTE($C117," ","")&amp;";",";"&amp;SUBSTITUTE(Z$7," ","")&amp;";")))),"—",IF(_xlfn.MAXIFS(Acuses!$C$5:$C$3004,Acuses!$A$5:$A$3004,$A117,Acuses!$B$5:$B$3004,Z$4)&lt;Z$5,"Pendiente",IF(Z$8=0,"OK",IF(EDATE(_xlfn.MAXIFS(Acuses!$D$5:$D$3004,Acuses!$A$5:$A$3004,$A117,Acuses!$B$5:$B$3004,Z$4,Acuses!$C$5:$C$3004,Z$5),Z$8)&lt;Resumen!$C$4,"Caducado",IF(EDATE(_xlfn.MAXIFS(Acuses!$D$5:$D$3004,Acuses!$A$5:$A$3004,$A117,Acuses!$B$5:$B$3004,Z$4,Acuses!$C$5:$C$3004,Z$5),Z$8)&lt;Resumen!$C$4+30,"Caduca pronto","OK"))))))</f>
        <v/>
      </c>
      <c r="AA117" s="26" t="str">
        <f aca="false">IF(OR($A117="",AA$4=""),"",IF(NOT(OR(AA$6="Toda la plantilla",ISNUMBER(SEARCH(";"&amp;SUBSTITUTE($C117," ","")&amp;";",";"&amp;SUBSTITUTE(AA$7," ","")&amp;";")))),"—",IF(_xlfn.MAXIFS(Acuses!$C$5:$C$3004,Acuses!$A$5:$A$3004,$A117,Acuses!$B$5:$B$3004,AA$4)&lt;AA$5,"Pendiente",IF(AA$8=0,"OK",IF(EDATE(_xlfn.MAXIFS(Acuses!$D$5:$D$3004,Acuses!$A$5:$A$3004,$A117,Acuses!$B$5:$B$3004,AA$4,Acuses!$C$5:$C$3004,AA$5),AA$8)&lt;Resumen!$C$4,"Caducado",IF(EDATE(_xlfn.MAXIFS(Acuses!$D$5:$D$3004,Acuses!$A$5:$A$3004,$A117,Acuses!$B$5:$B$3004,AA$4,Acuses!$C$5:$C$3004,AA$5),AA$8)&lt;Resumen!$C$4+30,"Caduca pronto","OK"))))))</f>
        <v/>
      </c>
      <c r="AB117" s="26" t="str">
        <f aca="false">IF(OR($A117="",AB$4=""),"",IF(NOT(OR(AB$6="Toda la plantilla",ISNUMBER(SEARCH(";"&amp;SUBSTITUTE($C117," ","")&amp;";",";"&amp;SUBSTITUTE(AB$7," ","")&amp;";")))),"—",IF(_xlfn.MAXIFS(Acuses!$C$5:$C$3004,Acuses!$A$5:$A$3004,$A117,Acuses!$B$5:$B$3004,AB$4)&lt;AB$5,"Pendiente",IF(AB$8=0,"OK",IF(EDATE(_xlfn.MAXIFS(Acuses!$D$5:$D$3004,Acuses!$A$5:$A$3004,$A117,Acuses!$B$5:$B$3004,AB$4,Acuses!$C$5:$C$3004,AB$5),AB$8)&lt;Resumen!$C$4,"Caducado",IF(EDATE(_xlfn.MAXIFS(Acuses!$D$5:$D$3004,Acuses!$A$5:$A$3004,$A117,Acuses!$B$5:$B$3004,AB$4,Acuses!$C$5:$C$3004,AB$5),AB$8)&lt;Resumen!$C$4+30,"Caduca pronto","OK"))))))</f>
        <v/>
      </c>
      <c r="AC117" s="26" t="str">
        <f aca="false">IF(OR($A117="",AC$4=""),"",IF(NOT(OR(AC$6="Toda la plantilla",ISNUMBER(SEARCH(";"&amp;SUBSTITUTE($C117," ","")&amp;";",";"&amp;SUBSTITUTE(AC$7," ","")&amp;";")))),"—",IF(_xlfn.MAXIFS(Acuses!$C$5:$C$3004,Acuses!$A$5:$A$3004,$A117,Acuses!$B$5:$B$3004,AC$4)&lt;AC$5,"Pendiente",IF(AC$8=0,"OK",IF(EDATE(_xlfn.MAXIFS(Acuses!$D$5:$D$3004,Acuses!$A$5:$A$3004,$A117,Acuses!$B$5:$B$3004,AC$4,Acuses!$C$5:$C$3004,AC$5),AC$8)&lt;Resumen!$C$4,"Caducado",IF(EDATE(_xlfn.MAXIFS(Acuses!$D$5:$D$3004,Acuses!$A$5:$A$3004,$A117,Acuses!$B$5:$B$3004,AC$4,Acuses!$C$5:$C$3004,AC$5),AC$8)&lt;Resumen!$C$4+30,"Caduca pronto","OK"))))))</f>
        <v/>
      </c>
      <c r="AD117" s="26" t="str">
        <f aca="false">IF(OR($A117="",AD$4=""),"",IF(NOT(OR(AD$6="Toda la plantilla",ISNUMBER(SEARCH(";"&amp;SUBSTITUTE($C117," ","")&amp;";",";"&amp;SUBSTITUTE(AD$7," ","")&amp;";")))),"—",IF(_xlfn.MAXIFS(Acuses!$C$5:$C$3004,Acuses!$A$5:$A$3004,$A117,Acuses!$B$5:$B$3004,AD$4)&lt;AD$5,"Pendiente",IF(AD$8=0,"OK",IF(EDATE(_xlfn.MAXIFS(Acuses!$D$5:$D$3004,Acuses!$A$5:$A$3004,$A117,Acuses!$B$5:$B$3004,AD$4,Acuses!$C$5:$C$3004,AD$5),AD$8)&lt;Resumen!$C$4,"Caducado",IF(EDATE(_xlfn.MAXIFS(Acuses!$D$5:$D$3004,Acuses!$A$5:$A$3004,$A117,Acuses!$B$5:$B$3004,AD$4,Acuses!$C$5:$C$3004,AD$5),AD$8)&lt;Resumen!$C$4+30,"Caduca pronto","OK"))))))</f>
        <v/>
      </c>
      <c r="AE117" s="26" t="str">
        <f aca="false">IF(OR($A117="",AE$4=""),"",IF(NOT(OR(AE$6="Toda la plantilla",ISNUMBER(SEARCH(";"&amp;SUBSTITUTE($C117," ","")&amp;";",";"&amp;SUBSTITUTE(AE$7," ","")&amp;";")))),"—",IF(_xlfn.MAXIFS(Acuses!$C$5:$C$3004,Acuses!$A$5:$A$3004,$A117,Acuses!$B$5:$B$3004,AE$4)&lt;AE$5,"Pendiente",IF(AE$8=0,"OK",IF(EDATE(_xlfn.MAXIFS(Acuses!$D$5:$D$3004,Acuses!$A$5:$A$3004,$A117,Acuses!$B$5:$B$3004,AE$4,Acuses!$C$5:$C$3004,AE$5),AE$8)&lt;Resumen!$C$4,"Caducado",IF(EDATE(_xlfn.MAXIFS(Acuses!$D$5:$D$3004,Acuses!$A$5:$A$3004,$A117,Acuses!$B$5:$B$3004,AE$4,Acuses!$C$5:$C$3004,AE$5),AE$8)&lt;Resumen!$C$4+30,"Caduca pronto","OK"))))))</f>
        <v/>
      </c>
      <c r="AF117" s="26" t="str">
        <f aca="false">IF(OR($A117="",AF$4=""),"",IF(NOT(OR(AF$6="Toda la plantilla",ISNUMBER(SEARCH(";"&amp;SUBSTITUTE($C117," ","")&amp;";",";"&amp;SUBSTITUTE(AF$7," ","")&amp;";")))),"—",IF(_xlfn.MAXIFS(Acuses!$C$5:$C$3004,Acuses!$A$5:$A$3004,$A117,Acuses!$B$5:$B$3004,AF$4)&lt;AF$5,"Pendiente",IF(AF$8=0,"OK",IF(EDATE(_xlfn.MAXIFS(Acuses!$D$5:$D$3004,Acuses!$A$5:$A$3004,$A117,Acuses!$B$5:$B$3004,AF$4,Acuses!$C$5:$C$3004,AF$5),AF$8)&lt;Resumen!$C$4,"Caducado",IF(EDATE(_xlfn.MAXIFS(Acuses!$D$5:$D$3004,Acuses!$A$5:$A$3004,$A117,Acuses!$B$5:$B$3004,AF$4,Acuses!$C$5:$C$3004,AF$5),AF$8)&lt;Resumen!$C$4+30,"Caduca pronto","OK"))))))</f>
        <v/>
      </c>
      <c r="AG117" s="26" t="str">
        <f aca="false">IF(OR($A117="",AG$4=""),"",IF(NOT(OR(AG$6="Toda la plantilla",ISNUMBER(SEARCH(";"&amp;SUBSTITUTE($C117," ","")&amp;";",";"&amp;SUBSTITUTE(AG$7," ","")&amp;";")))),"—",IF(_xlfn.MAXIFS(Acuses!$C$5:$C$3004,Acuses!$A$5:$A$3004,$A117,Acuses!$B$5:$B$3004,AG$4)&lt;AG$5,"Pendiente",IF(AG$8=0,"OK",IF(EDATE(_xlfn.MAXIFS(Acuses!$D$5:$D$3004,Acuses!$A$5:$A$3004,$A117,Acuses!$B$5:$B$3004,AG$4,Acuses!$C$5:$C$3004,AG$5),AG$8)&lt;Resumen!$C$4,"Caducado",IF(EDATE(_xlfn.MAXIFS(Acuses!$D$5:$D$3004,Acuses!$A$5:$A$3004,$A117,Acuses!$B$5:$B$3004,AG$4,Acuses!$C$5:$C$3004,AG$5),AG$8)&lt;Resumen!$C$4+30,"Caduca pronto","OK"))))))</f>
        <v/>
      </c>
      <c r="AH117" s="26" t="str">
        <f aca="false">IF(OR($A117="",AH$4=""),"",IF(NOT(OR(AH$6="Toda la plantilla",ISNUMBER(SEARCH(";"&amp;SUBSTITUTE($C117," ","")&amp;";",";"&amp;SUBSTITUTE(AH$7," ","")&amp;";")))),"—",IF(_xlfn.MAXIFS(Acuses!$C$5:$C$3004,Acuses!$A$5:$A$3004,$A117,Acuses!$B$5:$B$3004,AH$4)&lt;AH$5,"Pendiente",IF(AH$8=0,"OK",IF(EDATE(_xlfn.MAXIFS(Acuses!$D$5:$D$3004,Acuses!$A$5:$A$3004,$A117,Acuses!$B$5:$B$3004,AH$4,Acuses!$C$5:$C$3004,AH$5),AH$8)&lt;Resumen!$C$4,"Caducado",IF(EDATE(_xlfn.MAXIFS(Acuses!$D$5:$D$3004,Acuses!$A$5:$A$3004,$A117,Acuses!$B$5:$B$3004,AH$4,Acuses!$C$5:$C$3004,AH$5),AH$8)&lt;Resumen!$C$4+30,"Caduca pronto","OK"))))))</f>
        <v/>
      </c>
      <c r="AI117" s="26" t="str">
        <f aca="false">IF(OR($A117="",AI$4=""),"",IF(NOT(OR(AI$6="Toda la plantilla",ISNUMBER(SEARCH(";"&amp;SUBSTITUTE($C117," ","")&amp;";",";"&amp;SUBSTITUTE(AI$7," ","")&amp;";")))),"—",IF(_xlfn.MAXIFS(Acuses!$C$5:$C$3004,Acuses!$A$5:$A$3004,$A117,Acuses!$B$5:$B$3004,AI$4)&lt;AI$5,"Pendiente",IF(AI$8=0,"OK",IF(EDATE(_xlfn.MAXIFS(Acuses!$D$5:$D$3004,Acuses!$A$5:$A$3004,$A117,Acuses!$B$5:$B$3004,AI$4,Acuses!$C$5:$C$3004,AI$5),AI$8)&lt;Resumen!$C$4,"Caducado",IF(EDATE(_xlfn.MAXIFS(Acuses!$D$5:$D$3004,Acuses!$A$5:$A$3004,$A117,Acuses!$B$5:$B$3004,AI$4,Acuses!$C$5:$C$3004,AI$5),AI$8)&lt;Resumen!$C$4+30,"Caduca pronto","OK"))))))</f>
        <v/>
      </c>
      <c r="AJ117" s="26" t="str">
        <f aca="false">IF(OR($A117="",AJ$4=""),"",IF(NOT(OR(AJ$6="Toda la plantilla",ISNUMBER(SEARCH(";"&amp;SUBSTITUTE($C117," ","")&amp;";",";"&amp;SUBSTITUTE(AJ$7," ","")&amp;";")))),"—",IF(_xlfn.MAXIFS(Acuses!$C$5:$C$3004,Acuses!$A$5:$A$3004,$A117,Acuses!$B$5:$B$3004,AJ$4)&lt;AJ$5,"Pendiente",IF(AJ$8=0,"OK",IF(EDATE(_xlfn.MAXIFS(Acuses!$D$5:$D$3004,Acuses!$A$5:$A$3004,$A117,Acuses!$B$5:$B$3004,AJ$4,Acuses!$C$5:$C$3004,AJ$5),AJ$8)&lt;Resumen!$C$4,"Caducado",IF(EDATE(_xlfn.MAXIFS(Acuses!$D$5:$D$3004,Acuses!$A$5:$A$3004,$A117,Acuses!$B$5:$B$3004,AJ$4,Acuses!$C$5:$C$3004,AJ$5),AJ$8)&lt;Resumen!$C$4+30,"Caduca pronto","OK"))))))</f>
        <v/>
      </c>
      <c r="AK117" s="26" t="str">
        <f aca="false">IF(OR($A117="",AK$4=""),"",IF(NOT(OR(AK$6="Toda la plantilla",ISNUMBER(SEARCH(";"&amp;SUBSTITUTE($C117," ","")&amp;";",";"&amp;SUBSTITUTE(AK$7," ","")&amp;";")))),"—",IF(_xlfn.MAXIFS(Acuses!$C$5:$C$3004,Acuses!$A$5:$A$3004,$A117,Acuses!$B$5:$B$3004,AK$4)&lt;AK$5,"Pendiente",IF(AK$8=0,"OK",IF(EDATE(_xlfn.MAXIFS(Acuses!$D$5:$D$3004,Acuses!$A$5:$A$3004,$A117,Acuses!$B$5:$B$3004,AK$4,Acuses!$C$5:$C$3004,AK$5),AK$8)&lt;Resumen!$C$4,"Caducado",IF(EDATE(_xlfn.MAXIFS(Acuses!$D$5:$D$3004,Acuses!$A$5:$A$3004,$A117,Acuses!$B$5:$B$3004,AK$4,Acuses!$C$5:$C$3004,AK$5),AK$8)&lt;Resumen!$C$4+30,"Caduca pronto","OK"))))))</f>
        <v/>
      </c>
      <c r="AL117" s="26" t="str">
        <f aca="false">IF(OR($A117="",AL$4=""),"",IF(NOT(OR(AL$6="Toda la plantilla",ISNUMBER(SEARCH(";"&amp;SUBSTITUTE($C117," ","")&amp;";",";"&amp;SUBSTITUTE(AL$7," ","")&amp;";")))),"—",IF(_xlfn.MAXIFS(Acuses!$C$5:$C$3004,Acuses!$A$5:$A$3004,$A117,Acuses!$B$5:$B$3004,AL$4)&lt;AL$5,"Pendiente",IF(AL$8=0,"OK",IF(EDATE(_xlfn.MAXIFS(Acuses!$D$5:$D$3004,Acuses!$A$5:$A$3004,$A117,Acuses!$B$5:$B$3004,AL$4,Acuses!$C$5:$C$3004,AL$5),AL$8)&lt;Resumen!$C$4,"Caducado",IF(EDATE(_xlfn.MAXIFS(Acuses!$D$5:$D$3004,Acuses!$A$5:$A$3004,$A117,Acuses!$B$5:$B$3004,AL$4,Acuses!$C$5:$C$3004,AL$5),AL$8)&lt;Resumen!$C$4+30,"Caduca pronto","OK"))))))</f>
        <v/>
      </c>
      <c r="AM117" s="26" t="str">
        <f aca="false">IF(OR($A117="",AM$4=""),"",IF(NOT(OR(AM$6="Toda la plantilla",ISNUMBER(SEARCH(";"&amp;SUBSTITUTE($C117," ","")&amp;";",";"&amp;SUBSTITUTE(AM$7," ","")&amp;";")))),"—",IF(_xlfn.MAXIFS(Acuses!$C$5:$C$3004,Acuses!$A$5:$A$3004,$A117,Acuses!$B$5:$B$3004,AM$4)&lt;AM$5,"Pendiente",IF(AM$8=0,"OK",IF(EDATE(_xlfn.MAXIFS(Acuses!$D$5:$D$3004,Acuses!$A$5:$A$3004,$A117,Acuses!$B$5:$B$3004,AM$4,Acuses!$C$5:$C$3004,AM$5),AM$8)&lt;Resumen!$C$4,"Caducado",IF(EDATE(_xlfn.MAXIFS(Acuses!$D$5:$D$3004,Acuses!$A$5:$A$3004,$A117,Acuses!$B$5:$B$3004,AM$4,Acuses!$C$5:$C$3004,AM$5),AM$8)&lt;Resumen!$C$4+30,"Caduca pronto","OK"))))))</f>
        <v/>
      </c>
      <c r="AN117" s="26" t="str">
        <f aca="false">IF(OR($A117="",AN$4=""),"",IF(NOT(OR(AN$6="Toda la plantilla",ISNUMBER(SEARCH(";"&amp;SUBSTITUTE($C117," ","")&amp;";",";"&amp;SUBSTITUTE(AN$7," ","")&amp;";")))),"—",IF(_xlfn.MAXIFS(Acuses!$C$5:$C$3004,Acuses!$A$5:$A$3004,$A117,Acuses!$B$5:$B$3004,AN$4)&lt;AN$5,"Pendiente",IF(AN$8=0,"OK",IF(EDATE(_xlfn.MAXIFS(Acuses!$D$5:$D$3004,Acuses!$A$5:$A$3004,$A117,Acuses!$B$5:$B$3004,AN$4,Acuses!$C$5:$C$3004,AN$5),AN$8)&lt;Resumen!$C$4,"Caducado",IF(EDATE(_xlfn.MAXIFS(Acuses!$D$5:$D$3004,Acuses!$A$5:$A$3004,$A117,Acuses!$B$5:$B$3004,AN$4,Acuses!$C$5:$C$3004,AN$5),AN$8)&lt;Resumen!$C$4+30,"Caduca pronto","OK"))))))</f>
        <v/>
      </c>
      <c r="AO117" s="26" t="str">
        <f aca="false">IF(OR($A117="",AO$4=""),"",IF(NOT(OR(AO$6="Toda la plantilla",ISNUMBER(SEARCH(";"&amp;SUBSTITUTE($C117," ","")&amp;";",";"&amp;SUBSTITUTE(AO$7," ","")&amp;";")))),"—",IF(_xlfn.MAXIFS(Acuses!$C$5:$C$3004,Acuses!$A$5:$A$3004,$A117,Acuses!$B$5:$B$3004,AO$4)&lt;AO$5,"Pendiente",IF(AO$8=0,"OK",IF(EDATE(_xlfn.MAXIFS(Acuses!$D$5:$D$3004,Acuses!$A$5:$A$3004,$A117,Acuses!$B$5:$B$3004,AO$4,Acuses!$C$5:$C$3004,AO$5),AO$8)&lt;Resumen!$C$4,"Caducado",IF(EDATE(_xlfn.MAXIFS(Acuses!$D$5:$D$3004,Acuses!$A$5:$A$3004,$A117,Acuses!$B$5:$B$3004,AO$4,Acuses!$C$5:$C$3004,AO$5),AO$8)&lt;Resumen!$C$4+30,"Caduca pronto","OK"))))))</f>
        <v/>
      </c>
      <c r="AP117" s="26" t="str">
        <f aca="false">IF(OR($A117="",AP$4=""),"",IF(NOT(OR(AP$6="Toda la plantilla",ISNUMBER(SEARCH(";"&amp;SUBSTITUTE($C117," ","")&amp;";",";"&amp;SUBSTITUTE(AP$7," ","")&amp;";")))),"—",IF(_xlfn.MAXIFS(Acuses!$C$5:$C$3004,Acuses!$A$5:$A$3004,$A117,Acuses!$B$5:$B$3004,AP$4)&lt;AP$5,"Pendiente",IF(AP$8=0,"OK",IF(EDATE(_xlfn.MAXIFS(Acuses!$D$5:$D$3004,Acuses!$A$5:$A$3004,$A117,Acuses!$B$5:$B$3004,AP$4,Acuses!$C$5:$C$3004,AP$5),AP$8)&lt;Resumen!$C$4,"Caducado",IF(EDATE(_xlfn.MAXIFS(Acuses!$D$5:$D$3004,Acuses!$A$5:$A$3004,$A117,Acuses!$B$5:$B$3004,AP$4,Acuses!$C$5:$C$3004,AP$5),AP$8)&lt;Resumen!$C$4+30,"Caduca pronto","OK"))))))</f>
        <v/>
      </c>
      <c r="AQ117" s="26" t="str">
        <f aca="false">IF(OR($A117="",AQ$4=""),"",IF(NOT(OR(AQ$6="Toda la plantilla",ISNUMBER(SEARCH(";"&amp;SUBSTITUTE($C117," ","")&amp;";",";"&amp;SUBSTITUTE(AQ$7," ","")&amp;";")))),"—",IF(_xlfn.MAXIFS(Acuses!$C$5:$C$3004,Acuses!$A$5:$A$3004,$A117,Acuses!$B$5:$B$3004,AQ$4)&lt;AQ$5,"Pendiente",IF(AQ$8=0,"OK",IF(EDATE(_xlfn.MAXIFS(Acuses!$D$5:$D$3004,Acuses!$A$5:$A$3004,$A117,Acuses!$B$5:$B$3004,AQ$4,Acuses!$C$5:$C$3004,AQ$5),AQ$8)&lt;Resumen!$C$4,"Caducado",IF(EDATE(_xlfn.MAXIFS(Acuses!$D$5:$D$3004,Acuses!$A$5:$A$3004,$A117,Acuses!$B$5:$B$3004,AQ$4,Acuses!$C$5:$C$3004,AQ$5),AQ$8)&lt;Resumen!$C$4+30,"Caduca pronto","OK"))))))</f>
        <v/>
      </c>
    </row>
    <row r="118" customFormat="false" ht="15" hidden="false" customHeight="false" outlineLevel="0" collapsed="false">
      <c r="A118" s="25" t="str">
        <f aca="false">IF(AND(Trabajadores!$A$113&lt;&gt;"",Trabajadores!$G$113&lt;&gt;"No"),Trabajadores!$A$113,"")</f>
        <v/>
      </c>
      <c r="B118" s="25" t="str">
        <f aca="false">IF($A118="","",Trabajadores!$B$113)</f>
        <v/>
      </c>
      <c r="C118" s="25" t="str">
        <f aca="false">IF($A118="","",Trabajadores!$C$113)</f>
        <v/>
      </c>
      <c r="D118" s="26" t="str">
        <f aca="false">IF(OR($A118="",D$4=""),"",IF(NOT(OR(D$6="Toda la plantilla",ISNUMBER(SEARCH(";"&amp;SUBSTITUTE($C118," ","")&amp;";",";"&amp;SUBSTITUTE(D$7," ","")&amp;";")))),"—",IF(_xlfn.MAXIFS(Acuses!$C$5:$C$3004,Acuses!$A$5:$A$3004,$A118,Acuses!$B$5:$B$3004,D$4)&lt;D$5,"Pendiente",IF(D$8=0,"OK",IF(EDATE(_xlfn.MAXIFS(Acuses!$D$5:$D$3004,Acuses!$A$5:$A$3004,$A118,Acuses!$B$5:$B$3004,D$4,Acuses!$C$5:$C$3004,D$5),D$8)&lt;Resumen!$C$4,"Caducado",IF(EDATE(_xlfn.MAXIFS(Acuses!$D$5:$D$3004,Acuses!$A$5:$A$3004,$A118,Acuses!$B$5:$B$3004,D$4,Acuses!$C$5:$C$3004,D$5),D$8)&lt;Resumen!$C$4+30,"Caduca pronto","OK"))))))</f>
        <v/>
      </c>
      <c r="E118" s="26" t="str">
        <f aca="false">IF(OR($A118="",E$4=""),"",IF(NOT(OR(E$6="Toda la plantilla",ISNUMBER(SEARCH(";"&amp;SUBSTITUTE($C118," ","")&amp;";",";"&amp;SUBSTITUTE(E$7," ","")&amp;";")))),"—",IF(_xlfn.MAXIFS(Acuses!$C$5:$C$3004,Acuses!$A$5:$A$3004,$A118,Acuses!$B$5:$B$3004,E$4)&lt;E$5,"Pendiente",IF(E$8=0,"OK",IF(EDATE(_xlfn.MAXIFS(Acuses!$D$5:$D$3004,Acuses!$A$5:$A$3004,$A118,Acuses!$B$5:$B$3004,E$4,Acuses!$C$5:$C$3004,E$5),E$8)&lt;Resumen!$C$4,"Caducado",IF(EDATE(_xlfn.MAXIFS(Acuses!$D$5:$D$3004,Acuses!$A$5:$A$3004,$A118,Acuses!$B$5:$B$3004,E$4,Acuses!$C$5:$C$3004,E$5),E$8)&lt;Resumen!$C$4+30,"Caduca pronto","OK"))))))</f>
        <v/>
      </c>
      <c r="F118" s="26" t="str">
        <f aca="false">IF(OR($A118="",F$4=""),"",IF(NOT(OR(F$6="Toda la plantilla",ISNUMBER(SEARCH(";"&amp;SUBSTITUTE($C118," ","")&amp;";",";"&amp;SUBSTITUTE(F$7," ","")&amp;";")))),"—",IF(_xlfn.MAXIFS(Acuses!$C$5:$C$3004,Acuses!$A$5:$A$3004,$A118,Acuses!$B$5:$B$3004,F$4)&lt;F$5,"Pendiente",IF(F$8=0,"OK",IF(EDATE(_xlfn.MAXIFS(Acuses!$D$5:$D$3004,Acuses!$A$5:$A$3004,$A118,Acuses!$B$5:$B$3004,F$4,Acuses!$C$5:$C$3004,F$5),F$8)&lt;Resumen!$C$4,"Caducado",IF(EDATE(_xlfn.MAXIFS(Acuses!$D$5:$D$3004,Acuses!$A$5:$A$3004,$A118,Acuses!$B$5:$B$3004,F$4,Acuses!$C$5:$C$3004,F$5),F$8)&lt;Resumen!$C$4+30,"Caduca pronto","OK"))))))</f>
        <v/>
      </c>
      <c r="G118" s="26" t="str">
        <f aca="false">IF(OR($A118="",G$4=""),"",IF(NOT(OR(G$6="Toda la plantilla",ISNUMBER(SEARCH(";"&amp;SUBSTITUTE($C118," ","")&amp;";",";"&amp;SUBSTITUTE(G$7," ","")&amp;";")))),"—",IF(_xlfn.MAXIFS(Acuses!$C$5:$C$3004,Acuses!$A$5:$A$3004,$A118,Acuses!$B$5:$B$3004,G$4)&lt;G$5,"Pendiente",IF(G$8=0,"OK",IF(EDATE(_xlfn.MAXIFS(Acuses!$D$5:$D$3004,Acuses!$A$5:$A$3004,$A118,Acuses!$B$5:$B$3004,G$4,Acuses!$C$5:$C$3004,G$5),G$8)&lt;Resumen!$C$4,"Caducado",IF(EDATE(_xlfn.MAXIFS(Acuses!$D$5:$D$3004,Acuses!$A$5:$A$3004,$A118,Acuses!$B$5:$B$3004,G$4,Acuses!$C$5:$C$3004,G$5),G$8)&lt;Resumen!$C$4+30,"Caduca pronto","OK"))))))</f>
        <v/>
      </c>
      <c r="H118" s="26" t="str">
        <f aca="false">IF(OR($A118="",H$4=""),"",IF(NOT(OR(H$6="Toda la plantilla",ISNUMBER(SEARCH(";"&amp;SUBSTITUTE($C118," ","")&amp;";",";"&amp;SUBSTITUTE(H$7," ","")&amp;";")))),"—",IF(_xlfn.MAXIFS(Acuses!$C$5:$C$3004,Acuses!$A$5:$A$3004,$A118,Acuses!$B$5:$B$3004,H$4)&lt;H$5,"Pendiente",IF(H$8=0,"OK",IF(EDATE(_xlfn.MAXIFS(Acuses!$D$5:$D$3004,Acuses!$A$5:$A$3004,$A118,Acuses!$B$5:$B$3004,H$4,Acuses!$C$5:$C$3004,H$5),H$8)&lt;Resumen!$C$4,"Caducado",IF(EDATE(_xlfn.MAXIFS(Acuses!$D$5:$D$3004,Acuses!$A$5:$A$3004,$A118,Acuses!$B$5:$B$3004,H$4,Acuses!$C$5:$C$3004,H$5),H$8)&lt;Resumen!$C$4+30,"Caduca pronto","OK"))))))</f>
        <v/>
      </c>
      <c r="I118" s="26" t="str">
        <f aca="false">IF(OR($A118="",I$4=""),"",IF(NOT(OR(I$6="Toda la plantilla",ISNUMBER(SEARCH(";"&amp;SUBSTITUTE($C118," ","")&amp;";",";"&amp;SUBSTITUTE(I$7," ","")&amp;";")))),"—",IF(_xlfn.MAXIFS(Acuses!$C$5:$C$3004,Acuses!$A$5:$A$3004,$A118,Acuses!$B$5:$B$3004,I$4)&lt;I$5,"Pendiente",IF(I$8=0,"OK",IF(EDATE(_xlfn.MAXIFS(Acuses!$D$5:$D$3004,Acuses!$A$5:$A$3004,$A118,Acuses!$B$5:$B$3004,I$4,Acuses!$C$5:$C$3004,I$5),I$8)&lt;Resumen!$C$4,"Caducado",IF(EDATE(_xlfn.MAXIFS(Acuses!$D$5:$D$3004,Acuses!$A$5:$A$3004,$A118,Acuses!$B$5:$B$3004,I$4,Acuses!$C$5:$C$3004,I$5),I$8)&lt;Resumen!$C$4+30,"Caduca pronto","OK"))))))</f>
        <v/>
      </c>
      <c r="J118" s="26" t="str">
        <f aca="false">IF(OR($A118="",J$4=""),"",IF(NOT(OR(J$6="Toda la plantilla",ISNUMBER(SEARCH(";"&amp;SUBSTITUTE($C118," ","")&amp;";",";"&amp;SUBSTITUTE(J$7," ","")&amp;";")))),"—",IF(_xlfn.MAXIFS(Acuses!$C$5:$C$3004,Acuses!$A$5:$A$3004,$A118,Acuses!$B$5:$B$3004,J$4)&lt;J$5,"Pendiente",IF(J$8=0,"OK",IF(EDATE(_xlfn.MAXIFS(Acuses!$D$5:$D$3004,Acuses!$A$5:$A$3004,$A118,Acuses!$B$5:$B$3004,J$4,Acuses!$C$5:$C$3004,J$5),J$8)&lt;Resumen!$C$4,"Caducado",IF(EDATE(_xlfn.MAXIFS(Acuses!$D$5:$D$3004,Acuses!$A$5:$A$3004,$A118,Acuses!$B$5:$B$3004,J$4,Acuses!$C$5:$C$3004,J$5),J$8)&lt;Resumen!$C$4+30,"Caduca pronto","OK"))))))</f>
        <v/>
      </c>
      <c r="K118" s="26" t="str">
        <f aca="false">IF(OR($A118="",K$4=""),"",IF(NOT(OR(K$6="Toda la plantilla",ISNUMBER(SEARCH(";"&amp;SUBSTITUTE($C118," ","")&amp;";",";"&amp;SUBSTITUTE(K$7," ","")&amp;";")))),"—",IF(_xlfn.MAXIFS(Acuses!$C$5:$C$3004,Acuses!$A$5:$A$3004,$A118,Acuses!$B$5:$B$3004,K$4)&lt;K$5,"Pendiente",IF(K$8=0,"OK",IF(EDATE(_xlfn.MAXIFS(Acuses!$D$5:$D$3004,Acuses!$A$5:$A$3004,$A118,Acuses!$B$5:$B$3004,K$4,Acuses!$C$5:$C$3004,K$5),K$8)&lt;Resumen!$C$4,"Caducado",IF(EDATE(_xlfn.MAXIFS(Acuses!$D$5:$D$3004,Acuses!$A$5:$A$3004,$A118,Acuses!$B$5:$B$3004,K$4,Acuses!$C$5:$C$3004,K$5),K$8)&lt;Resumen!$C$4+30,"Caduca pronto","OK"))))))</f>
        <v/>
      </c>
      <c r="L118" s="26" t="str">
        <f aca="false">IF(OR($A118="",L$4=""),"",IF(NOT(OR(L$6="Toda la plantilla",ISNUMBER(SEARCH(";"&amp;SUBSTITUTE($C118," ","")&amp;";",";"&amp;SUBSTITUTE(L$7," ","")&amp;";")))),"—",IF(_xlfn.MAXIFS(Acuses!$C$5:$C$3004,Acuses!$A$5:$A$3004,$A118,Acuses!$B$5:$B$3004,L$4)&lt;L$5,"Pendiente",IF(L$8=0,"OK",IF(EDATE(_xlfn.MAXIFS(Acuses!$D$5:$D$3004,Acuses!$A$5:$A$3004,$A118,Acuses!$B$5:$B$3004,L$4,Acuses!$C$5:$C$3004,L$5),L$8)&lt;Resumen!$C$4,"Caducado",IF(EDATE(_xlfn.MAXIFS(Acuses!$D$5:$D$3004,Acuses!$A$5:$A$3004,$A118,Acuses!$B$5:$B$3004,L$4,Acuses!$C$5:$C$3004,L$5),L$8)&lt;Resumen!$C$4+30,"Caduca pronto","OK"))))))</f>
        <v/>
      </c>
      <c r="M118" s="26" t="str">
        <f aca="false">IF(OR($A118="",M$4=""),"",IF(NOT(OR(M$6="Toda la plantilla",ISNUMBER(SEARCH(";"&amp;SUBSTITUTE($C118," ","")&amp;";",";"&amp;SUBSTITUTE(M$7," ","")&amp;";")))),"—",IF(_xlfn.MAXIFS(Acuses!$C$5:$C$3004,Acuses!$A$5:$A$3004,$A118,Acuses!$B$5:$B$3004,M$4)&lt;M$5,"Pendiente",IF(M$8=0,"OK",IF(EDATE(_xlfn.MAXIFS(Acuses!$D$5:$D$3004,Acuses!$A$5:$A$3004,$A118,Acuses!$B$5:$B$3004,M$4,Acuses!$C$5:$C$3004,M$5),M$8)&lt;Resumen!$C$4,"Caducado",IF(EDATE(_xlfn.MAXIFS(Acuses!$D$5:$D$3004,Acuses!$A$5:$A$3004,$A118,Acuses!$B$5:$B$3004,M$4,Acuses!$C$5:$C$3004,M$5),M$8)&lt;Resumen!$C$4+30,"Caduca pronto","OK"))))))</f>
        <v/>
      </c>
      <c r="N118" s="26" t="str">
        <f aca="false">IF(OR($A118="",N$4=""),"",IF(NOT(OR(N$6="Toda la plantilla",ISNUMBER(SEARCH(";"&amp;SUBSTITUTE($C118," ","")&amp;";",";"&amp;SUBSTITUTE(N$7," ","")&amp;";")))),"—",IF(_xlfn.MAXIFS(Acuses!$C$5:$C$3004,Acuses!$A$5:$A$3004,$A118,Acuses!$B$5:$B$3004,N$4)&lt;N$5,"Pendiente",IF(N$8=0,"OK",IF(EDATE(_xlfn.MAXIFS(Acuses!$D$5:$D$3004,Acuses!$A$5:$A$3004,$A118,Acuses!$B$5:$B$3004,N$4,Acuses!$C$5:$C$3004,N$5),N$8)&lt;Resumen!$C$4,"Caducado",IF(EDATE(_xlfn.MAXIFS(Acuses!$D$5:$D$3004,Acuses!$A$5:$A$3004,$A118,Acuses!$B$5:$B$3004,N$4,Acuses!$C$5:$C$3004,N$5),N$8)&lt;Resumen!$C$4+30,"Caduca pronto","OK"))))))</f>
        <v/>
      </c>
      <c r="O118" s="26" t="str">
        <f aca="false">IF(OR($A118="",O$4=""),"",IF(NOT(OR(O$6="Toda la plantilla",ISNUMBER(SEARCH(";"&amp;SUBSTITUTE($C118," ","")&amp;";",";"&amp;SUBSTITUTE(O$7," ","")&amp;";")))),"—",IF(_xlfn.MAXIFS(Acuses!$C$5:$C$3004,Acuses!$A$5:$A$3004,$A118,Acuses!$B$5:$B$3004,O$4)&lt;O$5,"Pendiente",IF(O$8=0,"OK",IF(EDATE(_xlfn.MAXIFS(Acuses!$D$5:$D$3004,Acuses!$A$5:$A$3004,$A118,Acuses!$B$5:$B$3004,O$4,Acuses!$C$5:$C$3004,O$5),O$8)&lt;Resumen!$C$4,"Caducado",IF(EDATE(_xlfn.MAXIFS(Acuses!$D$5:$D$3004,Acuses!$A$5:$A$3004,$A118,Acuses!$B$5:$B$3004,O$4,Acuses!$C$5:$C$3004,O$5),O$8)&lt;Resumen!$C$4+30,"Caduca pronto","OK"))))))</f>
        <v/>
      </c>
      <c r="P118" s="26" t="str">
        <f aca="false">IF(OR($A118="",P$4=""),"",IF(NOT(OR(P$6="Toda la plantilla",ISNUMBER(SEARCH(";"&amp;SUBSTITUTE($C118," ","")&amp;";",";"&amp;SUBSTITUTE(P$7," ","")&amp;";")))),"—",IF(_xlfn.MAXIFS(Acuses!$C$5:$C$3004,Acuses!$A$5:$A$3004,$A118,Acuses!$B$5:$B$3004,P$4)&lt;P$5,"Pendiente",IF(P$8=0,"OK",IF(EDATE(_xlfn.MAXIFS(Acuses!$D$5:$D$3004,Acuses!$A$5:$A$3004,$A118,Acuses!$B$5:$B$3004,P$4,Acuses!$C$5:$C$3004,P$5),P$8)&lt;Resumen!$C$4,"Caducado",IF(EDATE(_xlfn.MAXIFS(Acuses!$D$5:$D$3004,Acuses!$A$5:$A$3004,$A118,Acuses!$B$5:$B$3004,P$4,Acuses!$C$5:$C$3004,P$5),P$8)&lt;Resumen!$C$4+30,"Caduca pronto","OK"))))))</f>
        <v/>
      </c>
      <c r="Q118" s="26" t="str">
        <f aca="false">IF(OR($A118="",Q$4=""),"",IF(NOT(OR(Q$6="Toda la plantilla",ISNUMBER(SEARCH(";"&amp;SUBSTITUTE($C118," ","")&amp;";",";"&amp;SUBSTITUTE(Q$7," ","")&amp;";")))),"—",IF(_xlfn.MAXIFS(Acuses!$C$5:$C$3004,Acuses!$A$5:$A$3004,$A118,Acuses!$B$5:$B$3004,Q$4)&lt;Q$5,"Pendiente",IF(Q$8=0,"OK",IF(EDATE(_xlfn.MAXIFS(Acuses!$D$5:$D$3004,Acuses!$A$5:$A$3004,$A118,Acuses!$B$5:$B$3004,Q$4,Acuses!$C$5:$C$3004,Q$5),Q$8)&lt;Resumen!$C$4,"Caducado",IF(EDATE(_xlfn.MAXIFS(Acuses!$D$5:$D$3004,Acuses!$A$5:$A$3004,$A118,Acuses!$B$5:$B$3004,Q$4,Acuses!$C$5:$C$3004,Q$5),Q$8)&lt;Resumen!$C$4+30,"Caduca pronto","OK"))))))</f>
        <v/>
      </c>
      <c r="R118" s="26" t="str">
        <f aca="false">IF(OR($A118="",R$4=""),"",IF(NOT(OR(R$6="Toda la plantilla",ISNUMBER(SEARCH(";"&amp;SUBSTITUTE($C118," ","")&amp;";",";"&amp;SUBSTITUTE(R$7," ","")&amp;";")))),"—",IF(_xlfn.MAXIFS(Acuses!$C$5:$C$3004,Acuses!$A$5:$A$3004,$A118,Acuses!$B$5:$B$3004,R$4)&lt;R$5,"Pendiente",IF(R$8=0,"OK",IF(EDATE(_xlfn.MAXIFS(Acuses!$D$5:$D$3004,Acuses!$A$5:$A$3004,$A118,Acuses!$B$5:$B$3004,R$4,Acuses!$C$5:$C$3004,R$5),R$8)&lt;Resumen!$C$4,"Caducado",IF(EDATE(_xlfn.MAXIFS(Acuses!$D$5:$D$3004,Acuses!$A$5:$A$3004,$A118,Acuses!$B$5:$B$3004,R$4,Acuses!$C$5:$C$3004,R$5),R$8)&lt;Resumen!$C$4+30,"Caduca pronto","OK"))))))</f>
        <v/>
      </c>
      <c r="S118" s="26" t="str">
        <f aca="false">IF(OR($A118="",S$4=""),"",IF(NOT(OR(S$6="Toda la plantilla",ISNUMBER(SEARCH(";"&amp;SUBSTITUTE($C118," ","")&amp;";",";"&amp;SUBSTITUTE(S$7," ","")&amp;";")))),"—",IF(_xlfn.MAXIFS(Acuses!$C$5:$C$3004,Acuses!$A$5:$A$3004,$A118,Acuses!$B$5:$B$3004,S$4)&lt;S$5,"Pendiente",IF(S$8=0,"OK",IF(EDATE(_xlfn.MAXIFS(Acuses!$D$5:$D$3004,Acuses!$A$5:$A$3004,$A118,Acuses!$B$5:$B$3004,S$4,Acuses!$C$5:$C$3004,S$5),S$8)&lt;Resumen!$C$4,"Caducado",IF(EDATE(_xlfn.MAXIFS(Acuses!$D$5:$D$3004,Acuses!$A$5:$A$3004,$A118,Acuses!$B$5:$B$3004,S$4,Acuses!$C$5:$C$3004,S$5),S$8)&lt;Resumen!$C$4+30,"Caduca pronto","OK"))))))</f>
        <v/>
      </c>
      <c r="T118" s="26" t="str">
        <f aca="false">IF(OR($A118="",T$4=""),"",IF(NOT(OR(T$6="Toda la plantilla",ISNUMBER(SEARCH(";"&amp;SUBSTITUTE($C118," ","")&amp;";",";"&amp;SUBSTITUTE(T$7," ","")&amp;";")))),"—",IF(_xlfn.MAXIFS(Acuses!$C$5:$C$3004,Acuses!$A$5:$A$3004,$A118,Acuses!$B$5:$B$3004,T$4)&lt;T$5,"Pendiente",IF(T$8=0,"OK",IF(EDATE(_xlfn.MAXIFS(Acuses!$D$5:$D$3004,Acuses!$A$5:$A$3004,$A118,Acuses!$B$5:$B$3004,T$4,Acuses!$C$5:$C$3004,T$5),T$8)&lt;Resumen!$C$4,"Caducado",IF(EDATE(_xlfn.MAXIFS(Acuses!$D$5:$D$3004,Acuses!$A$5:$A$3004,$A118,Acuses!$B$5:$B$3004,T$4,Acuses!$C$5:$C$3004,T$5),T$8)&lt;Resumen!$C$4+30,"Caduca pronto","OK"))))))</f>
        <v/>
      </c>
      <c r="U118" s="26" t="str">
        <f aca="false">IF(OR($A118="",U$4=""),"",IF(NOT(OR(U$6="Toda la plantilla",ISNUMBER(SEARCH(";"&amp;SUBSTITUTE($C118," ","")&amp;";",";"&amp;SUBSTITUTE(U$7," ","")&amp;";")))),"—",IF(_xlfn.MAXIFS(Acuses!$C$5:$C$3004,Acuses!$A$5:$A$3004,$A118,Acuses!$B$5:$B$3004,U$4)&lt;U$5,"Pendiente",IF(U$8=0,"OK",IF(EDATE(_xlfn.MAXIFS(Acuses!$D$5:$D$3004,Acuses!$A$5:$A$3004,$A118,Acuses!$B$5:$B$3004,U$4,Acuses!$C$5:$C$3004,U$5),U$8)&lt;Resumen!$C$4,"Caducado",IF(EDATE(_xlfn.MAXIFS(Acuses!$D$5:$D$3004,Acuses!$A$5:$A$3004,$A118,Acuses!$B$5:$B$3004,U$4,Acuses!$C$5:$C$3004,U$5),U$8)&lt;Resumen!$C$4+30,"Caduca pronto","OK"))))))</f>
        <v/>
      </c>
      <c r="V118" s="26" t="str">
        <f aca="false">IF(OR($A118="",V$4=""),"",IF(NOT(OR(V$6="Toda la plantilla",ISNUMBER(SEARCH(";"&amp;SUBSTITUTE($C118," ","")&amp;";",";"&amp;SUBSTITUTE(V$7," ","")&amp;";")))),"—",IF(_xlfn.MAXIFS(Acuses!$C$5:$C$3004,Acuses!$A$5:$A$3004,$A118,Acuses!$B$5:$B$3004,V$4)&lt;V$5,"Pendiente",IF(V$8=0,"OK",IF(EDATE(_xlfn.MAXIFS(Acuses!$D$5:$D$3004,Acuses!$A$5:$A$3004,$A118,Acuses!$B$5:$B$3004,V$4,Acuses!$C$5:$C$3004,V$5),V$8)&lt;Resumen!$C$4,"Caducado",IF(EDATE(_xlfn.MAXIFS(Acuses!$D$5:$D$3004,Acuses!$A$5:$A$3004,$A118,Acuses!$B$5:$B$3004,V$4,Acuses!$C$5:$C$3004,V$5),V$8)&lt;Resumen!$C$4+30,"Caduca pronto","OK"))))))</f>
        <v/>
      </c>
      <c r="W118" s="26" t="str">
        <f aca="false">IF(OR($A118="",W$4=""),"",IF(NOT(OR(W$6="Toda la plantilla",ISNUMBER(SEARCH(";"&amp;SUBSTITUTE($C118," ","")&amp;";",";"&amp;SUBSTITUTE(W$7," ","")&amp;";")))),"—",IF(_xlfn.MAXIFS(Acuses!$C$5:$C$3004,Acuses!$A$5:$A$3004,$A118,Acuses!$B$5:$B$3004,W$4)&lt;W$5,"Pendiente",IF(W$8=0,"OK",IF(EDATE(_xlfn.MAXIFS(Acuses!$D$5:$D$3004,Acuses!$A$5:$A$3004,$A118,Acuses!$B$5:$B$3004,W$4,Acuses!$C$5:$C$3004,W$5),W$8)&lt;Resumen!$C$4,"Caducado",IF(EDATE(_xlfn.MAXIFS(Acuses!$D$5:$D$3004,Acuses!$A$5:$A$3004,$A118,Acuses!$B$5:$B$3004,W$4,Acuses!$C$5:$C$3004,W$5),W$8)&lt;Resumen!$C$4+30,"Caduca pronto","OK"))))))</f>
        <v/>
      </c>
      <c r="X118" s="26" t="str">
        <f aca="false">IF(OR($A118="",X$4=""),"",IF(NOT(OR(X$6="Toda la plantilla",ISNUMBER(SEARCH(";"&amp;SUBSTITUTE($C118," ","")&amp;";",";"&amp;SUBSTITUTE(X$7," ","")&amp;";")))),"—",IF(_xlfn.MAXIFS(Acuses!$C$5:$C$3004,Acuses!$A$5:$A$3004,$A118,Acuses!$B$5:$B$3004,X$4)&lt;X$5,"Pendiente",IF(X$8=0,"OK",IF(EDATE(_xlfn.MAXIFS(Acuses!$D$5:$D$3004,Acuses!$A$5:$A$3004,$A118,Acuses!$B$5:$B$3004,X$4,Acuses!$C$5:$C$3004,X$5),X$8)&lt;Resumen!$C$4,"Caducado",IF(EDATE(_xlfn.MAXIFS(Acuses!$D$5:$D$3004,Acuses!$A$5:$A$3004,$A118,Acuses!$B$5:$B$3004,X$4,Acuses!$C$5:$C$3004,X$5),X$8)&lt;Resumen!$C$4+30,"Caduca pronto","OK"))))))</f>
        <v/>
      </c>
      <c r="Y118" s="26" t="str">
        <f aca="false">IF(OR($A118="",Y$4=""),"",IF(NOT(OR(Y$6="Toda la plantilla",ISNUMBER(SEARCH(";"&amp;SUBSTITUTE($C118," ","")&amp;";",";"&amp;SUBSTITUTE(Y$7," ","")&amp;";")))),"—",IF(_xlfn.MAXIFS(Acuses!$C$5:$C$3004,Acuses!$A$5:$A$3004,$A118,Acuses!$B$5:$B$3004,Y$4)&lt;Y$5,"Pendiente",IF(Y$8=0,"OK",IF(EDATE(_xlfn.MAXIFS(Acuses!$D$5:$D$3004,Acuses!$A$5:$A$3004,$A118,Acuses!$B$5:$B$3004,Y$4,Acuses!$C$5:$C$3004,Y$5),Y$8)&lt;Resumen!$C$4,"Caducado",IF(EDATE(_xlfn.MAXIFS(Acuses!$D$5:$D$3004,Acuses!$A$5:$A$3004,$A118,Acuses!$B$5:$B$3004,Y$4,Acuses!$C$5:$C$3004,Y$5),Y$8)&lt;Resumen!$C$4+30,"Caduca pronto","OK"))))))</f>
        <v/>
      </c>
      <c r="Z118" s="26" t="str">
        <f aca="false">IF(OR($A118="",Z$4=""),"",IF(NOT(OR(Z$6="Toda la plantilla",ISNUMBER(SEARCH(";"&amp;SUBSTITUTE($C118," ","")&amp;";",";"&amp;SUBSTITUTE(Z$7," ","")&amp;";")))),"—",IF(_xlfn.MAXIFS(Acuses!$C$5:$C$3004,Acuses!$A$5:$A$3004,$A118,Acuses!$B$5:$B$3004,Z$4)&lt;Z$5,"Pendiente",IF(Z$8=0,"OK",IF(EDATE(_xlfn.MAXIFS(Acuses!$D$5:$D$3004,Acuses!$A$5:$A$3004,$A118,Acuses!$B$5:$B$3004,Z$4,Acuses!$C$5:$C$3004,Z$5),Z$8)&lt;Resumen!$C$4,"Caducado",IF(EDATE(_xlfn.MAXIFS(Acuses!$D$5:$D$3004,Acuses!$A$5:$A$3004,$A118,Acuses!$B$5:$B$3004,Z$4,Acuses!$C$5:$C$3004,Z$5),Z$8)&lt;Resumen!$C$4+30,"Caduca pronto","OK"))))))</f>
        <v/>
      </c>
      <c r="AA118" s="26" t="str">
        <f aca="false">IF(OR($A118="",AA$4=""),"",IF(NOT(OR(AA$6="Toda la plantilla",ISNUMBER(SEARCH(";"&amp;SUBSTITUTE($C118," ","")&amp;";",";"&amp;SUBSTITUTE(AA$7," ","")&amp;";")))),"—",IF(_xlfn.MAXIFS(Acuses!$C$5:$C$3004,Acuses!$A$5:$A$3004,$A118,Acuses!$B$5:$B$3004,AA$4)&lt;AA$5,"Pendiente",IF(AA$8=0,"OK",IF(EDATE(_xlfn.MAXIFS(Acuses!$D$5:$D$3004,Acuses!$A$5:$A$3004,$A118,Acuses!$B$5:$B$3004,AA$4,Acuses!$C$5:$C$3004,AA$5),AA$8)&lt;Resumen!$C$4,"Caducado",IF(EDATE(_xlfn.MAXIFS(Acuses!$D$5:$D$3004,Acuses!$A$5:$A$3004,$A118,Acuses!$B$5:$B$3004,AA$4,Acuses!$C$5:$C$3004,AA$5),AA$8)&lt;Resumen!$C$4+30,"Caduca pronto","OK"))))))</f>
        <v/>
      </c>
      <c r="AB118" s="26" t="str">
        <f aca="false">IF(OR($A118="",AB$4=""),"",IF(NOT(OR(AB$6="Toda la plantilla",ISNUMBER(SEARCH(";"&amp;SUBSTITUTE($C118," ","")&amp;";",";"&amp;SUBSTITUTE(AB$7," ","")&amp;";")))),"—",IF(_xlfn.MAXIFS(Acuses!$C$5:$C$3004,Acuses!$A$5:$A$3004,$A118,Acuses!$B$5:$B$3004,AB$4)&lt;AB$5,"Pendiente",IF(AB$8=0,"OK",IF(EDATE(_xlfn.MAXIFS(Acuses!$D$5:$D$3004,Acuses!$A$5:$A$3004,$A118,Acuses!$B$5:$B$3004,AB$4,Acuses!$C$5:$C$3004,AB$5),AB$8)&lt;Resumen!$C$4,"Caducado",IF(EDATE(_xlfn.MAXIFS(Acuses!$D$5:$D$3004,Acuses!$A$5:$A$3004,$A118,Acuses!$B$5:$B$3004,AB$4,Acuses!$C$5:$C$3004,AB$5),AB$8)&lt;Resumen!$C$4+30,"Caduca pronto","OK"))))))</f>
        <v/>
      </c>
      <c r="AC118" s="26" t="str">
        <f aca="false">IF(OR($A118="",AC$4=""),"",IF(NOT(OR(AC$6="Toda la plantilla",ISNUMBER(SEARCH(";"&amp;SUBSTITUTE($C118," ","")&amp;";",";"&amp;SUBSTITUTE(AC$7," ","")&amp;";")))),"—",IF(_xlfn.MAXIFS(Acuses!$C$5:$C$3004,Acuses!$A$5:$A$3004,$A118,Acuses!$B$5:$B$3004,AC$4)&lt;AC$5,"Pendiente",IF(AC$8=0,"OK",IF(EDATE(_xlfn.MAXIFS(Acuses!$D$5:$D$3004,Acuses!$A$5:$A$3004,$A118,Acuses!$B$5:$B$3004,AC$4,Acuses!$C$5:$C$3004,AC$5),AC$8)&lt;Resumen!$C$4,"Caducado",IF(EDATE(_xlfn.MAXIFS(Acuses!$D$5:$D$3004,Acuses!$A$5:$A$3004,$A118,Acuses!$B$5:$B$3004,AC$4,Acuses!$C$5:$C$3004,AC$5),AC$8)&lt;Resumen!$C$4+30,"Caduca pronto","OK"))))))</f>
        <v/>
      </c>
      <c r="AD118" s="26" t="str">
        <f aca="false">IF(OR($A118="",AD$4=""),"",IF(NOT(OR(AD$6="Toda la plantilla",ISNUMBER(SEARCH(";"&amp;SUBSTITUTE($C118," ","")&amp;";",";"&amp;SUBSTITUTE(AD$7," ","")&amp;";")))),"—",IF(_xlfn.MAXIFS(Acuses!$C$5:$C$3004,Acuses!$A$5:$A$3004,$A118,Acuses!$B$5:$B$3004,AD$4)&lt;AD$5,"Pendiente",IF(AD$8=0,"OK",IF(EDATE(_xlfn.MAXIFS(Acuses!$D$5:$D$3004,Acuses!$A$5:$A$3004,$A118,Acuses!$B$5:$B$3004,AD$4,Acuses!$C$5:$C$3004,AD$5),AD$8)&lt;Resumen!$C$4,"Caducado",IF(EDATE(_xlfn.MAXIFS(Acuses!$D$5:$D$3004,Acuses!$A$5:$A$3004,$A118,Acuses!$B$5:$B$3004,AD$4,Acuses!$C$5:$C$3004,AD$5),AD$8)&lt;Resumen!$C$4+30,"Caduca pronto","OK"))))))</f>
        <v/>
      </c>
      <c r="AE118" s="26" t="str">
        <f aca="false">IF(OR($A118="",AE$4=""),"",IF(NOT(OR(AE$6="Toda la plantilla",ISNUMBER(SEARCH(";"&amp;SUBSTITUTE($C118," ","")&amp;";",";"&amp;SUBSTITUTE(AE$7," ","")&amp;";")))),"—",IF(_xlfn.MAXIFS(Acuses!$C$5:$C$3004,Acuses!$A$5:$A$3004,$A118,Acuses!$B$5:$B$3004,AE$4)&lt;AE$5,"Pendiente",IF(AE$8=0,"OK",IF(EDATE(_xlfn.MAXIFS(Acuses!$D$5:$D$3004,Acuses!$A$5:$A$3004,$A118,Acuses!$B$5:$B$3004,AE$4,Acuses!$C$5:$C$3004,AE$5),AE$8)&lt;Resumen!$C$4,"Caducado",IF(EDATE(_xlfn.MAXIFS(Acuses!$D$5:$D$3004,Acuses!$A$5:$A$3004,$A118,Acuses!$B$5:$B$3004,AE$4,Acuses!$C$5:$C$3004,AE$5),AE$8)&lt;Resumen!$C$4+30,"Caduca pronto","OK"))))))</f>
        <v/>
      </c>
      <c r="AF118" s="26" t="str">
        <f aca="false">IF(OR($A118="",AF$4=""),"",IF(NOT(OR(AF$6="Toda la plantilla",ISNUMBER(SEARCH(";"&amp;SUBSTITUTE($C118," ","")&amp;";",";"&amp;SUBSTITUTE(AF$7," ","")&amp;";")))),"—",IF(_xlfn.MAXIFS(Acuses!$C$5:$C$3004,Acuses!$A$5:$A$3004,$A118,Acuses!$B$5:$B$3004,AF$4)&lt;AF$5,"Pendiente",IF(AF$8=0,"OK",IF(EDATE(_xlfn.MAXIFS(Acuses!$D$5:$D$3004,Acuses!$A$5:$A$3004,$A118,Acuses!$B$5:$B$3004,AF$4,Acuses!$C$5:$C$3004,AF$5),AF$8)&lt;Resumen!$C$4,"Caducado",IF(EDATE(_xlfn.MAXIFS(Acuses!$D$5:$D$3004,Acuses!$A$5:$A$3004,$A118,Acuses!$B$5:$B$3004,AF$4,Acuses!$C$5:$C$3004,AF$5),AF$8)&lt;Resumen!$C$4+30,"Caduca pronto","OK"))))))</f>
        <v/>
      </c>
      <c r="AG118" s="26" t="str">
        <f aca="false">IF(OR($A118="",AG$4=""),"",IF(NOT(OR(AG$6="Toda la plantilla",ISNUMBER(SEARCH(";"&amp;SUBSTITUTE($C118," ","")&amp;";",";"&amp;SUBSTITUTE(AG$7," ","")&amp;";")))),"—",IF(_xlfn.MAXIFS(Acuses!$C$5:$C$3004,Acuses!$A$5:$A$3004,$A118,Acuses!$B$5:$B$3004,AG$4)&lt;AG$5,"Pendiente",IF(AG$8=0,"OK",IF(EDATE(_xlfn.MAXIFS(Acuses!$D$5:$D$3004,Acuses!$A$5:$A$3004,$A118,Acuses!$B$5:$B$3004,AG$4,Acuses!$C$5:$C$3004,AG$5),AG$8)&lt;Resumen!$C$4,"Caducado",IF(EDATE(_xlfn.MAXIFS(Acuses!$D$5:$D$3004,Acuses!$A$5:$A$3004,$A118,Acuses!$B$5:$B$3004,AG$4,Acuses!$C$5:$C$3004,AG$5),AG$8)&lt;Resumen!$C$4+30,"Caduca pronto","OK"))))))</f>
        <v/>
      </c>
      <c r="AH118" s="26" t="str">
        <f aca="false">IF(OR($A118="",AH$4=""),"",IF(NOT(OR(AH$6="Toda la plantilla",ISNUMBER(SEARCH(";"&amp;SUBSTITUTE($C118," ","")&amp;";",";"&amp;SUBSTITUTE(AH$7," ","")&amp;";")))),"—",IF(_xlfn.MAXIFS(Acuses!$C$5:$C$3004,Acuses!$A$5:$A$3004,$A118,Acuses!$B$5:$B$3004,AH$4)&lt;AH$5,"Pendiente",IF(AH$8=0,"OK",IF(EDATE(_xlfn.MAXIFS(Acuses!$D$5:$D$3004,Acuses!$A$5:$A$3004,$A118,Acuses!$B$5:$B$3004,AH$4,Acuses!$C$5:$C$3004,AH$5),AH$8)&lt;Resumen!$C$4,"Caducado",IF(EDATE(_xlfn.MAXIFS(Acuses!$D$5:$D$3004,Acuses!$A$5:$A$3004,$A118,Acuses!$B$5:$B$3004,AH$4,Acuses!$C$5:$C$3004,AH$5),AH$8)&lt;Resumen!$C$4+30,"Caduca pronto","OK"))))))</f>
        <v/>
      </c>
      <c r="AI118" s="26" t="str">
        <f aca="false">IF(OR($A118="",AI$4=""),"",IF(NOT(OR(AI$6="Toda la plantilla",ISNUMBER(SEARCH(";"&amp;SUBSTITUTE($C118," ","")&amp;";",";"&amp;SUBSTITUTE(AI$7," ","")&amp;";")))),"—",IF(_xlfn.MAXIFS(Acuses!$C$5:$C$3004,Acuses!$A$5:$A$3004,$A118,Acuses!$B$5:$B$3004,AI$4)&lt;AI$5,"Pendiente",IF(AI$8=0,"OK",IF(EDATE(_xlfn.MAXIFS(Acuses!$D$5:$D$3004,Acuses!$A$5:$A$3004,$A118,Acuses!$B$5:$B$3004,AI$4,Acuses!$C$5:$C$3004,AI$5),AI$8)&lt;Resumen!$C$4,"Caducado",IF(EDATE(_xlfn.MAXIFS(Acuses!$D$5:$D$3004,Acuses!$A$5:$A$3004,$A118,Acuses!$B$5:$B$3004,AI$4,Acuses!$C$5:$C$3004,AI$5),AI$8)&lt;Resumen!$C$4+30,"Caduca pronto","OK"))))))</f>
        <v/>
      </c>
      <c r="AJ118" s="26" t="str">
        <f aca="false">IF(OR($A118="",AJ$4=""),"",IF(NOT(OR(AJ$6="Toda la plantilla",ISNUMBER(SEARCH(";"&amp;SUBSTITUTE($C118," ","")&amp;";",";"&amp;SUBSTITUTE(AJ$7," ","")&amp;";")))),"—",IF(_xlfn.MAXIFS(Acuses!$C$5:$C$3004,Acuses!$A$5:$A$3004,$A118,Acuses!$B$5:$B$3004,AJ$4)&lt;AJ$5,"Pendiente",IF(AJ$8=0,"OK",IF(EDATE(_xlfn.MAXIFS(Acuses!$D$5:$D$3004,Acuses!$A$5:$A$3004,$A118,Acuses!$B$5:$B$3004,AJ$4,Acuses!$C$5:$C$3004,AJ$5),AJ$8)&lt;Resumen!$C$4,"Caducado",IF(EDATE(_xlfn.MAXIFS(Acuses!$D$5:$D$3004,Acuses!$A$5:$A$3004,$A118,Acuses!$B$5:$B$3004,AJ$4,Acuses!$C$5:$C$3004,AJ$5),AJ$8)&lt;Resumen!$C$4+30,"Caduca pronto","OK"))))))</f>
        <v/>
      </c>
      <c r="AK118" s="26" t="str">
        <f aca="false">IF(OR($A118="",AK$4=""),"",IF(NOT(OR(AK$6="Toda la plantilla",ISNUMBER(SEARCH(";"&amp;SUBSTITUTE($C118," ","")&amp;";",";"&amp;SUBSTITUTE(AK$7," ","")&amp;";")))),"—",IF(_xlfn.MAXIFS(Acuses!$C$5:$C$3004,Acuses!$A$5:$A$3004,$A118,Acuses!$B$5:$B$3004,AK$4)&lt;AK$5,"Pendiente",IF(AK$8=0,"OK",IF(EDATE(_xlfn.MAXIFS(Acuses!$D$5:$D$3004,Acuses!$A$5:$A$3004,$A118,Acuses!$B$5:$B$3004,AK$4,Acuses!$C$5:$C$3004,AK$5),AK$8)&lt;Resumen!$C$4,"Caducado",IF(EDATE(_xlfn.MAXIFS(Acuses!$D$5:$D$3004,Acuses!$A$5:$A$3004,$A118,Acuses!$B$5:$B$3004,AK$4,Acuses!$C$5:$C$3004,AK$5),AK$8)&lt;Resumen!$C$4+30,"Caduca pronto","OK"))))))</f>
        <v/>
      </c>
      <c r="AL118" s="26" t="str">
        <f aca="false">IF(OR($A118="",AL$4=""),"",IF(NOT(OR(AL$6="Toda la plantilla",ISNUMBER(SEARCH(";"&amp;SUBSTITUTE($C118," ","")&amp;";",";"&amp;SUBSTITUTE(AL$7," ","")&amp;";")))),"—",IF(_xlfn.MAXIFS(Acuses!$C$5:$C$3004,Acuses!$A$5:$A$3004,$A118,Acuses!$B$5:$B$3004,AL$4)&lt;AL$5,"Pendiente",IF(AL$8=0,"OK",IF(EDATE(_xlfn.MAXIFS(Acuses!$D$5:$D$3004,Acuses!$A$5:$A$3004,$A118,Acuses!$B$5:$B$3004,AL$4,Acuses!$C$5:$C$3004,AL$5),AL$8)&lt;Resumen!$C$4,"Caducado",IF(EDATE(_xlfn.MAXIFS(Acuses!$D$5:$D$3004,Acuses!$A$5:$A$3004,$A118,Acuses!$B$5:$B$3004,AL$4,Acuses!$C$5:$C$3004,AL$5),AL$8)&lt;Resumen!$C$4+30,"Caduca pronto","OK"))))))</f>
        <v/>
      </c>
      <c r="AM118" s="26" t="str">
        <f aca="false">IF(OR($A118="",AM$4=""),"",IF(NOT(OR(AM$6="Toda la plantilla",ISNUMBER(SEARCH(";"&amp;SUBSTITUTE($C118," ","")&amp;";",";"&amp;SUBSTITUTE(AM$7," ","")&amp;";")))),"—",IF(_xlfn.MAXIFS(Acuses!$C$5:$C$3004,Acuses!$A$5:$A$3004,$A118,Acuses!$B$5:$B$3004,AM$4)&lt;AM$5,"Pendiente",IF(AM$8=0,"OK",IF(EDATE(_xlfn.MAXIFS(Acuses!$D$5:$D$3004,Acuses!$A$5:$A$3004,$A118,Acuses!$B$5:$B$3004,AM$4,Acuses!$C$5:$C$3004,AM$5),AM$8)&lt;Resumen!$C$4,"Caducado",IF(EDATE(_xlfn.MAXIFS(Acuses!$D$5:$D$3004,Acuses!$A$5:$A$3004,$A118,Acuses!$B$5:$B$3004,AM$4,Acuses!$C$5:$C$3004,AM$5),AM$8)&lt;Resumen!$C$4+30,"Caduca pronto","OK"))))))</f>
        <v/>
      </c>
      <c r="AN118" s="26" t="str">
        <f aca="false">IF(OR($A118="",AN$4=""),"",IF(NOT(OR(AN$6="Toda la plantilla",ISNUMBER(SEARCH(";"&amp;SUBSTITUTE($C118," ","")&amp;";",";"&amp;SUBSTITUTE(AN$7," ","")&amp;";")))),"—",IF(_xlfn.MAXIFS(Acuses!$C$5:$C$3004,Acuses!$A$5:$A$3004,$A118,Acuses!$B$5:$B$3004,AN$4)&lt;AN$5,"Pendiente",IF(AN$8=0,"OK",IF(EDATE(_xlfn.MAXIFS(Acuses!$D$5:$D$3004,Acuses!$A$5:$A$3004,$A118,Acuses!$B$5:$B$3004,AN$4,Acuses!$C$5:$C$3004,AN$5),AN$8)&lt;Resumen!$C$4,"Caducado",IF(EDATE(_xlfn.MAXIFS(Acuses!$D$5:$D$3004,Acuses!$A$5:$A$3004,$A118,Acuses!$B$5:$B$3004,AN$4,Acuses!$C$5:$C$3004,AN$5),AN$8)&lt;Resumen!$C$4+30,"Caduca pronto","OK"))))))</f>
        <v/>
      </c>
      <c r="AO118" s="26" t="str">
        <f aca="false">IF(OR($A118="",AO$4=""),"",IF(NOT(OR(AO$6="Toda la plantilla",ISNUMBER(SEARCH(";"&amp;SUBSTITUTE($C118," ","")&amp;";",";"&amp;SUBSTITUTE(AO$7," ","")&amp;";")))),"—",IF(_xlfn.MAXIFS(Acuses!$C$5:$C$3004,Acuses!$A$5:$A$3004,$A118,Acuses!$B$5:$B$3004,AO$4)&lt;AO$5,"Pendiente",IF(AO$8=0,"OK",IF(EDATE(_xlfn.MAXIFS(Acuses!$D$5:$D$3004,Acuses!$A$5:$A$3004,$A118,Acuses!$B$5:$B$3004,AO$4,Acuses!$C$5:$C$3004,AO$5),AO$8)&lt;Resumen!$C$4,"Caducado",IF(EDATE(_xlfn.MAXIFS(Acuses!$D$5:$D$3004,Acuses!$A$5:$A$3004,$A118,Acuses!$B$5:$B$3004,AO$4,Acuses!$C$5:$C$3004,AO$5),AO$8)&lt;Resumen!$C$4+30,"Caduca pronto","OK"))))))</f>
        <v/>
      </c>
      <c r="AP118" s="26" t="str">
        <f aca="false">IF(OR($A118="",AP$4=""),"",IF(NOT(OR(AP$6="Toda la plantilla",ISNUMBER(SEARCH(";"&amp;SUBSTITUTE($C118," ","")&amp;";",";"&amp;SUBSTITUTE(AP$7," ","")&amp;";")))),"—",IF(_xlfn.MAXIFS(Acuses!$C$5:$C$3004,Acuses!$A$5:$A$3004,$A118,Acuses!$B$5:$B$3004,AP$4)&lt;AP$5,"Pendiente",IF(AP$8=0,"OK",IF(EDATE(_xlfn.MAXIFS(Acuses!$D$5:$D$3004,Acuses!$A$5:$A$3004,$A118,Acuses!$B$5:$B$3004,AP$4,Acuses!$C$5:$C$3004,AP$5),AP$8)&lt;Resumen!$C$4,"Caducado",IF(EDATE(_xlfn.MAXIFS(Acuses!$D$5:$D$3004,Acuses!$A$5:$A$3004,$A118,Acuses!$B$5:$B$3004,AP$4,Acuses!$C$5:$C$3004,AP$5),AP$8)&lt;Resumen!$C$4+30,"Caduca pronto","OK"))))))</f>
        <v/>
      </c>
      <c r="AQ118" s="26" t="str">
        <f aca="false">IF(OR($A118="",AQ$4=""),"",IF(NOT(OR(AQ$6="Toda la plantilla",ISNUMBER(SEARCH(";"&amp;SUBSTITUTE($C118," ","")&amp;";",";"&amp;SUBSTITUTE(AQ$7," ","")&amp;";")))),"—",IF(_xlfn.MAXIFS(Acuses!$C$5:$C$3004,Acuses!$A$5:$A$3004,$A118,Acuses!$B$5:$B$3004,AQ$4)&lt;AQ$5,"Pendiente",IF(AQ$8=0,"OK",IF(EDATE(_xlfn.MAXIFS(Acuses!$D$5:$D$3004,Acuses!$A$5:$A$3004,$A118,Acuses!$B$5:$B$3004,AQ$4,Acuses!$C$5:$C$3004,AQ$5),AQ$8)&lt;Resumen!$C$4,"Caducado",IF(EDATE(_xlfn.MAXIFS(Acuses!$D$5:$D$3004,Acuses!$A$5:$A$3004,$A118,Acuses!$B$5:$B$3004,AQ$4,Acuses!$C$5:$C$3004,AQ$5),AQ$8)&lt;Resumen!$C$4+30,"Caduca pronto","OK"))))))</f>
        <v/>
      </c>
    </row>
    <row r="119" customFormat="false" ht="15" hidden="false" customHeight="false" outlineLevel="0" collapsed="false">
      <c r="A119" s="25" t="str">
        <f aca="false">IF(AND(Trabajadores!$A$114&lt;&gt;"",Trabajadores!$G$114&lt;&gt;"No"),Trabajadores!$A$114,"")</f>
        <v/>
      </c>
      <c r="B119" s="25" t="str">
        <f aca="false">IF($A119="","",Trabajadores!$B$114)</f>
        <v/>
      </c>
      <c r="C119" s="25" t="str">
        <f aca="false">IF($A119="","",Trabajadores!$C$114)</f>
        <v/>
      </c>
      <c r="D119" s="26" t="str">
        <f aca="false">IF(OR($A119="",D$4=""),"",IF(NOT(OR(D$6="Toda la plantilla",ISNUMBER(SEARCH(";"&amp;SUBSTITUTE($C119," ","")&amp;";",";"&amp;SUBSTITUTE(D$7," ","")&amp;";")))),"—",IF(_xlfn.MAXIFS(Acuses!$C$5:$C$3004,Acuses!$A$5:$A$3004,$A119,Acuses!$B$5:$B$3004,D$4)&lt;D$5,"Pendiente",IF(D$8=0,"OK",IF(EDATE(_xlfn.MAXIFS(Acuses!$D$5:$D$3004,Acuses!$A$5:$A$3004,$A119,Acuses!$B$5:$B$3004,D$4,Acuses!$C$5:$C$3004,D$5),D$8)&lt;Resumen!$C$4,"Caducado",IF(EDATE(_xlfn.MAXIFS(Acuses!$D$5:$D$3004,Acuses!$A$5:$A$3004,$A119,Acuses!$B$5:$B$3004,D$4,Acuses!$C$5:$C$3004,D$5),D$8)&lt;Resumen!$C$4+30,"Caduca pronto","OK"))))))</f>
        <v/>
      </c>
      <c r="E119" s="26" t="str">
        <f aca="false">IF(OR($A119="",E$4=""),"",IF(NOT(OR(E$6="Toda la plantilla",ISNUMBER(SEARCH(";"&amp;SUBSTITUTE($C119," ","")&amp;";",";"&amp;SUBSTITUTE(E$7," ","")&amp;";")))),"—",IF(_xlfn.MAXIFS(Acuses!$C$5:$C$3004,Acuses!$A$5:$A$3004,$A119,Acuses!$B$5:$B$3004,E$4)&lt;E$5,"Pendiente",IF(E$8=0,"OK",IF(EDATE(_xlfn.MAXIFS(Acuses!$D$5:$D$3004,Acuses!$A$5:$A$3004,$A119,Acuses!$B$5:$B$3004,E$4,Acuses!$C$5:$C$3004,E$5),E$8)&lt;Resumen!$C$4,"Caducado",IF(EDATE(_xlfn.MAXIFS(Acuses!$D$5:$D$3004,Acuses!$A$5:$A$3004,$A119,Acuses!$B$5:$B$3004,E$4,Acuses!$C$5:$C$3004,E$5),E$8)&lt;Resumen!$C$4+30,"Caduca pronto","OK"))))))</f>
        <v/>
      </c>
      <c r="F119" s="26" t="str">
        <f aca="false">IF(OR($A119="",F$4=""),"",IF(NOT(OR(F$6="Toda la plantilla",ISNUMBER(SEARCH(";"&amp;SUBSTITUTE($C119," ","")&amp;";",";"&amp;SUBSTITUTE(F$7," ","")&amp;";")))),"—",IF(_xlfn.MAXIFS(Acuses!$C$5:$C$3004,Acuses!$A$5:$A$3004,$A119,Acuses!$B$5:$B$3004,F$4)&lt;F$5,"Pendiente",IF(F$8=0,"OK",IF(EDATE(_xlfn.MAXIFS(Acuses!$D$5:$D$3004,Acuses!$A$5:$A$3004,$A119,Acuses!$B$5:$B$3004,F$4,Acuses!$C$5:$C$3004,F$5),F$8)&lt;Resumen!$C$4,"Caducado",IF(EDATE(_xlfn.MAXIFS(Acuses!$D$5:$D$3004,Acuses!$A$5:$A$3004,$A119,Acuses!$B$5:$B$3004,F$4,Acuses!$C$5:$C$3004,F$5),F$8)&lt;Resumen!$C$4+30,"Caduca pronto","OK"))))))</f>
        <v/>
      </c>
      <c r="G119" s="26" t="str">
        <f aca="false">IF(OR($A119="",G$4=""),"",IF(NOT(OR(G$6="Toda la plantilla",ISNUMBER(SEARCH(";"&amp;SUBSTITUTE($C119," ","")&amp;";",";"&amp;SUBSTITUTE(G$7," ","")&amp;";")))),"—",IF(_xlfn.MAXIFS(Acuses!$C$5:$C$3004,Acuses!$A$5:$A$3004,$A119,Acuses!$B$5:$B$3004,G$4)&lt;G$5,"Pendiente",IF(G$8=0,"OK",IF(EDATE(_xlfn.MAXIFS(Acuses!$D$5:$D$3004,Acuses!$A$5:$A$3004,$A119,Acuses!$B$5:$B$3004,G$4,Acuses!$C$5:$C$3004,G$5),G$8)&lt;Resumen!$C$4,"Caducado",IF(EDATE(_xlfn.MAXIFS(Acuses!$D$5:$D$3004,Acuses!$A$5:$A$3004,$A119,Acuses!$B$5:$B$3004,G$4,Acuses!$C$5:$C$3004,G$5),G$8)&lt;Resumen!$C$4+30,"Caduca pronto","OK"))))))</f>
        <v/>
      </c>
      <c r="H119" s="26" t="str">
        <f aca="false">IF(OR($A119="",H$4=""),"",IF(NOT(OR(H$6="Toda la plantilla",ISNUMBER(SEARCH(";"&amp;SUBSTITUTE($C119," ","")&amp;";",";"&amp;SUBSTITUTE(H$7," ","")&amp;";")))),"—",IF(_xlfn.MAXIFS(Acuses!$C$5:$C$3004,Acuses!$A$5:$A$3004,$A119,Acuses!$B$5:$B$3004,H$4)&lt;H$5,"Pendiente",IF(H$8=0,"OK",IF(EDATE(_xlfn.MAXIFS(Acuses!$D$5:$D$3004,Acuses!$A$5:$A$3004,$A119,Acuses!$B$5:$B$3004,H$4,Acuses!$C$5:$C$3004,H$5),H$8)&lt;Resumen!$C$4,"Caducado",IF(EDATE(_xlfn.MAXIFS(Acuses!$D$5:$D$3004,Acuses!$A$5:$A$3004,$A119,Acuses!$B$5:$B$3004,H$4,Acuses!$C$5:$C$3004,H$5),H$8)&lt;Resumen!$C$4+30,"Caduca pronto","OK"))))))</f>
        <v/>
      </c>
      <c r="I119" s="26" t="str">
        <f aca="false">IF(OR($A119="",I$4=""),"",IF(NOT(OR(I$6="Toda la plantilla",ISNUMBER(SEARCH(";"&amp;SUBSTITUTE($C119," ","")&amp;";",";"&amp;SUBSTITUTE(I$7," ","")&amp;";")))),"—",IF(_xlfn.MAXIFS(Acuses!$C$5:$C$3004,Acuses!$A$5:$A$3004,$A119,Acuses!$B$5:$B$3004,I$4)&lt;I$5,"Pendiente",IF(I$8=0,"OK",IF(EDATE(_xlfn.MAXIFS(Acuses!$D$5:$D$3004,Acuses!$A$5:$A$3004,$A119,Acuses!$B$5:$B$3004,I$4,Acuses!$C$5:$C$3004,I$5),I$8)&lt;Resumen!$C$4,"Caducado",IF(EDATE(_xlfn.MAXIFS(Acuses!$D$5:$D$3004,Acuses!$A$5:$A$3004,$A119,Acuses!$B$5:$B$3004,I$4,Acuses!$C$5:$C$3004,I$5),I$8)&lt;Resumen!$C$4+30,"Caduca pronto","OK"))))))</f>
        <v/>
      </c>
      <c r="J119" s="26" t="str">
        <f aca="false">IF(OR($A119="",J$4=""),"",IF(NOT(OR(J$6="Toda la plantilla",ISNUMBER(SEARCH(";"&amp;SUBSTITUTE($C119," ","")&amp;";",";"&amp;SUBSTITUTE(J$7," ","")&amp;";")))),"—",IF(_xlfn.MAXIFS(Acuses!$C$5:$C$3004,Acuses!$A$5:$A$3004,$A119,Acuses!$B$5:$B$3004,J$4)&lt;J$5,"Pendiente",IF(J$8=0,"OK",IF(EDATE(_xlfn.MAXIFS(Acuses!$D$5:$D$3004,Acuses!$A$5:$A$3004,$A119,Acuses!$B$5:$B$3004,J$4,Acuses!$C$5:$C$3004,J$5),J$8)&lt;Resumen!$C$4,"Caducado",IF(EDATE(_xlfn.MAXIFS(Acuses!$D$5:$D$3004,Acuses!$A$5:$A$3004,$A119,Acuses!$B$5:$B$3004,J$4,Acuses!$C$5:$C$3004,J$5),J$8)&lt;Resumen!$C$4+30,"Caduca pronto","OK"))))))</f>
        <v/>
      </c>
      <c r="K119" s="26" t="str">
        <f aca="false">IF(OR($A119="",K$4=""),"",IF(NOT(OR(K$6="Toda la plantilla",ISNUMBER(SEARCH(";"&amp;SUBSTITUTE($C119," ","")&amp;";",";"&amp;SUBSTITUTE(K$7," ","")&amp;";")))),"—",IF(_xlfn.MAXIFS(Acuses!$C$5:$C$3004,Acuses!$A$5:$A$3004,$A119,Acuses!$B$5:$B$3004,K$4)&lt;K$5,"Pendiente",IF(K$8=0,"OK",IF(EDATE(_xlfn.MAXIFS(Acuses!$D$5:$D$3004,Acuses!$A$5:$A$3004,$A119,Acuses!$B$5:$B$3004,K$4,Acuses!$C$5:$C$3004,K$5),K$8)&lt;Resumen!$C$4,"Caducado",IF(EDATE(_xlfn.MAXIFS(Acuses!$D$5:$D$3004,Acuses!$A$5:$A$3004,$A119,Acuses!$B$5:$B$3004,K$4,Acuses!$C$5:$C$3004,K$5),K$8)&lt;Resumen!$C$4+30,"Caduca pronto","OK"))))))</f>
        <v/>
      </c>
      <c r="L119" s="26" t="str">
        <f aca="false">IF(OR($A119="",L$4=""),"",IF(NOT(OR(L$6="Toda la plantilla",ISNUMBER(SEARCH(";"&amp;SUBSTITUTE($C119," ","")&amp;";",";"&amp;SUBSTITUTE(L$7," ","")&amp;";")))),"—",IF(_xlfn.MAXIFS(Acuses!$C$5:$C$3004,Acuses!$A$5:$A$3004,$A119,Acuses!$B$5:$B$3004,L$4)&lt;L$5,"Pendiente",IF(L$8=0,"OK",IF(EDATE(_xlfn.MAXIFS(Acuses!$D$5:$D$3004,Acuses!$A$5:$A$3004,$A119,Acuses!$B$5:$B$3004,L$4,Acuses!$C$5:$C$3004,L$5),L$8)&lt;Resumen!$C$4,"Caducado",IF(EDATE(_xlfn.MAXIFS(Acuses!$D$5:$D$3004,Acuses!$A$5:$A$3004,$A119,Acuses!$B$5:$B$3004,L$4,Acuses!$C$5:$C$3004,L$5),L$8)&lt;Resumen!$C$4+30,"Caduca pronto","OK"))))))</f>
        <v/>
      </c>
      <c r="M119" s="26" t="str">
        <f aca="false">IF(OR($A119="",M$4=""),"",IF(NOT(OR(M$6="Toda la plantilla",ISNUMBER(SEARCH(";"&amp;SUBSTITUTE($C119," ","")&amp;";",";"&amp;SUBSTITUTE(M$7," ","")&amp;";")))),"—",IF(_xlfn.MAXIFS(Acuses!$C$5:$C$3004,Acuses!$A$5:$A$3004,$A119,Acuses!$B$5:$B$3004,M$4)&lt;M$5,"Pendiente",IF(M$8=0,"OK",IF(EDATE(_xlfn.MAXIFS(Acuses!$D$5:$D$3004,Acuses!$A$5:$A$3004,$A119,Acuses!$B$5:$B$3004,M$4,Acuses!$C$5:$C$3004,M$5),M$8)&lt;Resumen!$C$4,"Caducado",IF(EDATE(_xlfn.MAXIFS(Acuses!$D$5:$D$3004,Acuses!$A$5:$A$3004,$A119,Acuses!$B$5:$B$3004,M$4,Acuses!$C$5:$C$3004,M$5),M$8)&lt;Resumen!$C$4+30,"Caduca pronto","OK"))))))</f>
        <v/>
      </c>
      <c r="N119" s="26" t="str">
        <f aca="false">IF(OR($A119="",N$4=""),"",IF(NOT(OR(N$6="Toda la plantilla",ISNUMBER(SEARCH(";"&amp;SUBSTITUTE($C119," ","")&amp;";",";"&amp;SUBSTITUTE(N$7," ","")&amp;";")))),"—",IF(_xlfn.MAXIFS(Acuses!$C$5:$C$3004,Acuses!$A$5:$A$3004,$A119,Acuses!$B$5:$B$3004,N$4)&lt;N$5,"Pendiente",IF(N$8=0,"OK",IF(EDATE(_xlfn.MAXIFS(Acuses!$D$5:$D$3004,Acuses!$A$5:$A$3004,$A119,Acuses!$B$5:$B$3004,N$4,Acuses!$C$5:$C$3004,N$5),N$8)&lt;Resumen!$C$4,"Caducado",IF(EDATE(_xlfn.MAXIFS(Acuses!$D$5:$D$3004,Acuses!$A$5:$A$3004,$A119,Acuses!$B$5:$B$3004,N$4,Acuses!$C$5:$C$3004,N$5),N$8)&lt;Resumen!$C$4+30,"Caduca pronto","OK"))))))</f>
        <v/>
      </c>
      <c r="O119" s="26" t="str">
        <f aca="false">IF(OR($A119="",O$4=""),"",IF(NOT(OR(O$6="Toda la plantilla",ISNUMBER(SEARCH(";"&amp;SUBSTITUTE($C119," ","")&amp;";",";"&amp;SUBSTITUTE(O$7," ","")&amp;";")))),"—",IF(_xlfn.MAXIFS(Acuses!$C$5:$C$3004,Acuses!$A$5:$A$3004,$A119,Acuses!$B$5:$B$3004,O$4)&lt;O$5,"Pendiente",IF(O$8=0,"OK",IF(EDATE(_xlfn.MAXIFS(Acuses!$D$5:$D$3004,Acuses!$A$5:$A$3004,$A119,Acuses!$B$5:$B$3004,O$4,Acuses!$C$5:$C$3004,O$5),O$8)&lt;Resumen!$C$4,"Caducado",IF(EDATE(_xlfn.MAXIFS(Acuses!$D$5:$D$3004,Acuses!$A$5:$A$3004,$A119,Acuses!$B$5:$B$3004,O$4,Acuses!$C$5:$C$3004,O$5),O$8)&lt;Resumen!$C$4+30,"Caduca pronto","OK"))))))</f>
        <v/>
      </c>
      <c r="P119" s="26" t="str">
        <f aca="false">IF(OR($A119="",P$4=""),"",IF(NOT(OR(P$6="Toda la plantilla",ISNUMBER(SEARCH(";"&amp;SUBSTITUTE($C119," ","")&amp;";",";"&amp;SUBSTITUTE(P$7," ","")&amp;";")))),"—",IF(_xlfn.MAXIFS(Acuses!$C$5:$C$3004,Acuses!$A$5:$A$3004,$A119,Acuses!$B$5:$B$3004,P$4)&lt;P$5,"Pendiente",IF(P$8=0,"OK",IF(EDATE(_xlfn.MAXIFS(Acuses!$D$5:$D$3004,Acuses!$A$5:$A$3004,$A119,Acuses!$B$5:$B$3004,P$4,Acuses!$C$5:$C$3004,P$5),P$8)&lt;Resumen!$C$4,"Caducado",IF(EDATE(_xlfn.MAXIFS(Acuses!$D$5:$D$3004,Acuses!$A$5:$A$3004,$A119,Acuses!$B$5:$B$3004,P$4,Acuses!$C$5:$C$3004,P$5),P$8)&lt;Resumen!$C$4+30,"Caduca pronto","OK"))))))</f>
        <v/>
      </c>
      <c r="Q119" s="26" t="str">
        <f aca="false">IF(OR($A119="",Q$4=""),"",IF(NOT(OR(Q$6="Toda la plantilla",ISNUMBER(SEARCH(";"&amp;SUBSTITUTE($C119," ","")&amp;";",";"&amp;SUBSTITUTE(Q$7," ","")&amp;";")))),"—",IF(_xlfn.MAXIFS(Acuses!$C$5:$C$3004,Acuses!$A$5:$A$3004,$A119,Acuses!$B$5:$B$3004,Q$4)&lt;Q$5,"Pendiente",IF(Q$8=0,"OK",IF(EDATE(_xlfn.MAXIFS(Acuses!$D$5:$D$3004,Acuses!$A$5:$A$3004,$A119,Acuses!$B$5:$B$3004,Q$4,Acuses!$C$5:$C$3004,Q$5),Q$8)&lt;Resumen!$C$4,"Caducado",IF(EDATE(_xlfn.MAXIFS(Acuses!$D$5:$D$3004,Acuses!$A$5:$A$3004,$A119,Acuses!$B$5:$B$3004,Q$4,Acuses!$C$5:$C$3004,Q$5),Q$8)&lt;Resumen!$C$4+30,"Caduca pronto","OK"))))))</f>
        <v/>
      </c>
      <c r="R119" s="26" t="str">
        <f aca="false">IF(OR($A119="",R$4=""),"",IF(NOT(OR(R$6="Toda la plantilla",ISNUMBER(SEARCH(";"&amp;SUBSTITUTE($C119," ","")&amp;";",";"&amp;SUBSTITUTE(R$7," ","")&amp;";")))),"—",IF(_xlfn.MAXIFS(Acuses!$C$5:$C$3004,Acuses!$A$5:$A$3004,$A119,Acuses!$B$5:$B$3004,R$4)&lt;R$5,"Pendiente",IF(R$8=0,"OK",IF(EDATE(_xlfn.MAXIFS(Acuses!$D$5:$D$3004,Acuses!$A$5:$A$3004,$A119,Acuses!$B$5:$B$3004,R$4,Acuses!$C$5:$C$3004,R$5),R$8)&lt;Resumen!$C$4,"Caducado",IF(EDATE(_xlfn.MAXIFS(Acuses!$D$5:$D$3004,Acuses!$A$5:$A$3004,$A119,Acuses!$B$5:$B$3004,R$4,Acuses!$C$5:$C$3004,R$5),R$8)&lt;Resumen!$C$4+30,"Caduca pronto","OK"))))))</f>
        <v/>
      </c>
      <c r="S119" s="26" t="str">
        <f aca="false">IF(OR($A119="",S$4=""),"",IF(NOT(OR(S$6="Toda la plantilla",ISNUMBER(SEARCH(";"&amp;SUBSTITUTE($C119," ","")&amp;";",";"&amp;SUBSTITUTE(S$7," ","")&amp;";")))),"—",IF(_xlfn.MAXIFS(Acuses!$C$5:$C$3004,Acuses!$A$5:$A$3004,$A119,Acuses!$B$5:$B$3004,S$4)&lt;S$5,"Pendiente",IF(S$8=0,"OK",IF(EDATE(_xlfn.MAXIFS(Acuses!$D$5:$D$3004,Acuses!$A$5:$A$3004,$A119,Acuses!$B$5:$B$3004,S$4,Acuses!$C$5:$C$3004,S$5),S$8)&lt;Resumen!$C$4,"Caducado",IF(EDATE(_xlfn.MAXIFS(Acuses!$D$5:$D$3004,Acuses!$A$5:$A$3004,$A119,Acuses!$B$5:$B$3004,S$4,Acuses!$C$5:$C$3004,S$5),S$8)&lt;Resumen!$C$4+30,"Caduca pronto","OK"))))))</f>
        <v/>
      </c>
      <c r="T119" s="26" t="str">
        <f aca="false">IF(OR($A119="",T$4=""),"",IF(NOT(OR(T$6="Toda la plantilla",ISNUMBER(SEARCH(";"&amp;SUBSTITUTE($C119," ","")&amp;";",";"&amp;SUBSTITUTE(T$7," ","")&amp;";")))),"—",IF(_xlfn.MAXIFS(Acuses!$C$5:$C$3004,Acuses!$A$5:$A$3004,$A119,Acuses!$B$5:$B$3004,T$4)&lt;T$5,"Pendiente",IF(T$8=0,"OK",IF(EDATE(_xlfn.MAXIFS(Acuses!$D$5:$D$3004,Acuses!$A$5:$A$3004,$A119,Acuses!$B$5:$B$3004,T$4,Acuses!$C$5:$C$3004,T$5),T$8)&lt;Resumen!$C$4,"Caducado",IF(EDATE(_xlfn.MAXIFS(Acuses!$D$5:$D$3004,Acuses!$A$5:$A$3004,$A119,Acuses!$B$5:$B$3004,T$4,Acuses!$C$5:$C$3004,T$5),T$8)&lt;Resumen!$C$4+30,"Caduca pronto","OK"))))))</f>
        <v/>
      </c>
      <c r="U119" s="26" t="str">
        <f aca="false">IF(OR($A119="",U$4=""),"",IF(NOT(OR(U$6="Toda la plantilla",ISNUMBER(SEARCH(";"&amp;SUBSTITUTE($C119," ","")&amp;";",";"&amp;SUBSTITUTE(U$7," ","")&amp;";")))),"—",IF(_xlfn.MAXIFS(Acuses!$C$5:$C$3004,Acuses!$A$5:$A$3004,$A119,Acuses!$B$5:$B$3004,U$4)&lt;U$5,"Pendiente",IF(U$8=0,"OK",IF(EDATE(_xlfn.MAXIFS(Acuses!$D$5:$D$3004,Acuses!$A$5:$A$3004,$A119,Acuses!$B$5:$B$3004,U$4,Acuses!$C$5:$C$3004,U$5),U$8)&lt;Resumen!$C$4,"Caducado",IF(EDATE(_xlfn.MAXIFS(Acuses!$D$5:$D$3004,Acuses!$A$5:$A$3004,$A119,Acuses!$B$5:$B$3004,U$4,Acuses!$C$5:$C$3004,U$5),U$8)&lt;Resumen!$C$4+30,"Caduca pronto","OK"))))))</f>
        <v/>
      </c>
      <c r="V119" s="26" t="str">
        <f aca="false">IF(OR($A119="",V$4=""),"",IF(NOT(OR(V$6="Toda la plantilla",ISNUMBER(SEARCH(";"&amp;SUBSTITUTE($C119," ","")&amp;";",";"&amp;SUBSTITUTE(V$7," ","")&amp;";")))),"—",IF(_xlfn.MAXIFS(Acuses!$C$5:$C$3004,Acuses!$A$5:$A$3004,$A119,Acuses!$B$5:$B$3004,V$4)&lt;V$5,"Pendiente",IF(V$8=0,"OK",IF(EDATE(_xlfn.MAXIFS(Acuses!$D$5:$D$3004,Acuses!$A$5:$A$3004,$A119,Acuses!$B$5:$B$3004,V$4,Acuses!$C$5:$C$3004,V$5),V$8)&lt;Resumen!$C$4,"Caducado",IF(EDATE(_xlfn.MAXIFS(Acuses!$D$5:$D$3004,Acuses!$A$5:$A$3004,$A119,Acuses!$B$5:$B$3004,V$4,Acuses!$C$5:$C$3004,V$5),V$8)&lt;Resumen!$C$4+30,"Caduca pronto","OK"))))))</f>
        <v/>
      </c>
      <c r="W119" s="26" t="str">
        <f aca="false">IF(OR($A119="",W$4=""),"",IF(NOT(OR(W$6="Toda la plantilla",ISNUMBER(SEARCH(";"&amp;SUBSTITUTE($C119," ","")&amp;";",";"&amp;SUBSTITUTE(W$7," ","")&amp;";")))),"—",IF(_xlfn.MAXIFS(Acuses!$C$5:$C$3004,Acuses!$A$5:$A$3004,$A119,Acuses!$B$5:$B$3004,W$4)&lt;W$5,"Pendiente",IF(W$8=0,"OK",IF(EDATE(_xlfn.MAXIFS(Acuses!$D$5:$D$3004,Acuses!$A$5:$A$3004,$A119,Acuses!$B$5:$B$3004,W$4,Acuses!$C$5:$C$3004,W$5),W$8)&lt;Resumen!$C$4,"Caducado",IF(EDATE(_xlfn.MAXIFS(Acuses!$D$5:$D$3004,Acuses!$A$5:$A$3004,$A119,Acuses!$B$5:$B$3004,W$4,Acuses!$C$5:$C$3004,W$5),W$8)&lt;Resumen!$C$4+30,"Caduca pronto","OK"))))))</f>
        <v/>
      </c>
      <c r="X119" s="26" t="str">
        <f aca="false">IF(OR($A119="",X$4=""),"",IF(NOT(OR(X$6="Toda la plantilla",ISNUMBER(SEARCH(";"&amp;SUBSTITUTE($C119," ","")&amp;";",";"&amp;SUBSTITUTE(X$7," ","")&amp;";")))),"—",IF(_xlfn.MAXIFS(Acuses!$C$5:$C$3004,Acuses!$A$5:$A$3004,$A119,Acuses!$B$5:$B$3004,X$4)&lt;X$5,"Pendiente",IF(X$8=0,"OK",IF(EDATE(_xlfn.MAXIFS(Acuses!$D$5:$D$3004,Acuses!$A$5:$A$3004,$A119,Acuses!$B$5:$B$3004,X$4,Acuses!$C$5:$C$3004,X$5),X$8)&lt;Resumen!$C$4,"Caducado",IF(EDATE(_xlfn.MAXIFS(Acuses!$D$5:$D$3004,Acuses!$A$5:$A$3004,$A119,Acuses!$B$5:$B$3004,X$4,Acuses!$C$5:$C$3004,X$5),X$8)&lt;Resumen!$C$4+30,"Caduca pronto","OK"))))))</f>
        <v/>
      </c>
      <c r="Y119" s="26" t="str">
        <f aca="false">IF(OR($A119="",Y$4=""),"",IF(NOT(OR(Y$6="Toda la plantilla",ISNUMBER(SEARCH(";"&amp;SUBSTITUTE($C119," ","")&amp;";",";"&amp;SUBSTITUTE(Y$7," ","")&amp;";")))),"—",IF(_xlfn.MAXIFS(Acuses!$C$5:$C$3004,Acuses!$A$5:$A$3004,$A119,Acuses!$B$5:$B$3004,Y$4)&lt;Y$5,"Pendiente",IF(Y$8=0,"OK",IF(EDATE(_xlfn.MAXIFS(Acuses!$D$5:$D$3004,Acuses!$A$5:$A$3004,$A119,Acuses!$B$5:$B$3004,Y$4,Acuses!$C$5:$C$3004,Y$5),Y$8)&lt;Resumen!$C$4,"Caducado",IF(EDATE(_xlfn.MAXIFS(Acuses!$D$5:$D$3004,Acuses!$A$5:$A$3004,$A119,Acuses!$B$5:$B$3004,Y$4,Acuses!$C$5:$C$3004,Y$5),Y$8)&lt;Resumen!$C$4+30,"Caduca pronto","OK"))))))</f>
        <v/>
      </c>
      <c r="Z119" s="26" t="str">
        <f aca="false">IF(OR($A119="",Z$4=""),"",IF(NOT(OR(Z$6="Toda la plantilla",ISNUMBER(SEARCH(";"&amp;SUBSTITUTE($C119," ","")&amp;";",";"&amp;SUBSTITUTE(Z$7," ","")&amp;";")))),"—",IF(_xlfn.MAXIFS(Acuses!$C$5:$C$3004,Acuses!$A$5:$A$3004,$A119,Acuses!$B$5:$B$3004,Z$4)&lt;Z$5,"Pendiente",IF(Z$8=0,"OK",IF(EDATE(_xlfn.MAXIFS(Acuses!$D$5:$D$3004,Acuses!$A$5:$A$3004,$A119,Acuses!$B$5:$B$3004,Z$4,Acuses!$C$5:$C$3004,Z$5),Z$8)&lt;Resumen!$C$4,"Caducado",IF(EDATE(_xlfn.MAXIFS(Acuses!$D$5:$D$3004,Acuses!$A$5:$A$3004,$A119,Acuses!$B$5:$B$3004,Z$4,Acuses!$C$5:$C$3004,Z$5),Z$8)&lt;Resumen!$C$4+30,"Caduca pronto","OK"))))))</f>
        <v/>
      </c>
      <c r="AA119" s="26" t="str">
        <f aca="false">IF(OR($A119="",AA$4=""),"",IF(NOT(OR(AA$6="Toda la plantilla",ISNUMBER(SEARCH(";"&amp;SUBSTITUTE($C119," ","")&amp;";",";"&amp;SUBSTITUTE(AA$7," ","")&amp;";")))),"—",IF(_xlfn.MAXIFS(Acuses!$C$5:$C$3004,Acuses!$A$5:$A$3004,$A119,Acuses!$B$5:$B$3004,AA$4)&lt;AA$5,"Pendiente",IF(AA$8=0,"OK",IF(EDATE(_xlfn.MAXIFS(Acuses!$D$5:$D$3004,Acuses!$A$5:$A$3004,$A119,Acuses!$B$5:$B$3004,AA$4,Acuses!$C$5:$C$3004,AA$5),AA$8)&lt;Resumen!$C$4,"Caducado",IF(EDATE(_xlfn.MAXIFS(Acuses!$D$5:$D$3004,Acuses!$A$5:$A$3004,$A119,Acuses!$B$5:$B$3004,AA$4,Acuses!$C$5:$C$3004,AA$5),AA$8)&lt;Resumen!$C$4+30,"Caduca pronto","OK"))))))</f>
        <v/>
      </c>
      <c r="AB119" s="26" t="str">
        <f aca="false">IF(OR($A119="",AB$4=""),"",IF(NOT(OR(AB$6="Toda la plantilla",ISNUMBER(SEARCH(";"&amp;SUBSTITUTE($C119," ","")&amp;";",";"&amp;SUBSTITUTE(AB$7," ","")&amp;";")))),"—",IF(_xlfn.MAXIFS(Acuses!$C$5:$C$3004,Acuses!$A$5:$A$3004,$A119,Acuses!$B$5:$B$3004,AB$4)&lt;AB$5,"Pendiente",IF(AB$8=0,"OK",IF(EDATE(_xlfn.MAXIFS(Acuses!$D$5:$D$3004,Acuses!$A$5:$A$3004,$A119,Acuses!$B$5:$B$3004,AB$4,Acuses!$C$5:$C$3004,AB$5),AB$8)&lt;Resumen!$C$4,"Caducado",IF(EDATE(_xlfn.MAXIFS(Acuses!$D$5:$D$3004,Acuses!$A$5:$A$3004,$A119,Acuses!$B$5:$B$3004,AB$4,Acuses!$C$5:$C$3004,AB$5),AB$8)&lt;Resumen!$C$4+30,"Caduca pronto","OK"))))))</f>
        <v/>
      </c>
      <c r="AC119" s="26" t="str">
        <f aca="false">IF(OR($A119="",AC$4=""),"",IF(NOT(OR(AC$6="Toda la plantilla",ISNUMBER(SEARCH(";"&amp;SUBSTITUTE($C119," ","")&amp;";",";"&amp;SUBSTITUTE(AC$7," ","")&amp;";")))),"—",IF(_xlfn.MAXIFS(Acuses!$C$5:$C$3004,Acuses!$A$5:$A$3004,$A119,Acuses!$B$5:$B$3004,AC$4)&lt;AC$5,"Pendiente",IF(AC$8=0,"OK",IF(EDATE(_xlfn.MAXIFS(Acuses!$D$5:$D$3004,Acuses!$A$5:$A$3004,$A119,Acuses!$B$5:$B$3004,AC$4,Acuses!$C$5:$C$3004,AC$5),AC$8)&lt;Resumen!$C$4,"Caducado",IF(EDATE(_xlfn.MAXIFS(Acuses!$D$5:$D$3004,Acuses!$A$5:$A$3004,$A119,Acuses!$B$5:$B$3004,AC$4,Acuses!$C$5:$C$3004,AC$5),AC$8)&lt;Resumen!$C$4+30,"Caduca pronto","OK"))))))</f>
        <v/>
      </c>
      <c r="AD119" s="26" t="str">
        <f aca="false">IF(OR($A119="",AD$4=""),"",IF(NOT(OR(AD$6="Toda la plantilla",ISNUMBER(SEARCH(";"&amp;SUBSTITUTE($C119," ","")&amp;";",";"&amp;SUBSTITUTE(AD$7," ","")&amp;";")))),"—",IF(_xlfn.MAXIFS(Acuses!$C$5:$C$3004,Acuses!$A$5:$A$3004,$A119,Acuses!$B$5:$B$3004,AD$4)&lt;AD$5,"Pendiente",IF(AD$8=0,"OK",IF(EDATE(_xlfn.MAXIFS(Acuses!$D$5:$D$3004,Acuses!$A$5:$A$3004,$A119,Acuses!$B$5:$B$3004,AD$4,Acuses!$C$5:$C$3004,AD$5),AD$8)&lt;Resumen!$C$4,"Caducado",IF(EDATE(_xlfn.MAXIFS(Acuses!$D$5:$D$3004,Acuses!$A$5:$A$3004,$A119,Acuses!$B$5:$B$3004,AD$4,Acuses!$C$5:$C$3004,AD$5),AD$8)&lt;Resumen!$C$4+30,"Caduca pronto","OK"))))))</f>
        <v/>
      </c>
      <c r="AE119" s="26" t="str">
        <f aca="false">IF(OR($A119="",AE$4=""),"",IF(NOT(OR(AE$6="Toda la plantilla",ISNUMBER(SEARCH(";"&amp;SUBSTITUTE($C119," ","")&amp;";",";"&amp;SUBSTITUTE(AE$7," ","")&amp;";")))),"—",IF(_xlfn.MAXIFS(Acuses!$C$5:$C$3004,Acuses!$A$5:$A$3004,$A119,Acuses!$B$5:$B$3004,AE$4)&lt;AE$5,"Pendiente",IF(AE$8=0,"OK",IF(EDATE(_xlfn.MAXIFS(Acuses!$D$5:$D$3004,Acuses!$A$5:$A$3004,$A119,Acuses!$B$5:$B$3004,AE$4,Acuses!$C$5:$C$3004,AE$5),AE$8)&lt;Resumen!$C$4,"Caducado",IF(EDATE(_xlfn.MAXIFS(Acuses!$D$5:$D$3004,Acuses!$A$5:$A$3004,$A119,Acuses!$B$5:$B$3004,AE$4,Acuses!$C$5:$C$3004,AE$5),AE$8)&lt;Resumen!$C$4+30,"Caduca pronto","OK"))))))</f>
        <v/>
      </c>
      <c r="AF119" s="26" t="str">
        <f aca="false">IF(OR($A119="",AF$4=""),"",IF(NOT(OR(AF$6="Toda la plantilla",ISNUMBER(SEARCH(";"&amp;SUBSTITUTE($C119," ","")&amp;";",";"&amp;SUBSTITUTE(AF$7," ","")&amp;";")))),"—",IF(_xlfn.MAXIFS(Acuses!$C$5:$C$3004,Acuses!$A$5:$A$3004,$A119,Acuses!$B$5:$B$3004,AF$4)&lt;AF$5,"Pendiente",IF(AF$8=0,"OK",IF(EDATE(_xlfn.MAXIFS(Acuses!$D$5:$D$3004,Acuses!$A$5:$A$3004,$A119,Acuses!$B$5:$B$3004,AF$4,Acuses!$C$5:$C$3004,AF$5),AF$8)&lt;Resumen!$C$4,"Caducado",IF(EDATE(_xlfn.MAXIFS(Acuses!$D$5:$D$3004,Acuses!$A$5:$A$3004,$A119,Acuses!$B$5:$B$3004,AF$4,Acuses!$C$5:$C$3004,AF$5),AF$8)&lt;Resumen!$C$4+30,"Caduca pronto","OK"))))))</f>
        <v/>
      </c>
      <c r="AG119" s="26" t="str">
        <f aca="false">IF(OR($A119="",AG$4=""),"",IF(NOT(OR(AG$6="Toda la plantilla",ISNUMBER(SEARCH(";"&amp;SUBSTITUTE($C119," ","")&amp;";",";"&amp;SUBSTITUTE(AG$7," ","")&amp;";")))),"—",IF(_xlfn.MAXIFS(Acuses!$C$5:$C$3004,Acuses!$A$5:$A$3004,$A119,Acuses!$B$5:$B$3004,AG$4)&lt;AG$5,"Pendiente",IF(AG$8=0,"OK",IF(EDATE(_xlfn.MAXIFS(Acuses!$D$5:$D$3004,Acuses!$A$5:$A$3004,$A119,Acuses!$B$5:$B$3004,AG$4,Acuses!$C$5:$C$3004,AG$5),AG$8)&lt;Resumen!$C$4,"Caducado",IF(EDATE(_xlfn.MAXIFS(Acuses!$D$5:$D$3004,Acuses!$A$5:$A$3004,$A119,Acuses!$B$5:$B$3004,AG$4,Acuses!$C$5:$C$3004,AG$5),AG$8)&lt;Resumen!$C$4+30,"Caduca pronto","OK"))))))</f>
        <v/>
      </c>
      <c r="AH119" s="26" t="str">
        <f aca="false">IF(OR($A119="",AH$4=""),"",IF(NOT(OR(AH$6="Toda la plantilla",ISNUMBER(SEARCH(";"&amp;SUBSTITUTE($C119," ","")&amp;";",";"&amp;SUBSTITUTE(AH$7," ","")&amp;";")))),"—",IF(_xlfn.MAXIFS(Acuses!$C$5:$C$3004,Acuses!$A$5:$A$3004,$A119,Acuses!$B$5:$B$3004,AH$4)&lt;AH$5,"Pendiente",IF(AH$8=0,"OK",IF(EDATE(_xlfn.MAXIFS(Acuses!$D$5:$D$3004,Acuses!$A$5:$A$3004,$A119,Acuses!$B$5:$B$3004,AH$4,Acuses!$C$5:$C$3004,AH$5),AH$8)&lt;Resumen!$C$4,"Caducado",IF(EDATE(_xlfn.MAXIFS(Acuses!$D$5:$D$3004,Acuses!$A$5:$A$3004,$A119,Acuses!$B$5:$B$3004,AH$4,Acuses!$C$5:$C$3004,AH$5),AH$8)&lt;Resumen!$C$4+30,"Caduca pronto","OK"))))))</f>
        <v/>
      </c>
      <c r="AI119" s="26" t="str">
        <f aca="false">IF(OR($A119="",AI$4=""),"",IF(NOT(OR(AI$6="Toda la plantilla",ISNUMBER(SEARCH(";"&amp;SUBSTITUTE($C119," ","")&amp;";",";"&amp;SUBSTITUTE(AI$7," ","")&amp;";")))),"—",IF(_xlfn.MAXIFS(Acuses!$C$5:$C$3004,Acuses!$A$5:$A$3004,$A119,Acuses!$B$5:$B$3004,AI$4)&lt;AI$5,"Pendiente",IF(AI$8=0,"OK",IF(EDATE(_xlfn.MAXIFS(Acuses!$D$5:$D$3004,Acuses!$A$5:$A$3004,$A119,Acuses!$B$5:$B$3004,AI$4,Acuses!$C$5:$C$3004,AI$5),AI$8)&lt;Resumen!$C$4,"Caducado",IF(EDATE(_xlfn.MAXIFS(Acuses!$D$5:$D$3004,Acuses!$A$5:$A$3004,$A119,Acuses!$B$5:$B$3004,AI$4,Acuses!$C$5:$C$3004,AI$5),AI$8)&lt;Resumen!$C$4+30,"Caduca pronto","OK"))))))</f>
        <v/>
      </c>
      <c r="AJ119" s="26" t="str">
        <f aca="false">IF(OR($A119="",AJ$4=""),"",IF(NOT(OR(AJ$6="Toda la plantilla",ISNUMBER(SEARCH(";"&amp;SUBSTITUTE($C119," ","")&amp;";",";"&amp;SUBSTITUTE(AJ$7," ","")&amp;";")))),"—",IF(_xlfn.MAXIFS(Acuses!$C$5:$C$3004,Acuses!$A$5:$A$3004,$A119,Acuses!$B$5:$B$3004,AJ$4)&lt;AJ$5,"Pendiente",IF(AJ$8=0,"OK",IF(EDATE(_xlfn.MAXIFS(Acuses!$D$5:$D$3004,Acuses!$A$5:$A$3004,$A119,Acuses!$B$5:$B$3004,AJ$4,Acuses!$C$5:$C$3004,AJ$5),AJ$8)&lt;Resumen!$C$4,"Caducado",IF(EDATE(_xlfn.MAXIFS(Acuses!$D$5:$D$3004,Acuses!$A$5:$A$3004,$A119,Acuses!$B$5:$B$3004,AJ$4,Acuses!$C$5:$C$3004,AJ$5),AJ$8)&lt;Resumen!$C$4+30,"Caduca pronto","OK"))))))</f>
        <v/>
      </c>
      <c r="AK119" s="26" t="str">
        <f aca="false">IF(OR($A119="",AK$4=""),"",IF(NOT(OR(AK$6="Toda la plantilla",ISNUMBER(SEARCH(";"&amp;SUBSTITUTE($C119," ","")&amp;";",";"&amp;SUBSTITUTE(AK$7," ","")&amp;";")))),"—",IF(_xlfn.MAXIFS(Acuses!$C$5:$C$3004,Acuses!$A$5:$A$3004,$A119,Acuses!$B$5:$B$3004,AK$4)&lt;AK$5,"Pendiente",IF(AK$8=0,"OK",IF(EDATE(_xlfn.MAXIFS(Acuses!$D$5:$D$3004,Acuses!$A$5:$A$3004,$A119,Acuses!$B$5:$B$3004,AK$4,Acuses!$C$5:$C$3004,AK$5),AK$8)&lt;Resumen!$C$4,"Caducado",IF(EDATE(_xlfn.MAXIFS(Acuses!$D$5:$D$3004,Acuses!$A$5:$A$3004,$A119,Acuses!$B$5:$B$3004,AK$4,Acuses!$C$5:$C$3004,AK$5),AK$8)&lt;Resumen!$C$4+30,"Caduca pronto","OK"))))))</f>
        <v/>
      </c>
      <c r="AL119" s="26" t="str">
        <f aca="false">IF(OR($A119="",AL$4=""),"",IF(NOT(OR(AL$6="Toda la plantilla",ISNUMBER(SEARCH(";"&amp;SUBSTITUTE($C119," ","")&amp;";",";"&amp;SUBSTITUTE(AL$7," ","")&amp;";")))),"—",IF(_xlfn.MAXIFS(Acuses!$C$5:$C$3004,Acuses!$A$5:$A$3004,$A119,Acuses!$B$5:$B$3004,AL$4)&lt;AL$5,"Pendiente",IF(AL$8=0,"OK",IF(EDATE(_xlfn.MAXIFS(Acuses!$D$5:$D$3004,Acuses!$A$5:$A$3004,$A119,Acuses!$B$5:$B$3004,AL$4,Acuses!$C$5:$C$3004,AL$5),AL$8)&lt;Resumen!$C$4,"Caducado",IF(EDATE(_xlfn.MAXIFS(Acuses!$D$5:$D$3004,Acuses!$A$5:$A$3004,$A119,Acuses!$B$5:$B$3004,AL$4,Acuses!$C$5:$C$3004,AL$5),AL$8)&lt;Resumen!$C$4+30,"Caduca pronto","OK"))))))</f>
        <v/>
      </c>
      <c r="AM119" s="26" t="str">
        <f aca="false">IF(OR($A119="",AM$4=""),"",IF(NOT(OR(AM$6="Toda la plantilla",ISNUMBER(SEARCH(";"&amp;SUBSTITUTE($C119," ","")&amp;";",";"&amp;SUBSTITUTE(AM$7," ","")&amp;";")))),"—",IF(_xlfn.MAXIFS(Acuses!$C$5:$C$3004,Acuses!$A$5:$A$3004,$A119,Acuses!$B$5:$B$3004,AM$4)&lt;AM$5,"Pendiente",IF(AM$8=0,"OK",IF(EDATE(_xlfn.MAXIFS(Acuses!$D$5:$D$3004,Acuses!$A$5:$A$3004,$A119,Acuses!$B$5:$B$3004,AM$4,Acuses!$C$5:$C$3004,AM$5),AM$8)&lt;Resumen!$C$4,"Caducado",IF(EDATE(_xlfn.MAXIFS(Acuses!$D$5:$D$3004,Acuses!$A$5:$A$3004,$A119,Acuses!$B$5:$B$3004,AM$4,Acuses!$C$5:$C$3004,AM$5),AM$8)&lt;Resumen!$C$4+30,"Caduca pronto","OK"))))))</f>
        <v/>
      </c>
      <c r="AN119" s="26" t="str">
        <f aca="false">IF(OR($A119="",AN$4=""),"",IF(NOT(OR(AN$6="Toda la plantilla",ISNUMBER(SEARCH(";"&amp;SUBSTITUTE($C119," ","")&amp;";",";"&amp;SUBSTITUTE(AN$7," ","")&amp;";")))),"—",IF(_xlfn.MAXIFS(Acuses!$C$5:$C$3004,Acuses!$A$5:$A$3004,$A119,Acuses!$B$5:$B$3004,AN$4)&lt;AN$5,"Pendiente",IF(AN$8=0,"OK",IF(EDATE(_xlfn.MAXIFS(Acuses!$D$5:$D$3004,Acuses!$A$5:$A$3004,$A119,Acuses!$B$5:$B$3004,AN$4,Acuses!$C$5:$C$3004,AN$5),AN$8)&lt;Resumen!$C$4,"Caducado",IF(EDATE(_xlfn.MAXIFS(Acuses!$D$5:$D$3004,Acuses!$A$5:$A$3004,$A119,Acuses!$B$5:$B$3004,AN$4,Acuses!$C$5:$C$3004,AN$5),AN$8)&lt;Resumen!$C$4+30,"Caduca pronto","OK"))))))</f>
        <v/>
      </c>
      <c r="AO119" s="26" t="str">
        <f aca="false">IF(OR($A119="",AO$4=""),"",IF(NOT(OR(AO$6="Toda la plantilla",ISNUMBER(SEARCH(";"&amp;SUBSTITUTE($C119," ","")&amp;";",";"&amp;SUBSTITUTE(AO$7," ","")&amp;";")))),"—",IF(_xlfn.MAXIFS(Acuses!$C$5:$C$3004,Acuses!$A$5:$A$3004,$A119,Acuses!$B$5:$B$3004,AO$4)&lt;AO$5,"Pendiente",IF(AO$8=0,"OK",IF(EDATE(_xlfn.MAXIFS(Acuses!$D$5:$D$3004,Acuses!$A$5:$A$3004,$A119,Acuses!$B$5:$B$3004,AO$4,Acuses!$C$5:$C$3004,AO$5),AO$8)&lt;Resumen!$C$4,"Caducado",IF(EDATE(_xlfn.MAXIFS(Acuses!$D$5:$D$3004,Acuses!$A$5:$A$3004,$A119,Acuses!$B$5:$B$3004,AO$4,Acuses!$C$5:$C$3004,AO$5),AO$8)&lt;Resumen!$C$4+30,"Caduca pronto","OK"))))))</f>
        <v/>
      </c>
      <c r="AP119" s="26" t="str">
        <f aca="false">IF(OR($A119="",AP$4=""),"",IF(NOT(OR(AP$6="Toda la plantilla",ISNUMBER(SEARCH(";"&amp;SUBSTITUTE($C119," ","")&amp;";",";"&amp;SUBSTITUTE(AP$7," ","")&amp;";")))),"—",IF(_xlfn.MAXIFS(Acuses!$C$5:$C$3004,Acuses!$A$5:$A$3004,$A119,Acuses!$B$5:$B$3004,AP$4)&lt;AP$5,"Pendiente",IF(AP$8=0,"OK",IF(EDATE(_xlfn.MAXIFS(Acuses!$D$5:$D$3004,Acuses!$A$5:$A$3004,$A119,Acuses!$B$5:$B$3004,AP$4,Acuses!$C$5:$C$3004,AP$5),AP$8)&lt;Resumen!$C$4,"Caducado",IF(EDATE(_xlfn.MAXIFS(Acuses!$D$5:$D$3004,Acuses!$A$5:$A$3004,$A119,Acuses!$B$5:$B$3004,AP$4,Acuses!$C$5:$C$3004,AP$5),AP$8)&lt;Resumen!$C$4+30,"Caduca pronto","OK"))))))</f>
        <v/>
      </c>
      <c r="AQ119" s="26" t="str">
        <f aca="false">IF(OR($A119="",AQ$4=""),"",IF(NOT(OR(AQ$6="Toda la plantilla",ISNUMBER(SEARCH(";"&amp;SUBSTITUTE($C119," ","")&amp;";",";"&amp;SUBSTITUTE(AQ$7," ","")&amp;";")))),"—",IF(_xlfn.MAXIFS(Acuses!$C$5:$C$3004,Acuses!$A$5:$A$3004,$A119,Acuses!$B$5:$B$3004,AQ$4)&lt;AQ$5,"Pendiente",IF(AQ$8=0,"OK",IF(EDATE(_xlfn.MAXIFS(Acuses!$D$5:$D$3004,Acuses!$A$5:$A$3004,$A119,Acuses!$B$5:$B$3004,AQ$4,Acuses!$C$5:$C$3004,AQ$5),AQ$8)&lt;Resumen!$C$4,"Caducado",IF(EDATE(_xlfn.MAXIFS(Acuses!$D$5:$D$3004,Acuses!$A$5:$A$3004,$A119,Acuses!$B$5:$B$3004,AQ$4,Acuses!$C$5:$C$3004,AQ$5),AQ$8)&lt;Resumen!$C$4+30,"Caduca pronto","OK"))))))</f>
        <v/>
      </c>
    </row>
    <row r="120" customFormat="false" ht="15" hidden="false" customHeight="false" outlineLevel="0" collapsed="false">
      <c r="A120" s="25" t="str">
        <f aca="false">IF(AND(Trabajadores!$A$115&lt;&gt;"",Trabajadores!$G$115&lt;&gt;"No"),Trabajadores!$A$115,"")</f>
        <v/>
      </c>
      <c r="B120" s="25" t="str">
        <f aca="false">IF($A120="","",Trabajadores!$B$115)</f>
        <v/>
      </c>
      <c r="C120" s="25" t="str">
        <f aca="false">IF($A120="","",Trabajadores!$C$115)</f>
        <v/>
      </c>
      <c r="D120" s="26" t="str">
        <f aca="false">IF(OR($A120="",D$4=""),"",IF(NOT(OR(D$6="Toda la plantilla",ISNUMBER(SEARCH(";"&amp;SUBSTITUTE($C120," ","")&amp;";",";"&amp;SUBSTITUTE(D$7," ","")&amp;";")))),"—",IF(_xlfn.MAXIFS(Acuses!$C$5:$C$3004,Acuses!$A$5:$A$3004,$A120,Acuses!$B$5:$B$3004,D$4)&lt;D$5,"Pendiente",IF(D$8=0,"OK",IF(EDATE(_xlfn.MAXIFS(Acuses!$D$5:$D$3004,Acuses!$A$5:$A$3004,$A120,Acuses!$B$5:$B$3004,D$4,Acuses!$C$5:$C$3004,D$5),D$8)&lt;Resumen!$C$4,"Caducado",IF(EDATE(_xlfn.MAXIFS(Acuses!$D$5:$D$3004,Acuses!$A$5:$A$3004,$A120,Acuses!$B$5:$B$3004,D$4,Acuses!$C$5:$C$3004,D$5),D$8)&lt;Resumen!$C$4+30,"Caduca pronto","OK"))))))</f>
        <v/>
      </c>
      <c r="E120" s="26" t="str">
        <f aca="false">IF(OR($A120="",E$4=""),"",IF(NOT(OR(E$6="Toda la plantilla",ISNUMBER(SEARCH(";"&amp;SUBSTITUTE($C120," ","")&amp;";",";"&amp;SUBSTITUTE(E$7," ","")&amp;";")))),"—",IF(_xlfn.MAXIFS(Acuses!$C$5:$C$3004,Acuses!$A$5:$A$3004,$A120,Acuses!$B$5:$B$3004,E$4)&lt;E$5,"Pendiente",IF(E$8=0,"OK",IF(EDATE(_xlfn.MAXIFS(Acuses!$D$5:$D$3004,Acuses!$A$5:$A$3004,$A120,Acuses!$B$5:$B$3004,E$4,Acuses!$C$5:$C$3004,E$5),E$8)&lt;Resumen!$C$4,"Caducado",IF(EDATE(_xlfn.MAXIFS(Acuses!$D$5:$D$3004,Acuses!$A$5:$A$3004,$A120,Acuses!$B$5:$B$3004,E$4,Acuses!$C$5:$C$3004,E$5),E$8)&lt;Resumen!$C$4+30,"Caduca pronto","OK"))))))</f>
        <v/>
      </c>
      <c r="F120" s="26" t="str">
        <f aca="false">IF(OR($A120="",F$4=""),"",IF(NOT(OR(F$6="Toda la plantilla",ISNUMBER(SEARCH(";"&amp;SUBSTITUTE($C120," ","")&amp;";",";"&amp;SUBSTITUTE(F$7," ","")&amp;";")))),"—",IF(_xlfn.MAXIFS(Acuses!$C$5:$C$3004,Acuses!$A$5:$A$3004,$A120,Acuses!$B$5:$B$3004,F$4)&lt;F$5,"Pendiente",IF(F$8=0,"OK",IF(EDATE(_xlfn.MAXIFS(Acuses!$D$5:$D$3004,Acuses!$A$5:$A$3004,$A120,Acuses!$B$5:$B$3004,F$4,Acuses!$C$5:$C$3004,F$5),F$8)&lt;Resumen!$C$4,"Caducado",IF(EDATE(_xlfn.MAXIFS(Acuses!$D$5:$D$3004,Acuses!$A$5:$A$3004,$A120,Acuses!$B$5:$B$3004,F$4,Acuses!$C$5:$C$3004,F$5),F$8)&lt;Resumen!$C$4+30,"Caduca pronto","OK"))))))</f>
        <v/>
      </c>
      <c r="G120" s="26" t="str">
        <f aca="false">IF(OR($A120="",G$4=""),"",IF(NOT(OR(G$6="Toda la plantilla",ISNUMBER(SEARCH(";"&amp;SUBSTITUTE($C120," ","")&amp;";",";"&amp;SUBSTITUTE(G$7," ","")&amp;";")))),"—",IF(_xlfn.MAXIFS(Acuses!$C$5:$C$3004,Acuses!$A$5:$A$3004,$A120,Acuses!$B$5:$B$3004,G$4)&lt;G$5,"Pendiente",IF(G$8=0,"OK",IF(EDATE(_xlfn.MAXIFS(Acuses!$D$5:$D$3004,Acuses!$A$5:$A$3004,$A120,Acuses!$B$5:$B$3004,G$4,Acuses!$C$5:$C$3004,G$5),G$8)&lt;Resumen!$C$4,"Caducado",IF(EDATE(_xlfn.MAXIFS(Acuses!$D$5:$D$3004,Acuses!$A$5:$A$3004,$A120,Acuses!$B$5:$B$3004,G$4,Acuses!$C$5:$C$3004,G$5),G$8)&lt;Resumen!$C$4+30,"Caduca pronto","OK"))))))</f>
        <v/>
      </c>
      <c r="H120" s="26" t="str">
        <f aca="false">IF(OR($A120="",H$4=""),"",IF(NOT(OR(H$6="Toda la plantilla",ISNUMBER(SEARCH(";"&amp;SUBSTITUTE($C120," ","")&amp;";",";"&amp;SUBSTITUTE(H$7," ","")&amp;";")))),"—",IF(_xlfn.MAXIFS(Acuses!$C$5:$C$3004,Acuses!$A$5:$A$3004,$A120,Acuses!$B$5:$B$3004,H$4)&lt;H$5,"Pendiente",IF(H$8=0,"OK",IF(EDATE(_xlfn.MAXIFS(Acuses!$D$5:$D$3004,Acuses!$A$5:$A$3004,$A120,Acuses!$B$5:$B$3004,H$4,Acuses!$C$5:$C$3004,H$5),H$8)&lt;Resumen!$C$4,"Caducado",IF(EDATE(_xlfn.MAXIFS(Acuses!$D$5:$D$3004,Acuses!$A$5:$A$3004,$A120,Acuses!$B$5:$B$3004,H$4,Acuses!$C$5:$C$3004,H$5),H$8)&lt;Resumen!$C$4+30,"Caduca pronto","OK"))))))</f>
        <v/>
      </c>
      <c r="I120" s="26" t="str">
        <f aca="false">IF(OR($A120="",I$4=""),"",IF(NOT(OR(I$6="Toda la plantilla",ISNUMBER(SEARCH(";"&amp;SUBSTITUTE($C120," ","")&amp;";",";"&amp;SUBSTITUTE(I$7," ","")&amp;";")))),"—",IF(_xlfn.MAXIFS(Acuses!$C$5:$C$3004,Acuses!$A$5:$A$3004,$A120,Acuses!$B$5:$B$3004,I$4)&lt;I$5,"Pendiente",IF(I$8=0,"OK",IF(EDATE(_xlfn.MAXIFS(Acuses!$D$5:$D$3004,Acuses!$A$5:$A$3004,$A120,Acuses!$B$5:$B$3004,I$4,Acuses!$C$5:$C$3004,I$5),I$8)&lt;Resumen!$C$4,"Caducado",IF(EDATE(_xlfn.MAXIFS(Acuses!$D$5:$D$3004,Acuses!$A$5:$A$3004,$A120,Acuses!$B$5:$B$3004,I$4,Acuses!$C$5:$C$3004,I$5),I$8)&lt;Resumen!$C$4+30,"Caduca pronto","OK"))))))</f>
        <v/>
      </c>
      <c r="J120" s="26" t="str">
        <f aca="false">IF(OR($A120="",J$4=""),"",IF(NOT(OR(J$6="Toda la plantilla",ISNUMBER(SEARCH(";"&amp;SUBSTITUTE($C120," ","")&amp;";",";"&amp;SUBSTITUTE(J$7," ","")&amp;";")))),"—",IF(_xlfn.MAXIFS(Acuses!$C$5:$C$3004,Acuses!$A$5:$A$3004,$A120,Acuses!$B$5:$B$3004,J$4)&lt;J$5,"Pendiente",IF(J$8=0,"OK",IF(EDATE(_xlfn.MAXIFS(Acuses!$D$5:$D$3004,Acuses!$A$5:$A$3004,$A120,Acuses!$B$5:$B$3004,J$4,Acuses!$C$5:$C$3004,J$5),J$8)&lt;Resumen!$C$4,"Caducado",IF(EDATE(_xlfn.MAXIFS(Acuses!$D$5:$D$3004,Acuses!$A$5:$A$3004,$A120,Acuses!$B$5:$B$3004,J$4,Acuses!$C$5:$C$3004,J$5),J$8)&lt;Resumen!$C$4+30,"Caduca pronto","OK"))))))</f>
        <v/>
      </c>
      <c r="K120" s="26" t="str">
        <f aca="false">IF(OR($A120="",K$4=""),"",IF(NOT(OR(K$6="Toda la plantilla",ISNUMBER(SEARCH(";"&amp;SUBSTITUTE($C120," ","")&amp;";",";"&amp;SUBSTITUTE(K$7," ","")&amp;";")))),"—",IF(_xlfn.MAXIFS(Acuses!$C$5:$C$3004,Acuses!$A$5:$A$3004,$A120,Acuses!$B$5:$B$3004,K$4)&lt;K$5,"Pendiente",IF(K$8=0,"OK",IF(EDATE(_xlfn.MAXIFS(Acuses!$D$5:$D$3004,Acuses!$A$5:$A$3004,$A120,Acuses!$B$5:$B$3004,K$4,Acuses!$C$5:$C$3004,K$5),K$8)&lt;Resumen!$C$4,"Caducado",IF(EDATE(_xlfn.MAXIFS(Acuses!$D$5:$D$3004,Acuses!$A$5:$A$3004,$A120,Acuses!$B$5:$B$3004,K$4,Acuses!$C$5:$C$3004,K$5),K$8)&lt;Resumen!$C$4+30,"Caduca pronto","OK"))))))</f>
        <v/>
      </c>
      <c r="L120" s="26" t="str">
        <f aca="false">IF(OR($A120="",L$4=""),"",IF(NOT(OR(L$6="Toda la plantilla",ISNUMBER(SEARCH(";"&amp;SUBSTITUTE($C120," ","")&amp;";",";"&amp;SUBSTITUTE(L$7," ","")&amp;";")))),"—",IF(_xlfn.MAXIFS(Acuses!$C$5:$C$3004,Acuses!$A$5:$A$3004,$A120,Acuses!$B$5:$B$3004,L$4)&lt;L$5,"Pendiente",IF(L$8=0,"OK",IF(EDATE(_xlfn.MAXIFS(Acuses!$D$5:$D$3004,Acuses!$A$5:$A$3004,$A120,Acuses!$B$5:$B$3004,L$4,Acuses!$C$5:$C$3004,L$5),L$8)&lt;Resumen!$C$4,"Caducado",IF(EDATE(_xlfn.MAXIFS(Acuses!$D$5:$D$3004,Acuses!$A$5:$A$3004,$A120,Acuses!$B$5:$B$3004,L$4,Acuses!$C$5:$C$3004,L$5),L$8)&lt;Resumen!$C$4+30,"Caduca pronto","OK"))))))</f>
        <v/>
      </c>
      <c r="M120" s="26" t="str">
        <f aca="false">IF(OR($A120="",M$4=""),"",IF(NOT(OR(M$6="Toda la plantilla",ISNUMBER(SEARCH(";"&amp;SUBSTITUTE($C120," ","")&amp;";",";"&amp;SUBSTITUTE(M$7," ","")&amp;";")))),"—",IF(_xlfn.MAXIFS(Acuses!$C$5:$C$3004,Acuses!$A$5:$A$3004,$A120,Acuses!$B$5:$B$3004,M$4)&lt;M$5,"Pendiente",IF(M$8=0,"OK",IF(EDATE(_xlfn.MAXIFS(Acuses!$D$5:$D$3004,Acuses!$A$5:$A$3004,$A120,Acuses!$B$5:$B$3004,M$4,Acuses!$C$5:$C$3004,M$5),M$8)&lt;Resumen!$C$4,"Caducado",IF(EDATE(_xlfn.MAXIFS(Acuses!$D$5:$D$3004,Acuses!$A$5:$A$3004,$A120,Acuses!$B$5:$B$3004,M$4,Acuses!$C$5:$C$3004,M$5),M$8)&lt;Resumen!$C$4+30,"Caduca pronto","OK"))))))</f>
        <v/>
      </c>
      <c r="N120" s="26" t="str">
        <f aca="false">IF(OR($A120="",N$4=""),"",IF(NOT(OR(N$6="Toda la plantilla",ISNUMBER(SEARCH(";"&amp;SUBSTITUTE($C120," ","")&amp;";",";"&amp;SUBSTITUTE(N$7," ","")&amp;";")))),"—",IF(_xlfn.MAXIFS(Acuses!$C$5:$C$3004,Acuses!$A$5:$A$3004,$A120,Acuses!$B$5:$B$3004,N$4)&lt;N$5,"Pendiente",IF(N$8=0,"OK",IF(EDATE(_xlfn.MAXIFS(Acuses!$D$5:$D$3004,Acuses!$A$5:$A$3004,$A120,Acuses!$B$5:$B$3004,N$4,Acuses!$C$5:$C$3004,N$5),N$8)&lt;Resumen!$C$4,"Caducado",IF(EDATE(_xlfn.MAXIFS(Acuses!$D$5:$D$3004,Acuses!$A$5:$A$3004,$A120,Acuses!$B$5:$B$3004,N$4,Acuses!$C$5:$C$3004,N$5),N$8)&lt;Resumen!$C$4+30,"Caduca pronto","OK"))))))</f>
        <v/>
      </c>
      <c r="O120" s="26" t="str">
        <f aca="false">IF(OR($A120="",O$4=""),"",IF(NOT(OR(O$6="Toda la plantilla",ISNUMBER(SEARCH(";"&amp;SUBSTITUTE($C120," ","")&amp;";",";"&amp;SUBSTITUTE(O$7," ","")&amp;";")))),"—",IF(_xlfn.MAXIFS(Acuses!$C$5:$C$3004,Acuses!$A$5:$A$3004,$A120,Acuses!$B$5:$B$3004,O$4)&lt;O$5,"Pendiente",IF(O$8=0,"OK",IF(EDATE(_xlfn.MAXIFS(Acuses!$D$5:$D$3004,Acuses!$A$5:$A$3004,$A120,Acuses!$B$5:$B$3004,O$4,Acuses!$C$5:$C$3004,O$5),O$8)&lt;Resumen!$C$4,"Caducado",IF(EDATE(_xlfn.MAXIFS(Acuses!$D$5:$D$3004,Acuses!$A$5:$A$3004,$A120,Acuses!$B$5:$B$3004,O$4,Acuses!$C$5:$C$3004,O$5),O$8)&lt;Resumen!$C$4+30,"Caduca pronto","OK"))))))</f>
        <v/>
      </c>
      <c r="P120" s="26" t="str">
        <f aca="false">IF(OR($A120="",P$4=""),"",IF(NOT(OR(P$6="Toda la plantilla",ISNUMBER(SEARCH(";"&amp;SUBSTITUTE($C120," ","")&amp;";",";"&amp;SUBSTITUTE(P$7," ","")&amp;";")))),"—",IF(_xlfn.MAXIFS(Acuses!$C$5:$C$3004,Acuses!$A$5:$A$3004,$A120,Acuses!$B$5:$B$3004,P$4)&lt;P$5,"Pendiente",IF(P$8=0,"OK",IF(EDATE(_xlfn.MAXIFS(Acuses!$D$5:$D$3004,Acuses!$A$5:$A$3004,$A120,Acuses!$B$5:$B$3004,P$4,Acuses!$C$5:$C$3004,P$5),P$8)&lt;Resumen!$C$4,"Caducado",IF(EDATE(_xlfn.MAXIFS(Acuses!$D$5:$D$3004,Acuses!$A$5:$A$3004,$A120,Acuses!$B$5:$B$3004,P$4,Acuses!$C$5:$C$3004,P$5),P$8)&lt;Resumen!$C$4+30,"Caduca pronto","OK"))))))</f>
        <v/>
      </c>
      <c r="Q120" s="26" t="str">
        <f aca="false">IF(OR($A120="",Q$4=""),"",IF(NOT(OR(Q$6="Toda la plantilla",ISNUMBER(SEARCH(";"&amp;SUBSTITUTE($C120," ","")&amp;";",";"&amp;SUBSTITUTE(Q$7," ","")&amp;";")))),"—",IF(_xlfn.MAXIFS(Acuses!$C$5:$C$3004,Acuses!$A$5:$A$3004,$A120,Acuses!$B$5:$B$3004,Q$4)&lt;Q$5,"Pendiente",IF(Q$8=0,"OK",IF(EDATE(_xlfn.MAXIFS(Acuses!$D$5:$D$3004,Acuses!$A$5:$A$3004,$A120,Acuses!$B$5:$B$3004,Q$4,Acuses!$C$5:$C$3004,Q$5),Q$8)&lt;Resumen!$C$4,"Caducado",IF(EDATE(_xlfn.MAXIFS(Acuses!$D$5:$D$3004,Acuses!$A$5:$A$3004,$A120,Acuses!$B$5:$B$3004,Q$4,Acuses!$C$5:$C$3004,Q$5),Q$8)&lt;Resumen!$C$4+30,"Caduca pronto","OK"))))))</f>
        <v/>
      </c>
      <c r="R120" s="26" t="str">
        <f aca="false">IF(OR($A120="",R$4=""),"",IF(NOT(OR(R$6="Toda la plantilla",ISNUMBER(SEARCH(";"&amp;SUBSTITUTE($C120," ","")&amp;";",";"&amp;SUBSTITUTE(R$7," ","")&amp;";")))),"—",IF(_xlfn.MAXIFS(Acuses!$C$5:$C$3004,Acuses!$A$5:$A$3004,$A120,Acuses!$B$5:$B$3004,R$4)&lt;R$5,"Pendiente",IF(R$8=0,"OK",IF(EDATE(_xlfn.MAXIFS(Acuses!$D$5:$D$3004,Acuses!$A$5:$A$3004,$A120,Acuses!$B$5:$B$3004,R$4,Acuses!$C$5:$C$3004,R$5),R$8)&lt;Resumen!$C$4,"Caducado",IF(EDATE(_xlfn.MAXIFS(Acuses!$D$5:$D$3004,Acuses!$A$5:$A$3004,$A120,Acuses!$B$5:$B$3004,R$4,Acuses!$C$5:$C$3004,R$5),R$8)&lt;Resumen!$C$4+30,"Caduca pronto","OK"))))))</f>
        <v/>
      </c>
      <c r="S120" s="26" t="str">
        <f aca="false">IF(OR($A120="",S$4=""),"",IF(NOT(OR(S$6="Toda la plantilla",ISNUMBER(SEARCH(";"&amp;SUBSTITUTE($C120," ","")&amp;";",";"&amp;SUBSTITUTE(S$7," ","")&amp;";")))),"—",IF(_xlfn.MAXIFS(Acuses!$C$5:$C$3004,Acuses!$A$5:$A$3004,$A120,Acuses!$B$5:$B$3004,S$4)&lt;S$5,"Pendiente",IF(S$8=0,"OK",IF(EDATE(_xlfn.MAXIFS(Acuses!$D$5:$D$3004,Acuses!$A$5:$A$3004,$A120,Acuses!$B$5:$B$3004,S$4,Acuses!$C$5:$C$3004,S$5),S$8)&lt;Resumen!$C$4,"Caducado",IF(EDATE(_xlfn.MAXIFS(Acuses!$D$5:$D$3004,Acuses!$A$5:$A$3004,$A120,Acuses!$B$5:$B$3004,S$4,Acuses!$C$5:$C$3004,S$5),S$8)&lt;Resumen!$C$4+30,"Caduca pronto","OK"))))))</f>
        <v/>
      </c>
      <c r="T120" s="26" t="str">
        <f aca="false">IF(OR($A120="",T$4=""),"",IF(NOT(OR(T$6="Toda la plantilla",ISNUMBER(SEARCH(";"&amp;SUBSTITUTE($C120," ","")&amp;";",";"&amp;SUBSTITUTE(T$7," ","")&amp;";")))),"—",IF(_xlfn.MAXIFS(Acuses!$C$5:$C$3004,Acuses!$A$5:$A$3004,$A120,Acuses!$B$5:$B$3004,T$4)&lt;T$5,"Pendiente",IF(T$8=0,"OK",IF(EDATE(_xlfn.MAXIFS(Acuses!$D$5:$D$3004,Acuses!$A$5:$A$3004,$A120,Acuses!$B$5:$B$3004,T$4,Acuses!$C$5:$C$3004,T$5),T$8)&lt;Resumen!$C$4,"Caducado",IF(EDATE(_xlfn.MAXIFS(Acuses!$D$5:$D$3004,Acuses!$A$5:$A$3004,$A120,Acuses!$B$5:$B$3004,T$4,Acuses!$C$5:$C$3004,T$5),T$8)&lt;Resumen!$C$4+30,"Caduca pronto","OK"))))))</f>
        <v/>
      </c>
      <c r="U120" s="26" t="str">
        <f aca="false">IF(OR($A120="",U$4=""),"",IF(NOT(OR(U$6="Toda la plantilla",ISNUMBER(SEARCH(";"&amp;SUBSTITUTE($C120," ","")&amp;";",";"&amp;SUBSTITUTE(U$7," ","")&amp;";")))),"—",IF(_xlfn.MAXIFS(Acuses!$C$5:$C$3004,Acuses!$A$5:$A$3004,$A120,Acuses!$B$5:$B$3004,U$4)&lt;U$5,"Pendiente",IF(U$8=0,"OK",IF(EDATE(_xlfn.MAXIFS(Acuses!$D$5:$D$3004,Acuses!$A$5:$A$3004,$A120,Acuses!$B$5:$B$3004,U$4,Acuses!$C$5:$C$3004,U$5),U$8)&lt;Resumen!$C$4,"Caducado",IF(EDATE(_xlfn.MAXIFS(Acuses!$D$5:$D$3004,Acuses!$A$5:$A$3004,$A120,Acuses!$B$5:$B$3004,U$4,Acuses!$C$5:$C$3004,U$5),U$8)&lt;Resumen!$C$4+30,"Caduca pronto","OK"))))))</f>
        <v/>
      </c>
      <c r="V120" s="26" t="str">
        <f aca="false">IF(OR($A120="",V$4=""),"",IF(NOT(OR(V$6="Toda la plantilla",ISNUMBER(SEARCH(";"&amp;SUBSTITUTE($C120," ","")&amp;";",";"&amp;SUBSTITUTE(V$7," ","")&amp;";")))),"—",IF(_xlfn.MAXIFS(Acuses!$C$5:$C$3004,Acuses!$A$5:$A$3004,$A120,Acuses!$B$5:$B$3004,V$4)&lt;V$5,"Pendiente",IF(V$8=0,"OK",IF(EDATE(_xlfn.MAXIFS(Acuses!$D$5:$D$3004,Acuses!$A$5:$A$3004,$A120,Acuses!$B$5:$B$3004,V$4,Acuses!$C$5:$C$3004,V$5),V$8)&lt;Resumen!$C$4,"Caducado",IF(EDATE(_xlfn.MAXIFS(Acuses!$D$5:$D$3004,Acuses!$A$5:$A$3004,$A120,Acuses!$B$5:$B$3004,V$4,Acuses!$C$5:$C$3004,V$5),V$8)&lt;Resumen!$C$4+30,"Caduca pronto","OK"))))))</f>
        <v/>
      </c>
      <c r="W120" s="26" t="str">
        <f aca="false">IF(OR($A120="",W$4=""),"",IF(NOT(OR(W$6="Toda la plantilla",ISNUMBER(SEARCH(";"&amp;SUBSTITUTE($C120," ","")&amp;";",";"&amp;SUBSTITUTE(W$7," ","")&amp;";")))),"—",IF(_xlfn.MAXIFS(Acuses!$C$5:$C$3004,Acuses!$A$5:$A$3004,$A120,Acuses!$B$5:$B$3004,W$4)&lt;W$5,"Pendiente",IF(W$8=0,"OK",IF(EDATE(_xlfn.MAXIFS(Acuses!$D$5:$D$3004,Acuses!$A$5:$A$3004,$A120,Acuses!$B$5:$B$3004,W$4,Acuses!$C$5:$C$3004,W$5),W$8)&lt;Resumen!$C$4,"Caducado",IF(EDATE(_xlfn.MAXIFS(Acuses!$D$5:$D$3004,Acuses!$A$5:$A$3004,$A120,Acuses!$B$5:$B$3004,W$4,Acuses!$C$5:$C$3004,W$5),W$8)&lt;Resumen!$C$4+30,"Caduca pronto","OK"))))))</f>
        <v/>
      </c>
      <c r="X120" s="26" t="str">
        <f aca="false">IF(OR($A120="",X$4=""),"",IF(NOT(OR(X$6="Toda la plantilla",ISNUMBER(SEARCH(";"&amp;SUBSTITUTE($C120," ","")&amp;";",";"&amp;SUBSTITUTE(X$7," ","")&amp;";")))),"—",IF(_xlfn.MAXIFS(Acuses!$C$5:$C$3004,Acuses!$A$5:$A$3004,$A120,Acuses!$B$5:$B$3004,X$4)&lt;X$5,"Pendiente",IF(X$8=0,"OK",IF(EDATE(_xlfn.MAXIFS(Acuses!$D$5:$D$3004,Acuses!$A$5:$A$3004,$A120,Acuses!$B$5:$B$3004,X$4,Acuses!$C$5:$C$3004,X$5),X$8)&lt;Resumen!$C$4,"Caducado",IF(EDATE(_xlfn.MAXIFS(Acuses!$D$5:$D$3004,Acuses!$A$5:$A$3004,$A120,Acuses!$B$5:$B$3004,X$4,Acuses!$C$5:$C$3004,X$5),X$8)&lt;Resumen!$C$4+30,"Caduca pronto","OK"))))))</f>
        <v/>
      </c>
      <c r="Y120" s="26" t="str">
        <f aca="false">IF(OR($A120="",Y$4=""),"",IF(NOT(OR(Y$6="Toda la plantilla",ISNUMBER(SEARCH(";"&amp;SUBSTITUTE($C120," ","")&amp;";",";"&amp;SUBSTITUTE(Y$7," ","")&amp;";")))),"—",IF(_xlfn.MAXIFS(Acuses!$C$5:$C$3004,Acuses!$A$5:$A$3004,$A120,Acuses!$B$5:$B$3004,Y$4)&lt;Y$5,"Pendiente",IF(Y$8=0,"OK",IF(EDATE(_xlfn.MAXIFS(Acuses!$D$5:$D$3004,Acuses!$A$5:$A$3004,$A120,Acuses!$B$5:$B$3004,Y$4,Acuses!$C$5:$C$3004,Y$5),Y$8)&lt;Resumen!$C$4,"Caducado",IF(EDATE(_xlfn.MAXIFS(Acuses!$D$5:$D$3004,Acuses!$A$5:$A$3004,$A120,Acuses!$B$5:$B$3004,Y$4,Acuses!$C$5:$C$3004,Y$5),Y$8)&lt;Resumen!$C$4+30,"Caduca pronto","OK"))))))</f>
        <v/>
      </c>
      <c r="Z120" s="26" t="str">
        <f aca="false">IF(OR($A120="",Z$4=""),"",IF(NOT(OR(Z$6="Toda la plantilla",ISNUMBER(SEARCH(";"&amp;SUBSTITUTE($C120," ","")&amp;";",";"&amp;SUBSTITUTE(Z$7," ","")&amp;";")))),"—",IF(_xlfn.MAXIFS(Acuses!$C$5:$C$3004,Acuses!$A$5:$A$3004,$A120,Acuses!$B$5:$B$3004,Z$4)&lt;Z$5,"Pendiente",IF(Z$8=0,"OK",IF(EDATE(_xlfn.MAXIFS(Acuses!$D$5:$D$3004,Acuses!$A$5:$A$3004,$A120,Acuses!$B$5:$B$3004,Z$4,Acuses!$C$5:$C$3004,Z$5),Z$8)&lt;Resumen!$C$4,"Caducado",IF(EDATE(_xlfn.MAXIFS(Acuses!$D$5:$D$3004,Acuses!$A$5:$A$3004,$A120,Acuses!$B$5:$B$3004,Z$4,Acuses!$C$5:$C$3004,Z$5),Z$8)&lt;Resumen!$C$4+30,"Caduca pronto","OK"))))))</f>
        <v/>
      </c>
      <c r="AA120" s="26" t="str">
        <f aca="false">IF(OR($A120="",AA$4=""),"",IF(NOT(OR(AA$6="Toda la plantilla",ISNUMBER(SEARCH(";"&amp;SUBSTITUTE($C120," ","")&amp;";",";"&amp;SUBSTITUTE(AA$7," ","")&amp;";")))),"—",IF(_xlfn.MAXIFS(Acuses!$C$5:$C$3004,Acuses!$A$5:$A$3004,$A120,Acuses!$B$5:$B$3004,AA$4)&lt;AA$5,"Pendiente",IF(AA$8=0,"OK",IF(EDATE(_xlfn.MAXIFS(Acuses!$D$5:$D$3004,Acuses!$A$5:$A$3004,$A120,Acuses!$B$5:$B$3004,AA$4,Acuses!$C$5:$C$3004,AA$5),AA$8)&lt;Resumen!$C$4,"Caducado",IF(EDATE(_xlfn.MAXIFS(Acuses!$D$5:$D$3004,Acuses!$A$5:$A$3004,$A120,Acuses!$B$5:$B$3004,AA$4,Acuses!$C$5:$C$3004,AA$5),AA$8)&lt;Resumen!$C$4+30,"Caduca pronto","OK"))))))</f>
        <v/>
      </c>
      <c r="AB120" s="26" t="str">
        <f aca="false">IF(OR($A120="",AB$4=""),"",IF(NOT(OR(AB$6="Toda la plantilla",ISNUMBER(SEARCH(";"&amp;SUBSTITUTE($C120," ","")&amp;";",";"&amp;SUBSTITUTE(AB$7," ","")&amp;";")))),"—",IF(_xlfn.MAXIFS(Acuses!$C$5:$C$3004,Acuses!$A$5:$A$3004,$A120,Acuses!$B$5:$B$3004,AB$4)&lt;AB$5,"Pendiente",IF(AB$8=0,"OK",IF(EDATE(_xlfn.MAXIFS(Acuses!$D$5:$D$3004,Acuses!$A$5:$A$3004,$A120,Acuses!$B$5:$B$3004,AB$4,Acuses!$C$5:$C$3004,AB$5),AB$8)&lt;Resumen!$C$4,"Caducado",IF(EDATE(_xlfn.MAXIFS(Acuses!$D$5:$D$3004,Acuses!$A$5:$A$3004,$A120,Acuses!$B$5:$B$3004,AB$4,Acuses!$C$5:$C$3004,AB$5),AB$8)&lt;Resumen!$C$4+30,"Caduca pronto","OK"))))))</f>
        <v/>
      </c>
      <c r="AC120" s="26" t="str">
        <f aca="false">IF(OR($A120="",AC$4=""),"",IF(NOT(OR(AC$6="Toda la plantilla",ISNUMBER(SEARCH(";"&amp;SUBSTITUTE($C120," ","")&amp;";",";"&amp;SUBSTITUTE(AC$7," ","")&amp;";")))),"—",IF(_xlfn.MAXIFS(Acuses!$C$5:$C$3004,Acuses!$A$5:$A$3004,$A120,Acuses!$B$5:$B$3004,AC$4)&lt;AC$5,"Pendiente",IF(AC$8=0,"OK",IF(EDATE(_xlfn.MAXIFS(Acuses!$D$5:$D$3004,Acuses!$A$5:$A$3004,$A120,Acuses!$B$5:$B$3004,AC$4,Acuses!$C$5:$C$3004,AC$5),AC$8)&lt;Resumen!$C$4,"Caducado",IF(EDATE(_xlfn.MAXIFS(Acuses!$D$5:$D$3004,Acuses!$A$5:$A$3004,$A120,Acuses!$B$5:$B$3004,AC$4,Acuses!$C$5:$C$3004,AC$5),AC$8)&lt;Resumen!$C$4+30,"Caduca pronto","OK"))))))</f>
        <v/>
      </c>
      <c r="AD120" s="26" t="str">
        <f aca="false">IF(OR($A120="",AD$4=""),"",IF(NOT(OR(AD$6="Toda la plantilla",ISNUMBER(SEARCH(";"&amp;SUBSTITUTE($C120," ","")&amp;";",";"&amp;SUBSTITUTE(AD$7," ","")&amp;";")))),"—",IF(_xlfn.MAXIFS(Acuses!$C$5:$C$3004,Acuses!$A$5:$A$3004,$A120,Acuses!$B$5:$B$3004,AD$4)&lt;AD$5,"Pendiente",IF(AD$8=0,"OK",IF(EDATE(_xlfn.MAXIFS(Acuses!$D$5:$D$3004,Acuses!$A$5:$A$3004,$A120,Acuses!$B$5:$B$3004,AD$4,Acuses!$C$5:$C$3004,AD$5),AD$8)&lt;Resumen!$C$4,"Caducado",IF(EDATE(_xlfn.MAXIFS(Acuses!$D$5:$D$3004,Acuses!$A$5:$A$3004,$A120,Acuses!$B$5:$B$3004,AD$4,Acuses!$C$5:$C$3004,AD$5),AD$8)&lt;Resumen!$C$4+30,"Caduca pronto","OK"))))))</f>
        <v/>
      </c>
      <c r="AE120" s="26" t="str">
        <f aca="false">IF(OR($A120="",AE$4=""),"",IF(NOT(OR(AE$6="Toda la plantilla",ISNUMBER(SEARCH(";"&amp;SUBSTITUTE($C120," ","")&amp;";",";"&amp;SUBSTITUTE(AE$7," ","")&amp;";")))),"—",IF(_xlfn.MAXIFS(Acuses!$C$5:$C$3004,Acuses!$A$5:$A$3004,$A120,Acuses!$B$5:$B$3004,AE$4)&lt;AE$5,"Pendiente",IF(AE$8=0,"OK",IF(EDATE(_xlfn.MAXIFS(Acuses!$D$5:$D$3004,Acuses!$A$5:$A$3004,$A120,Acuses!$B$5:$B$3004,AE$4,Acuses!$C$5:$C$3004,AE$5),AE$8)&lt;Resumen!$C$4,"Caducado",IF(EDATE(_xlfn.MAXIFS(Acuses!$D$5:$D$3004,Acuses!$A$5:$A$3004,$A120,Acuses!$B$5:$B$3004,AE$4,Acuses!$C$5:$C$3004,AE$5),AE$8)&lt;Resumen!$C$4+30,"Caduca pronto","OK"))))))</f>
        <v/>
      </c>
      <c r="AF120" s="26" t="str">
        <f aca="false">IF(OR($A120="",AF$4=""),"",IF(NOT(OR(AF$6="Toda la plantilla",ISNUMBER(SEARCH(";"&amp;SUBSTITUTE($C120," ","")&amp;";",";"&amp;SUBSTITUTE(AF$7," ","")&amp;";")))),"—",IF(_xlfn.MAXIFS(Acuses!$C$5:$C$3004,Acuses!$A$5:$A$3004,$A120,Acuses!$B$5:$B$3004,AF$4)&lt;AF$5,"Pendiente",IF(AF$8=0,"OK",IF(EDATE(_xlfn.MAXIFS(Acuses!$D$5:$D$3004,Acuses!$A$5:$A$3004,$A120,Acuses!$B$5:$B$3004,AF$4,Acuses!$C$5:$C$3004,AF$5),AF$8)&lt;Resumen!$C$4,"Caducado",IF(EDATE(_xlfn.MAXIFS(Acuses!$D$5:$D$3004,Acuses!$A$5:$A$3004,$A120,Acuses!$B$5:$B$3004,AF$4,Acuses!$C$5:$C$3004,AF$5),AF$8)&lt;Resumen!$C$4+30,"Caduca pronto","OK"))))))</f>
        <v/>
      </c>
      <c r="AG120" s="26" t="str">
        <f aca="false">IF(OR($A120="",AG$4=""),"",IF(NOT(OR(AG$6="Toda la plantilla",ISNUMBER(SEARCH(";"&amp;SUBSTITUTE($C120," ","")&amp;";",";"&amp;SUBSTITUTE(AG$7," ","")&amp;";")))),"—",IF(_xlfn.MAXIFS(Acuses!$C$5:$C$3004,Acuses!$A$5:$A$3004,$A120,Acuses!$B$5:$B$3004,AG$4)&lt;AG$5,"Pendiente",IF(AG$8=0,"OK",IF(EDATE(_xlfn.MAXIFS(Acuses!$D$5:$D$3004,Acuses!$A$5:$A$3004,$A120,Acuses!$B$5:$B$3004,AG$4,Acuses!$C$5:$C$3004,AG$5),AG$8)&lt;Resumen!$C$4,"Caducado",IF(EDATE(_xlfn.MAXIFS(Acuses!$D$5:$D$3004,Acuses!$A$5:$A$3004,$A120,Acuses!$B$5:$B$3004,AG$4,Acuses!$C$5:$C$3004,AG$5),AG$8)&lt;Resumen!$C$4+30,"Caduca pronto","OK"))))))</f>
        <v/>
      </c>
      <c r="AH120" s="26" t="str">
        <f aca="false">IF(OR($A120="",AH$4=""),"",IF(NOT(OR(AH$6="Toda la plantilla",ISNUMBER(SEARCH(";"&amp;SUBSTITUTE($C120," ","")&amp;";",";"&amp;SUBSTITUTE(AH$7," ","")&amp;";")))),"—",IF(_xlfn.MAXIFS(Acuses!$C$5:$C$3004,Acuses!$A$5:$A$3004,$A120,Acuses!$B$5:$B$3004,AH$4)&lt;AH$5,"Pendiente",IF(AH$8=0,"OK",IF(EDATE(_xlfn.MAXIFS(Acuses!$D$5:$D$3004,Acuses!$A$5:$A$3004,$A120,Acuses!$B$5:$B$3004,AH$4,Acuses!$C$5:$C$3004,AH$5),AH$8)&lt;Resumen!$C$4,"Caducado",IF(EDATE(_xlfn.MAXIFS(Acuses!$D$5:$D$3004,Acuses!$A$5:$A$3004,$A120,Acuses!$B$5:$B$3004,AH$4,Acuses!$C$5:$C$3004,AH$5),AH$8)&lt;Resumen!$C$4+30,"Caduca pronto","OK"))))))</f>
        <v/>
      </c>
      <c r="AI120" s="26" t="str">
        <f aca="false">IF(OR($A120="",AI$4=""),"",IF(NOT(OR(AI$6="Toda la plantilla",ISNUMBER(SEARCH(";"&amp;SUBSTITUTE($C120," ","")&amp;";",";"&amp;SUBSTITUTE(AI$7," ","")&amp;";")))),"—",IF(_xlfn.MAXIFS(Acuses!$C$5:$C$3004,Acuses!$A$5:$A$3004,$A120,Acuses!$B$5:$B$3004,AI$4)&lt;AI$5,"Pendiente",IF(AI$8=0,"OK",IF(EDATE(_xlfn.MAXIFS(Acuses!$D$5:$D$3004,Acuses!$A$5:$A$3004,$A120,Acuses!$B$5:$B$3004,AI$4,Acuses!$C$5:$C$3004,AI$5),AI$8)&lt;Resumen!$C$4,"Caducado",IF(EDATE(_xlfn.MAXIFS(Acuses!$D$5:$D$3004,Acuses!$A$5:$A$3004,$A120,Acuses!$B$5:$B$3004,AI$4,Acuses!$C$5:$C$3004,AI$5),AI$8)&lt;Resumen!$C$4+30,"Caduca pronto","OK"))))))</f>
        <v/>
      </c>
      <c r="AJ120" s="26" t="str">
        <f aca="false">IF(OR($A120="",AJ$4=""),"",IF(NOT(OR(AJ$6="Toda la plantilla",ISNUMBER(SEARCH(";"&amp;SUBSTITUTE($C120," ","")&amp;";",";"&amp;SUBSTITUTE(AJ$7," ","")&amp;";")))),"—",IF(_xlfn.MAXIFS(Acuses!$C$5:$C$3004,Acuses!$A$5:$A$3004,$A120,Acuses!$B$5:$B$3004,AJ$4)&lt;AJ$5,"Pendiente",IF(AJ$8=0,"OK",IF(EDATE(_xlfn.MAXIFS(Acuses!$D$5:$D$3004,Acuses!$A$5:$A$3004,$A120,Acuses!$B$5:$B$3004,AJ$4,Acuses!$C$5:$C$3004,AJ$5),AJ$8)&lt;Resumen!$C$4,"Caducado",IF(EDATE(_xlfn.MAXIFS(Acuses!$D$5:$D$3004,Acuses!$A$5:$A$3004,$A120,Acuses!$B$5:$B$3004,AJ$4,Acuses!$C$5:$C$3004,AJ$5),AJ$8)&lt;Resumen!$C$4+30,"Caduca pronto","OK"))))))</f>
        <v/>
      </c>
      <c r="AK120" s="26" t="str">
        <f aca="false">IF(OR($A120="",AK$4=""),"",IF(NOT(OR(AK$6="Toda la plantilla",ISNUMBER(SEARCH(";"&amp;SUBSTITUTE($C120," ","")&amp;";",";"&amp;SUBSTITUTE(AK$7," ","")&amp;";")))),"—",IF(_xlfn.MAXIFS(Acuses!$C$5:$C$3004,Acuses!$A$5:$A$3004,$A120,Acuses!$B$5:$B$3004,AK$4)&lt;AK$5,"Pendiente",IF(AK$8=0,"OK",IF(EDATE(_xlfn.MAXIFS(Acuses!$D$5:$D$3004,Acuses!$A$5:$A$3004,$A120,Acuses!$B$5:$B$3004,AK$4,Acuses!$C$5:$C$3004,AK$5),AK$8)&lt;Resumen!$C$4,"Caducado",IF(EDATE(_xlfn.MAXIFS(Acuses!$D$5:$D$3004,Acuses!$A$5:$A$3004,$A120,Acuses!$B$5:$B$3004,AK$4,Acuses!$C$5:$C$3004,AK$5),AK$8)&lt;Resumen!$C$4+30,"Caduca pronto","OK"))))))</f>
        <v/>
      </c>
      <c r="AL120" s="26" t="str">
        <f aca="false">IF(OR($A120="",AL$4=""),"",IF(NOT(OR(AL$6="Toda la plantilla",ISNUMBER(SEARCH(";"&amp;SUBSTITUTE($C120," ","")&amp;";",";"&amp;SUBSTITUTE(AL$7," ","")&amp;";")))),"—",IF(_xlfn.MAXIFS(Acuses!$C$5:$C$3004,Acuses!$A$5:$A$3004,$A120,Acuses!$B$5:$B$3004,AL$4)&lt;AL$5,"Pendiente",IF(AL$8=0,"OK",IF(EDATE(_xlfn.MAXIFS(Acuses!$D$5:$D$3004,Acuses!$A$5:$A$3004,$A120,Acuses!$B$5:$B$3004,AL$4,Acuses!$C$5:$C$3004,AL$5),AL$8)&lt;Resumen!$C$4,"Caducado",IF(EDATE(_xlfn.MAXIFS(Acuses!$D$5:$D$3004,Acuses!$A$5:$A$3004,$A120,Acuses!$B$5:$B$3004,AL$4,Acuses!$C$5:$C$3004,AL$5),AL$8)&lt;Resumen!$C$4+30,"Caduca pronto","OK"))))))</f>
        <v/>
      </c>
      <c r="AM120" s="26" t="str">
        <f aca="false">IF(OR($A120="",AM$4=""),"",IF(NOT(OR(AM$6="Toda la plantilla",ISNUMBER(SEARCH(";"&amp;SUBSTITUTE($C120," ","")&amp;";",";"&amp;SUBSTITUTE(AM$7," ","")&amp;";")))),"—",IF(_xlfn.MAXIFS(Acuses!$C$5:$C$3004,Acuses!$A$5:$A$3004,$A120,Acuses!$B$5:$B$3004,AM$4)&lt;AM$5,"Pendiente",IF(AM$8=0,"OK",IF(EDATE(_xlfn.MAXIFS(Acuses!$D$5:$D$3004,Acuses!$A$5:$A$3004,$A120,Acuses!$B$5:$B$3004,AM$4,Acuses!$C$5:$C$3004,AM$5),AM$8)&lt;Resumen!$C$4,"Caducado",IF(EDATE(_xlfn.MAXIFS(Acuses!$D$5:$D$3004,Acuses!$A$5:$A$3004,$A120,Acuses!$B$5:$B$3004,AM$4,Acuses!$C$5:$C$3004,AM$5),AM$8)&lt;Resumen!$C$4+30,"Caduca pronto","OK"))))))</f>
        <v/>
      </c>
      <c r="AN120" s="26" t="str">
        <f aca="false">IF(OR($A120="",AN$4=""),"",IF(NOT(OR(AN$6="Toda la plantilla",ISNUMBER(SEARCH(";"&amp;SUBSTITUTE($C120," ","")&amp;";",";"&amp;SUBSTITUTE(AN$7," ","")&amp;";")))),"—",IF(_xlfn.MAXIFS(Acuses!$C$5:$C$3004,Acuses!$A$5:$A$3004,$A120,Acuses!$B$5:$B$3004,AN$4)&lt;AN$5,"Pendiente",IF(AN$8=0,"OK",IF(EDATE(_xlfn.MAXIFS(Acuses!$D$5:$D$3004,Acuses!$A$5:$A$3004,$A120,Acuses!$B$5:$B$3004,AN$4,Acuses!$C$5:$C$3004,AN$5),AN$8)&lt;Resumen!$C$4,"Caducado",IF(EDATE(_xlfn.MAXIFS(Acuses!$D$5:$D$3004,Acuses!$A$5:$A$3004,$A120,Acuses!$B$5:$B$3004,AN$4,Acuses!$C$5:$C$3004,AN$5),AN$8)&lt;Resumen!$C$4+30,"Caduca pronto","OK"))))))</f>
        <v/>
      </c>
      <c r="AO120" s="26" t="str">
        <f aca="false">IF(OR($A120="",AO$4=""),"",IF(NOT(OR(AO$6="Toda la plantilla",ISNUMBER(SEARCH(";"&amp;SUBSTITUTE($C120," ","")&amp;";",";"&amp;SUBSTITUTE(AO$7," ","")&amp;";")))),"—",IF(_xlfn.MAXIFS(Acuses!$C$5:$C$3004,Acuses!$A$5:$A$3004,$A120,Acuses!$B$5:$B$3004,AO$4)&lt;AO$5,"Pendiente",IF(AO$8=0,"OK",IF(EDATE(_xlfn.MAXIFS(Acuses!$D$5:$D$3004,Acuses!$A$5:$A$3004,$A120,Acuses!$B$5:$B$3004,AO$4,Acuses!$C$5:$C$3004,AO$5),AO$8)&lt;Resumen!$C$4,"Caducado",IF(EDATE(_xlfn.MAXIFS(Acuses!$D$5:$D$3004,Acuses!$A$5:$A$3004,$A120,Acuses!$B$5:$B$3004,AO$4,Acuses!$C$5:$C$3004,AO$5),AO$8)&lt;Resumen!$C$4+30,"Caduca pronto","OK"))))))</f>
        <v/>
      </c>
      <c r="AP120" s="26" t="str">
        <f aca="false">IF(OR($A120="",AP$4=""),"",IF(NOT(OR(AP$6="Toda la plantilla",ISNUMBER(SEARCH(";"&amp;SUBSTITUTE($C120," ","")&amp;";",";"&amp;SUBSTITUTE(AP$7," ","")&amp;";")))),"—",IF(_xlfn.MAXIFS(Acuses!$C$5:$C$3004,Acuses!$A$5:$A$3004,$A120,Acuses!$B$5:$B$3004,AP$4)&lt;AP$5,"Pendiente",IF(AP$8=0,"OK",IF(EDATE(_xlfn.MAXIFS(Acuses!$D$5:$D$3004,Acuses!$A$5:$A$3004,$A120,Acuses!$B$5:$B$3004,AP$4,Acuses!$C$5:$C$3004,AP$5),AP$8)&lt;Resumen!$C$4,"Caducado",IF(EDATE(_xlfn.MAXIFS(Acuses!$D$5:$D$3004,Acuses!$A$5:$A$3004,$A120,Acuses!$B$5:$B$3004,AP$4,Acuses!$C$5:$C$3004,AP$5),AP$8)&lt;Resumen!$C$4+30,"Caduca pronto","OK"))))))</f>
        <v/>
      </c>
      <c r="AQ120" s="26" t="str">
        <f aca="false">IF(OR($A120="",AQ$4=""),"",IF(NOT(OR(AQ$6="Toda la plantilla",ISNUMBER(SEARCH(";"&amp;SUBSTITUTE($C120," ","")&amp;";",";"&amp;SUBSTITUTE(AQ$7," ","")&amp;";")))),"—",IF(_xlfn.MAXIFS(Acuses!$C$5:$C$3004,Acuses!$A$5:$A$3004,$A120,Acuses!$B$5:$B$3004,AQ$4)&lt;AQ$5,"Pendiente",IF(AQ$8=0,"OK",IF(EDATE(_xlfn.MAXIFS(Acuses!$D$5:$D$3004,Acuses!$A$5:$A$3004,$A120,Acuses!$B$5:$B$3004,AQ$4,Acuses!$C$5:$C$3004,AQ$5),AQ$8)&lt;Resumen!$C$4,"Caducado",IF(EDATE(_xlfn.MAXIFS(Acuses!$D$5:$D$3004,Acuses!$A$5:$A$3004,$A120,Acuses!$B$5:$B$3004,AQ$4,Acuses!$C$5:$C$3004,AQ$5),AQ$8)&lt;Resumen!$C$4+30,"Caduca pronto","OK"))))))</f>
        <v/>
      </c>
    </row>
    <row r="121" customFormat="false" ht="15" hidden="false" customHeight="false" outlineLevel="0" collapsed="false">
      <c r="A121" s="25" t="str">
        <f aca="false">IF(AND(Trabajadores!$A$116&lt;&gt;"",Trabajadores!$G$116&lt;&gt;"No"),Trabajadores!$A$116,"")</f>
        <v/>
      </c>
      <c r="B121" s="25" t="str">
        <f aca="false">IF($A121="","",Trabajadores!$B$116)</f>
        <v/>
      </c>
      <c r="C121" s="25" t="str">
        <f aca="false">IF($A121="","",Trabajadores!$C$116)</f>
        <v/>
      </c>
      <c r="D121" s="26" t="str">
        <f aca="false">IF(OR($A121="",D$4=""),"",IF(NOT(OR(D$6="Toda la plantilla",ISNUMBER(SEARCH(";"&amp;SUBSTITUTE($C121," ","")&amp;";",";"&amp;SUBSTITUTE(D$7," ","")&amp;";")))),"—",IF(_xlfn.MAXIFS(Acuses!$C$5:$C$3004,Acuses!$A$5:$A$3004,$A121,Acuses!$B$5:$B$3004,D$4)&lt;D$5,"Pendiente",IF(D$8=0,"OK",IF(EDATE(_xlfn.MAXIFS(Acuses!$D$5:$D$3004,Acuses!$A$5:$A$3004,$A121,Acuses!$B$5:$B$3004,D$4,Acuses!$C$5:$C$3004,D$5),D$8)&lt;Resumen!$C$4,"Caducado",IF(EDATE(_xlfn.MAXIFS(Acuses!$D$5:$D$3004,Acuses!$A$5:$A$3004,$A121,Acuses!$B$5:$B$3004,D$4,Acuses!$C$5:$C$3004,D$5),D$8)&lt;Resumen!$C$4+30,"Caduca pronto","OK"))))))</f>
        <v/>
      </c>
      <c r="E121" s="26" t="str">
        <f aca="false">IF(OR($A121="",E$4=""),"",IF(NOT(OR(E$6="Toda la plantilla",ISNUMBER(SEARCH(";"&amp;SUBSTITUTE($C121," ","")&amp;";",";"&amp;SUBSTITUTE(E$7," ","")&amp;";")))),"—",IF(_xlfn.MAXIFS(Acuses!$C$5:$C$3004,Acuses!$A$5:$A$3004,$A121,Acuses!$B$5:$B$3004,E$4)&lt;E$5,"Pendiente",IF(E$8=0,"OK",IF(EDATE(_xlfn.MAXIFS(Acuses!$D$5:$D$3004,Acuses!$A$5:$A$3004,$A121,Acuses!$B$5:$B$3004,E$4,Acuses!$C$5:$C$3004,E$5),E$8)&lt;Resumen!$C$4,"Caducado",IF(EDATE(_xlfn.MAXIFS(Acuses!$D$5:$D$3004,Acuses!$A$5:$A$3004,$A121,Acuses!$B$5:$B$3004,E$4,Acuses!$C$5:$C$3004,E$5),E$8)&lt;Resumen!$C$4+30,"Caduca pronto","OK"))))))</f>
        <v/>
      </c>
      <c r="F121" s="26" t="str">
        <f aca="false">IF(OR($A121="",F$4=""),"",IF(NOT(OR(F$6="Toda la plantilla",ISNUMBER(SEARCH(";"&amp;SUBSTITUTE($C121," ","")&amp;";",";"&amp;SUBSTITUTE(F$7," ","")&amp;";")))),"—",IF(_xlfn.MAXIFS(Acuses!$C$5:$C$3004,Acuses!$A$5:$A$3004,$A121,Acuses!$B$5:$B$3004,F$4)&lt;F$5,"Pendiente",IF(F$8=0,"OK",IF(EDATE(_xlfn.MAXIFS(Acuses!$D$5:$D$3004,Acuses!$A$5:$A$3004,$A121,Acuses!$B$5:$B$3004,F$4,Acuses!$C$5:$C$3004,F$5),F$8)&lt;Resumen!$C$4,"Caducado",IF(EDATE(_xlfn.MAXIFS(Acuses!$D$5:$D$3004,Acuses!$A$5:$A$3004,$A121,Acuses!$B$5:$B$3004,F$4,Acuses!$C$5:$C$3004,F$5),F$8)&lt;Resumen!$C$4+30,"Caduca pronto","OK"))))))</f>
        <v/>
      </c>
      <c r="G121" s="26" t="str">
        <f aca="false">IF(OR($A121="",G$4=""),"",IF(NOT(OR(G$6="Toda la plantilla",ISNUMBER(SEARCH(";"&amp;SUBSTITUTE($C121," ","")&amp;";",";"&amp;SUBSTITUTE(G$7," ","")&amp;";")))),"—",IF(_xlfn.MAXIFS(Acuses!$C$5:$C$3004,Acuses!$A$5:$A$3004,$A121,Acuses!$B$5:$B$3004,G$4)&lt;G$5,"Pendiente",IF(G$8=0,"OK",IF(EDATE(_xlfn.MAXIFS(Acuses!$D$5:$D$3004,Acuses!$A$5:$A$3004,$A121,Acuses!$B$5:$B$3004,G$4,Acuses!$C$5:$C$3004,G$5),G$8)&lt;Resumen!$C$4,"Caducado",IF(EDATE(_xlfn.MAXIFS(Acuses!$D$5:$D$3004,Acuses!$A$5:$A$3004,$A121,Acuses!$B$5:$B$3004,G$4,Acuses!$C$5:$C$3004,G$5),G$8)&lt;Resumen!$C$4+30,"Caduca pronto","OK"))))))</f>
        <v/>
      </c>
      <c r="H121" s="26" t="str">
        <f aca="false">IF(OR($A121="",H$4=""),"",IF(NOT(OR(H$6="Toda la plantilla",ISNUMBER(SEARCH(";"&amp;SUBSTITUTE($C121," ","")&amp;";",";"&amp;SUBSTITUTE(H$7," ","")&amp;";")))),"—",IF(_xlfn.MAXIFS(Acuses!$C$5:$C$3004,Acuses!$A$5:$A$3004,$A121,Acuses!$B$5:$B$3004,H$4)&lt;H$5,"Pendiente",IF(H$8=0,"OK",IF(EDATE(_xlfn.MAXIFS(Acuses!$D$5:$D$3004,Acuses!$A$5:$A$3004,$A121,Acuses!$B$5:$B$3004,H$4,Acuses!$C$5:$C$3004,H$5),H$8)&lt;Resumen!$C$4,"Caducado",IF(EDATE(_xlfn.MAXIFS(Acuses!$D$5:$D$3004,Acuses!$A$5:$A$3004,$A121,Acuses!$B$5:$B$3004,H$4,Acuses!$C$5:$C$3004,H$5),H$8)&lt;Resumen!$C$4+30,"Caduca pronto","OK"))))))</f>
        <v/>
      </c>
      <c r="I121" s="26" t="str">
        <f aca="false">IF(OR($A121="",I$4=""),"",IF(NOT(OR(I$6="Toda la plantilla",ISNUMBER(SEARCH(";"&amp;SUBSTITUTE($C121," ","")&amp;";",";"&amp;SUBSTITUTE(I$7," ","")&amp;";")))),"—",IF(_xlfn.MAXIFS(Acuses!$C$5:$C$3004,Acuses!$A$5:$A$3004,$A121,Acuses!$B$5:$B$3004,I$4)&lt;I$5,"Pendiente",IF(I$8=0,"OK",IF(EDATE(_xlfn.MAXIFS(Acuses!$D$5:$D$3004,Acuses!$A$5:$A$3004,$A121,Acuses!$B$5:$B$3004,I$4,Acuses!$C$5:$C$3004,I$5),I$8)&lt;Resumen!$C$4,"Caducado",IF(EDATE(_xlfn.MAXIFS(Acuses!$D$5:$D$3004,Acuses!$A$5:$A$3004,$A121,Acuses!$B$5:$B$3004,I$4,Acuses!$C$5:$C$3004,I$5),I$8)&lt;Resumen!$C$4+30,"Caduca pronto","OK"))))))</f>
        <v/>
      </c>
      <c r="J121" s="26" t="str">
        <f aca="false">IF(OR($A121="",J$4=""),"",IF(NOT(OR(J$6="Toda la plantilla",ISNUMBER(SEARCH(";"&amp;SUBSTITUTE($C121," ","")&amp;";",";"&amp;SUBSTITUTE(J$7," ","")&amp;";")))),"—",IF(_xlfn.MAXIFS(Acuses!$C$5:$C$3004,Acuses!$A$5:$A$3004,$A121,Acuses!$B$5:$B$3004,J$4)&lt;J$5,"Pendiente",IF(J$8=0,"OK",IF(EDATE(_xlfn.MAXIFS(Acuses!$D$5:$D$3004,Acuses!$A$5:$A$3004,$A121,Acuses!$B$5:$B$3004,J$4,Acuses!$C$5:$C$3004,J$5),J$8)&lt;Resumen!$C$4,"Caducado",IF(EDATE(_xlfn.MAXIFS(Acuses!$D$5:$D$3004,Acuses!$A$5:$A$3004,$A121,Acuses!$B$5:$B$3004,J$4,Acuses!$C$5:$C$3004,J$5),J$8)&lt;Resumen!$C$4+30,"Caduca pronto","OK"))))))</f>
        <v/>
      </c>
      <c r="K121" s="26" t="str">
        <f aca="false">IF(OR($A121="",K$4=""),"",IF(NOT(OR(K$6="Toda la plantilla",ISNUMBER(SEARCH(";"&amp;SUBSTITUTE($C121," ","")&amp;";",";"&amp;SUBSTITUTE(K$7," ","")&amp;";")))),"—",IF(_xlfn.MAXIFS(Acuses!$C$5:$C$3004,Acuses!$A$5:$A$3004,$A121,Acuses!$B$5:$B$3004,K$4)&lt;K$5,"Pendiente",IF(K$8=0,"OK",IF(EDATE(_xlfn.MAXIFS(Acuses!$D$5:$D$3004,Acuses!$A$5:$A$3004,$A121,Acuses!$B$5:$B$3004,K$4,Acuses!$C$5:$C$3004,K$5),K$8)&lt;Resumen!$C$4,"Caducado",IF(EDATE(_xlfn.MAXIFS(Acuses!$D$5:$D$3004,Acuses!$A$5:$A$3004,$A121,Acuses!$B$5:$B$3004,K$4,Acuses!$C$5:$C$3004,K$5),K$8)&lt;Resumen!$C$4+30,"Caduca pronto","OK"))))))</f>
        <v/>
      </c>
      <c r="L121" s="26" t="str">
        <f aca="false">IF(OR($A121="",L$4=""),"",IF(NOT(OR(L$6="Toda la plantilla",ISNUMBER(SEARCH(";"&amp;SUBSTITUTE($C121," ","")&amp;";",";"&amp;SUBSTITUTE(L$7," ","")&amp;";")))),"—",IF(_xlfn.MAXIFS(Acuses!$C$5:$C$3004,Acuses!$A$5:$A$3004,$A121,Acuses!$B$5:$B$3004,L$4)&lt;L$5,"Pendiente",IF(L$8=0,"OK",IF(EDATE(_xlfn.MAXIFS(Acuses!$D$5:$D$3004,Acuses!$A$5:$A$3004,$A121,Acuses!$B$5:$B$3004,L$4,Acuses!$C$5:$C$3004,L$5),L$8)&lt;Resumen!$C$4,"Caducado",IF(EDATE(_xlfn.MAXIFS(Acuses!$D$5:$D$3004,Acuses!$A$5:$A$3004,$A121,Acuses!$B$5:$B$3004,L$4,Acuses!$C$5:$C$3004,L$5),L$8)&lt;Resumen!$C$4+30,"Caduca pronto","OK"))))))</f>
        <v/>
      </c>
      <c r="M121" s="26" t="str">
        <f aca="false">IF(OR($A121="",M$4=""),"",IF(NOT(OR(M$6="Toda la plantilla",ISNUMBER(SEARCH(";"&amp;SUBSTITUTE($C121," ","")&amp;";",";"&amp;SUBSTITUTE(M$7," ","")&amp;";")))),"—",IF(_xlfn.MAXIFS(Acuses!$C$5:$C$3004,Acuses!$A$5:$A$3004,$A121,Acuses!$B$5:$B$3004,M$4)&lt;M$5,"Pendiente",IF(M$8=0,"OK",IF(EDATE(_xlfn.MAXIFS(Acuses!$D$5:$D$3004,Acuses!$A$5:$A$3004,$A121,Acuses!$B$5:$B$3004,M$4,Acuses!$C$5:$C$3004,M$5),M$8)&lt;Resumen!$C$4,"Caducado",IF(EDATE(_xlfn.MAXIFS(Acuses!$D$5:$D$3004,Acuses!$A$5:$A$3004,$A121,Acuses!$B$5:$B$3004,M$4,Acuses!$C$5:$C$3004,M$5),M$8)&lt;Resumen!$C$4+30,"Caduca pronto","OK"))))))</f>
        <v/>
      </c>
      <c r="N121" s="26" t="str">
        <f aca="false">IF(OR($A121="",N$4=""),"",IF(NOT(OR(N$6="Toda la plantilla",ISNUMBER(SEARCH(";"&amp;SUBSTITUTE($C121," ","")&amp;";",";"&amp;SUBSTITUTE(N$7," ","")&amp;";")))),"—",IF(_xlfn.MAXIFS(Acuses!$C$5:$C$3004,Acuses!$A$5:$A$3004,$A121,Acuses!$B$5:$B$3004,N$4)&lt;N$5,"Pendiente",IF(N$8=0,"OK",IF(EDATE(_xlfn.MAXIFS(Acuses!$D$5:$D$3004,Acuses!$A$5:$A$3004,$A121,Acuses!$B$5:$B$3004,N$4,Acuses!$C$5:$C$3004,N$5),N$8)&lt;Resumen!$C$4,"Caducado",IF(EDATE(_xlfn.MAXIFS(Acuses!$D$5:$D$3004,Acuses!$A$5:$A$3004,$A121,Acuses!$B$5:$B$3004,N$4,Acuses!$C$5:$C$3004,N$5),N$8)&lt;Resumen!$C$4+30,"Caduca pronto","OK"))))))</f>
        <v/>
      </c>
      <c r="O121" s="26" t="str">
        <f aca="false">IF(OR($A121="",O$4=""),"",IF(NOT(OR(O$6="Toda la plantilla",ISNUMBER(SEARCH(";"&amp;SUBSTITUTE($C121," ","")&amp;";",";"&amp;SUBSTITUTE(O$7," ","")&amp;";")))),"—",IF(_xlfn.MAXIFS(Acuses!$C$5:$C$3004,Acuses!$A$5:$A$3004,$A121,Acuses!$B$5:$B$3004,O$4)&lt;O$5,"Pendiente",IF(O$8=0,"OK",IF(EDATE(_xlfn.MAXIFS(Acuses!$D$5:$D$3004,Acuses!$A$5:$A$3004,$A121,Acuses!$B$5:$B$3004,O$4,Acuses!$C$5:$C$3004,O$5),O$8)&lt;Resumen!$C$4,"Caducado",IF(EDATE(_xlfn.MAXIFS(Acuses!$D$5:$D$3004,Acuses!$A$5:$A$3004,$A121,Acuses!$B$5:$B$3004,O$4,Acuses!$C$5:$C$3004,O$5),O$8)&lt;Resumen!$C$4+30,"Caduca pronto","OK"))))))</f>
        <v/>
      </c>
      <c r="P121" s="26" t="str">
        <f aca="false">IF(OR($A121="",P$4=""),"",IF(NOT(OR(P$6="Toda la plantilla",ISNUMBER(SEARCH(";"&amp;SUBSTITUTE($C121," ","")&amp;";",";"&amp;SUBSTITUTE(P$7," ","")&amp;";")))),"—",IF(_xlfn.MAXIFS(Acuses!$C$5:$C$3004,Acuses!$A$5:$A$3004,$A121,Acuses!$B$5:$B$3004,P$4)&lt;P$5,"Pendiente",IF(P$8=0,"OK",IF(EDATE(_xlfn.MAXIFS(Acuses!$D$5:$D$3004,Acuses!$A$5:$A$3004,$A121,Acuses!$B$5:$B$3004,P$4,Acuses!$C$5:$C$3004,P$5),P$8)&lt;Resumen!$C$4,"Caducado",IF(EDATE(_xlfn.MAXIFS(Acuses!$D$5:$D$3004,Acuses!$A$5:$A$3004,$A121,Acuses!$B$5:$B$3004,P$4,Acuses!$C$5:$C$3004,P$5),P$8)&lt;Resumen!$C$4+30,"Caduca pronto","OK"))))))</f>
        <v/>
      </c>
      <c r="Q121" s="26" t="str">
        <f aca="false">IF(OR($A121="",Q$4=""),"",IF(NOT(OR(Q$6="Toda la plantilla",ISNUMBER(SEARCH(";"&amp;SUBSTITUTE($C121," ","")&amp;";",";"&amp;SUBSTITUTE(Q$7," ","")&amp;";")))),"—",IF(_xlfn.MAXIFS(Acuses!$C$5:$C$3004,Acuses!$A$5:$A$3004,$A121,Acuses!$B$5:$B$3004,Q$4)&lt;Q$5,"Pendiente",IF(Q$8=0,"OK",IF(EDATE(_xlfn.MAXIFS(Acuses!$D$5:$D$3004,Acuses!$A$5:$A$3004,$A121,Acuses!$B$5:$B$3004,Q$4,Acuses!$C$5:$C$3004,Q$5),Q$8)&lt;Resumen!$C$4,"Caducado",IF(EDATE(_xlfn.MAXIFS(Acuses!$D$5:$D$3004,Acuses!$A$5:$A$3004,$A121,Acuses!$B$5:$B$3004,Q$4,Acuses!$C$5:$C$3004,Q$5),Q$8)&lt;Resumen!$C$4+30,"Caduca pronto","OK"))))))</f>
        <v/>
      </c>
      <c r="R121" s="26" t="str">
        <f aca="false">IF(OR($A121="",R$4=""),"",IF(NOT(OR(R$6="Toda la plantilla",ISNUMBER(SEARCH(";"&amp;SUBSTITUTE($C121," ","")&amp;";",";"&amp;SUBSTITUTE(R$7," ","")&amp;";")))),"—",IF(_xlfn.MAXIFS(Acuses!$C$5:$C$3004,Acuses!$A$5:$A$3004,$A121,Acuses!$B$5:$B$3004,R$4)&lt;R$5,"Pendiente",IF(R$8=0,"OK",IF(EDATE(_xlfn.MAXIFS(Acuses!$D$5:$D$3004,Acuses!$A$5:$A$3004,$A121,Acuses!$B$5:$B$3004,R$4,Acuses!$C$5:$C$3004,R$5),R$8)&lt;Resumen!$C$4,"Caducado",IF(EDATE(_xlfn.MAXIFS(Acuses!$D$5:$D$3004,Acuses!$A$5:$A$3004,$A121,Acuses!$B$5:$B$3004,R$4,Acuses!$C$5:$C$3004,R$5),R$8)&lt;Resumen!$C$4+30,"Caduca pronto","OK"))))))</f>
        <v/>
      </c>
      <c r="S121" s="26" t="str">
        <f aca="false">IF(OR($A121="",S$4=""),"",IF(NOT(OR(S$6="Toda la plantilla",ISNUMBER(SEARCH(";"&amp;SUBSTITUTE($C121," ","")&amp;";",";"&amp;SUBSTITUTE(S$7," ","")&amp;";")))),"—",IF(_xlfn.MAXIFS(Acuses!$C$5:$C$3004,Acuses!$A$5:$A$3004,$A121,Acuses!$B$5:$B$3004,S$4)&lt;S$5,"Pendiente",IF(S$8=0,"OK",IF(EDATE(_xlfn.MAXIFS(Acuses!$D$5:$D$3004,Acuses!$A$5:$A$3004,$A121,Acuses!$B$5:$B$3004,S$4,Acuses!$C$5:$C$3004,S$5),S$8)&lt;Resumen!$C$4,"Caducado",IF(EDATE(_xlfn.MAXIFS(Acuses!$D$5:$D$3004,Acuses!$A$5:$A$3004,$A121,Acuses!$B$5:$B$3004,S$4,Acuses!$C$5:$C$3004,S$5),S$8)&lt;Resumen!$C$4+30,"Caduca pronto","OK"))))))</f>
        <v/>
      </c>
      <c r="T121" s="26" t="str">
        <f aca="false">IF(OR($A121="",T$4=""),"",IF(NOT(OR(T$6="Toda la plantilla",ISNUMBER(SEARCH(";"&amp;SUBSTITUTE($C121," ","")&amp;";",";"&amp;SUBSTITUTE(T$7," ","")&amp;";")))),"—",IF(_xlfn.MAXIFS(Acuses!$C$5:$C$3004,Acuses!$A$5:$A$3004,$A121,Acuses!$B$5:$B$3004,T$4)&lt;T$5,"Pendiente",IF(T$8=0,"OK",IF(EDATE(_xlfn.MAXIFS(Acuses!$D$5:$D$3004,Acuses!$A$5:$A$3004,$A121,Acuses!$B$5:$B$3004,T$4,Acuses!$C$5:$C$3004,T$5),T$8)&lt;Resumen!$C$4,"Caducado",IF(EDATE(_xlfn.MAXIFS(Acuses!$D$5:$D$3004,Acuses!$A$5:$A$3004,$A121,Acuses!$B$5:$B$3004,T$4,Acuses!$C$5:$C$3004,T$5),T$8)&lt;Resumen!$C$4+30,"Caduca pronto","OK"))))))</f>
        <v/>
      </c>
      <c r="U121" s="26" t="str">
        <f aca="false">IF(OR($A121="",U$4=""),"",IF(NOT(OR(U$6="Toda la plantilla",ISNUMBER(SEARCH(";"&amp;SUBSTITUTE($C121," ","")&amp;";",";"&amp;SUBSTITUTE(U$7," ","")&amp;";")))),"—",IF(_xlfn.MAXIFS(Acuses!$C$5:$C$3004,Acuses!$A$5:$A$3004,$A121,Acuses!$B$5:$B$3004,U$4)&lt;U$5,"Pendiente",IF(U$8=0,"OK",IF(EDATE(_xlfn.MAXIFS(Acuses!$D$5:$D$3004,Acuses!$A$5:$A$3004,$A121,Acuses!$B$5:$B$3004,U$4,Acuses!$C$5:$C$3004,U$5),U$8)&lt;Resumen!$C$4,"Caducado",IF(EDATE(_xlfn.MAXIFS(Acuses!$D$5:$D$3004,Acuses!$A$5:$A$3004,$A121,Acuses!$B$5:$B$3004,U$4,Acuses!$C$5:$C$3004,U$5),U$8)&lt;Resumen!$C$4+30,"Caduca pronto","OK"))))))</f>
        <v/>
      </c>
      <c r="V121" s="26" t="str">
        <f aca="false">IF(OR($A121="",V$4=""),"",IF(NOT(OR(V$6="Toda la plantilla",ISNUMBER(SEARCH(";"&amp;SUBSTITUTE($C121," ","")&amp;";",";"&amp;SUBSTITUTE(V$7," ","")&amp;";")))),"—",IF(_xlfn.MAXIFS(Acuses!$C$5:$C$3004,Acuses!$A$5:$A$3004,$A121,Acuses!$B$5:$B$3004,V$4)&lt;V$5,"Pendiente",IF(V$8=0,"OK",IF(EDATE(_xlfn.MAXIFS(Acuses!$D$5:$D$3004,Acuses!$A$5:$A$3004,$A121,Acuses!$B$5:$B$3004,V$4,Acuses!$C$5:$C$3004,V$5),V$8)&lt;Resumen!$C$4,"Caducado",IF(EDATE(_xlfn.MAXIFS(Acuses!$D$5:$D$3004,Acuses!$A$5:$A$3004,$A121,Acuses!$B$5:$B$3004,V$4,Acuses!$C$5:$C$3004,V$5),V$8)&lt;Resumen!$C$4+30,"Caduca pronto","OK"))))))</f>
        <v/>
      </c>
      <c r="W121" s="26" t="str">
        <f aca="false">IF(OR($A121="",W$4=""),"",IF(NOT(OR(W$6="Toda la plantilla",ISNUMBER(SEARCH(";"&amp;SUBSTITUTE($C121," ","")&amp;";",";"&amp;SUBSTITUTE(W$7," ","")&amp;";")))),"—",IF(_xlfn.MAXIFS(Acuses!$C$5:$C$3004,Acuses!$A$5:$A$3004,$A121,Acuses!$B$5:$B$3004,W$4)&lt;W$5,"Pendiente",IF(W$8=0,"OK",IF(EDATE(_xlfn.MAXIFS(Acuses!$D$5:$D$3004,Acuses!$A$5:$A$3004,$A121,Acuses!$B$5:$B$3004,W$4,Acuses!$C$5:$C$3004,W$5),W$8)&lt;Resumen!$C$4,"Caducado",IF(EDATE(_xlfn.MAXIFS(Acuses!$D$5:$D$3004,Acuses!$A$5:$A$3004,$A121,Acuses!$B$5:$B$3004,W$4,Acuses!$C$5:$C$3004,W$5),W$8)&lt;Resumen!$C$4+30,"Caduca pronto","OK"))))))</f>
        <v/>
      </c>
      <c r="X121" s="26" t="str">
        <f aca="false">IF(OR($A121="",X$4=""),"",IF(NOT(OR(X$6="Toda la plantilla",ISNUMBER(SEARCH(";"&amp;SUBSTITUTE($C121," ","")&amp;";",";"&amp;SUBSTITUTE(X$7," ","")&amp;";")))),"—",IF(_xlfn.MAXIFS(Acuses!$C$5:$C$3004,Acuses!$A$5:$A$3004,$A121,Acuses!$B$5:$B$3004,X$4)&lt;X$5,"Pendiente",IF(X$8=0,"OK",IF(EDATE(_xlfn.MAXIFS(Acuses!$D$5:$D$3004,Acuses!$A$5:$A$3004,$A121,Acuses!$B$5:$B$3004,X$4,Acuses!$C$5:$C$3004,X$5),X$8)&lt;Resumen!$C$4,"Caducado",IF(EDATE(_xlfn.MAXIFS(Acuses!$D$5:$D$3004,Acuses!$A$5:$A$3004,$A121,Acuses!$B$5:$B$3004,X$4,Acuses!$C$5:$C$3004,X$5),X$8)&lt;Resumen!$C$4+30,"Caduca pronto","OK"))))))</f>
        <v/>
      </c>
      <c r="Y121" s="26" t="str">
        <f aca="false">IF(OR($A121="",Y$4=""),"",IF(NOT(OR(Y$6="Toda la plantilla",ISNUMBER(SEARCH(";"&amp;SUBSTITUTE($C121," ","")&amp;";",";"&amp;SUBSTITUTE(Y$7," ","")&amp;";")))),"—",IF(_xlfn.MAXIFS(Acuses!$C$5:$C$3004,Acuses!$A$5:$A$3004,$A121,Acuses!$B$5:$B$3004,Y$4)&lt;Y$5,"Pendiente",IF(Y$8=0,"OK",IF(EDATE(_xlfn.MAXIFS(Acuses!$D$5:$D$3004,Acuses!$A$5:$A$3004,$A121,Acuses!$B$5:$B$3004,Y$4,Acuses!$C$5:$C$3004,Y$5),Y$8)&lt;Resumen!$C$4,"Caducado",IF(EDATE(_xlfn.MAXIFS(Acuses!$D$5:$D$3004,Acuses!$A$5:$A$3004,$A121,Acuses!$B$5:$B$3004,Y$4,Acuses!$C$5:$C$3004,Y$5),Y$8)&lt;Resumen!$C$4+30,"Caduca pronto","OK"))))))</f>
        <v/>
      </c>
      <c r="Z121" s="26" t="str">
        <f aca="false">IF(OR($A121="",Z$4=""),"",IF(NOT(OR(Z$6="Toda la plantilla",ISNUMBER(SEARCH(";"&amp;SUBSTITUTE($C121," ","")&amp;";",";"&amp;SUBSTITUTE(Z$7," ","")&amp;";")))),"—",IF(_xlfn.MAXIFS(Acuses!$C$5:$C$3004,Acuses!$A$5:$A$3004,$A121,Acuses!$B$5:$B$3004,Z$4)&lt;Z$5,"Pendiente",IF(Z$8=0,"OK",IF(EDATE(_xlfn.MAXIFS(Acuses!$D$5:$D$3004,Acuses!$A$5:$A$3004,$A121,Acuses!$B$5:$B$3004,Z$4,Acuses!$C$5:$C$3004,Z$5),Z$8)&lt;Resumen!$C$4,"Caducado",IF(EDATE(_xlfn.MAXIFS(Acuses!$D$5:$D$3004,Acuses!$A$5:$A$3004,$A121,Acuses!$B$5:$B$3004,Z$4,Acuses!$C$5:$C$3004,Z$5),Z$8)&lt;Resumen!$C$4+30,"Caduca pronto","OK"))))))</f>
        <v/>
      </c>
      <c r="AA121" s="26" t="str">
        <f aca="false">IF(OR($A121="",AA$4=""),"",IF(NOT(OR(AA$6="Toda la plantilla",ISNUMBER(SEARCH(";"&amp;SUBSTITUTE($C121," ","")&amp;";",";"&amp;SUBSTITUTE(AA$7," ","")&amp;";")))),"—",IF(_xlfn.MAXIFS(Acuses!$C$5:$C$3004,Acuses!$A$5:$A$3004,$A121,Acuses!$B$5:$B$3004,AA$4)&lt;AA$5,"Pendiente",IF(AA$8=0,"OK",IF(EDATE(_xlfn.MAXIFS(Acuses!$D$5:$D$3004,Acuses!$A$5:$A$3004,$A121,Acuses!$B$5:$B$3004,AA$4,Acuses!$C$5:$C$3004,AA$5),AA$8)&lt;Resumen!$C$4,"Caducado",IF(EDATE(_xlfn.MAXIFS(Acuses!$D$5:$D$3004,Acuses!$A$5:$A$3004,$A121,Acuses!$B$5:$B$3004,AA$4,Acuses!$C$5:$C$3004,AA$5),AA$8)&lt;Resumen!$C$4+30,"Caduca pronto","OK"))))))</f>
        <v/>
      </c>
      <c r="AB121" s="26" t="str">
        <f aca="false">IF(OR($A121="",AB$4=""),"",IF(NOT(OR(AB$6="Toda la plantilla",ISNUMBER(SEARCH(";"&amp;SUBSTITUTE($C121," ","")&amp;";",";"&amp;SUBSTITUTE(AB$7," ","")&amp;";")))),"—",IF(_xlfn.MAXIFS(Acuses!$C$5:$C$3004,Acuses!$A$5:$A$3004,$A121,Acuses!$B$5:$B$3004,AB$4)&lt;AB$5,"Pendiente",IF(AB$8=0,"OK",IF(EDATE(_xlfn.MAXIFS(Acuses!$D$5:$D$3004,Acuses!$A$5:$A$3004,$A121,Acuses!$B$5:$B$3004,AB$4,Acuses!$C$5:$C$3004,AB$5),AB$8)&lt;Resumen!$C$4,"Caducado",IF(EDATE(_xlfn.MAXIFS(Acuses!$D$5:$D$3004,Acuses!$A$5:$A$3004,$A121,Acuses!$B$5:$B$3004,AB$4,Acuses!$C$5:$C$3004,AB$5),AB$8)&lt;Resumen!$C$4+30,"Caduca pronto","OK"))))))</f>
        <v/>
      </c>
      <c r="AC121" s="26" t="str">
        <f aca="false">IF(OR($A121="",AC$4=""),"",IF(NOT(OR(AC$6="Toda la plantilla",ISNUMBER(SEARCH(";"&amp;SUBSTITUTE($C121," ","")&amp;";",";"&amp;SUBSTITUTE(AC$7," ","")&amp;";")))),"—",IF(_xlfn.MAXIFS(Acuses!$C$5:$C$3004,Acuses!$A$5:$A$3004,$A121,Acuses!$B$5:$B$3004,AC$4)&lt;AC$5,"Pendiente",IF(AC$8=0,"OK",IF(EDATE(_xlfn.MAXIFS(Acuses!$D$5:$D$3004,Acuses!$A$5:$A$3004,$A121,Acuses!$B$5:$B$3004,AC$4,Acuses!$C$5:$C$3004,AC$5),AC$8)&lt;Resumen!$C$4,"Caducado",IF(EDATE(_xlfn.MAXIFS(Acuses!$D$5:$D$3004,Acuses!$A$5:$A$3004,$A121,Acuses!$B$5:$B$3004,AC$4,Acuses!$C$5:$C$3004,AC$5),AC$8)&lt;Resumen!$C$4+30,"Caduca pronto","OK"))))))</f>
        <v/>
      </c>
      <c r="AD121" s="26" t="str">
        <f aca="false">IF(OR($A121="",AD$4=""),"",IF(NOT(OR(AD$6="Toda la plantilla",ISNUMBER(SEARCH(";"&amp;SUBSTITUTE($C121," ","")&amp;";",";"&amp;SUBSTITUTE(AD$7," ","")&amp;";")))),"—",IF(_xlfn.MAXIFS(Acuses!$C$5:$C$3004,Acuses!$A$5:$A$3004,$A121,Acuses!$B$5:$B$3004,AD$4)&lt;AD$5,"Pendiente",IF(AD$8=0,"OK",IF(EDATE(_xlfn.MAXIFS(Acuses!$D$5:$D$3004,Acuses!$A$5:$A$3004,$A121,Acuses!$B$5:$B$3004,AD$4,Acuses!$C$5:$C$3004,AD$5),AD$8)&lt;Resumen!$C$4,"Caducado",IF(EDATE(_xlfn.MAXIFS(Acuses!$D$5:$D$3004,Acuses!$A$5:$A$3004,$A121,Acuses!$B$5:$B$3004,AD$4,Acuses!$C$5:$C$3004,AD$5),AD$8)&lt;Resumen!$C$4+30,"Caduca pronto","OK"))))))</f>
        <v/>
      </c>
      <c r="AE121" s="26" t="str">
        <f aca="false">IF(OR($A121="",AE$4=""),"",IF(NOT(OR(AE$6="Toda la plantilla",ISNUMBER(SEARCH(";"&amp;SUBSTITUTE($C121," ","")&amp;";",";"&amp;SUBSTITUTE(AE$7," ","")&amp;";")))),"—",IF(_xlfn.MAXIFS(Acuses!$C$5:$C$3004,Acuses!$A$5:$A$3004,$A121,Acuses!$B$5:$B$3004,AE$4)&lt;AE$5,"Pendiente",IF(AE$8=0,"OK",IF(EDATE(_xlfn.MAXIFS(Acuses!$D$5:$D$3004,Acuses!$A$5:$A$3004,$A121,Acuses!$B$5:$B$3004,AE$4,Acuses!$C$5:$C$3004,AE$5),AE$8)&lt;Resumen!$C$4,"Caducado",IF(EDATE(_xlfn.MAXIFS(Acuses!$D$5:$D$3004,Acuses!$A$5:$A$3004,$A121,Acuses!$B$5:$B$3004,AE$4,Acuses!$C$5:$C$3004,AE$5),AE$8)&lt;Resumen!$C$4+30,"Caduca pronto","OK"))))))</f>
        <v/>
      </c>
      <c r="AF121" s="26" t="str">
        <f aca="false">IF(OR($A121="",AF$4=""),"",IF(NOT(OR(AF$6="Toda la plantilla",ISNUMBER(SEARCH(";"&amp;SUBSTITUTE($C121," ","")&amp;";",";"&amp;SUBSTITUTE(AF$7," ","")&amp;";")))),"—",IF(_xlfn.MAXIFS(Acuses!$C$5:$C$3004,Acuses!$A$5:$A$3004,$A121,Acuses!$B$5:$B$3004,AF$4)&lt;AF$5,"Pendiente",IF(AF$8=0,"OK",IF(EDATE(_xlfn.MAXIFS(Acuses!$D$5:$D$3004,Acuses!$A$5:$A$3004,$A121,Acuses!$B$5:$B$3004,AF$4,Acuses!$C$5:$C$3004,AF$5),AF$8)&lt;Resumen!$C$4,"Caducado",IF(EDATE(_xlfn.MAXIFS(Acuses!$D$5:$D$3004,Acuses!$A$5:$A$3004,$A121,Acuses!$B$5:$B$3004,AF$4,Acuses!$C$5:$C$3004,AF$5),AF$8)&lt;Resumen!$C$4+30,"Caduca pronto","OK"))))))</f>
        <v/>
      </c>
      <c r="AG121" s="26" t="str">
        <f aca="false">IF(OR($A121="",AG$4=""),"",IF(NOT(OR(AG$6="Toda la plantilla",ISNUMBER(SEARCH(";"&amp;SUBSTITUTE($C121," ","")&amp;";",";"&amp;SUBSTITUTE(AG$7," ","")&amp;";")))),"—",IF(_xlfn.MAXIFS(Acuses!$C$5:$C$3004,Acuses!$A$5:$A$3004,$A121,Acuses!$B$5:$B$3004,AG$4)&lt;AG$5,"Pendiente",IF(AG$8=0,"OK",IF(EDATE(_xlfn.MAXIFS(Acuses!$D$5:$D$3004,Acuses!$A$5:$A$3004,$A121,Acuses!$B$5:$B$3004,AG$4,Acuses!$C$5:$C$3004,AG$5),AG$8)&lt;Resumen!$C$4,"Caducado",IF(EDATE(_xlfn.MAXIFS(Acuses!$D$5:$D$3004,Acuses!$A$5:$A$3004,$A121,Acuses!$B$5:$B$3004,AG$4,Acuses!$C$5:$C$3004,AG$5),AG$8)&lt;Resumen!$C$4+30,"Caduca pronto","OK"))))))</f>
        <v/>
      </c>
      <c r="AH121" s="26" t="str">
        <f aca="false">IF(OR($A121="",AH$4=""),"",IF(NOT(OR(AH$6="Toda la plantilla",ISNUMBER(SEARCH(";"&amp;SUBSTITUTE($C121," ","")&amp;";",";"&amp;SUBSTITUTE(AH$7," ","")&amp;";")))),"—",IF(_xlfn.MAXIFS(Acuses!$C$5:$C$3004,Acuses!$A$5:$A$3004,$A121,Acuses!$B$5:$B$3004,AH$4)&lt;AH$5,"Pendiente",IF(AH$8=0,"OK",IF(EDATE(_xlfn.MAXIFS(Acuses!$D$5:$D$3004,Acuses!$A$5:$A$3004,$A121,Acuses!$B$5:$B$3004,AH$4,Acuses!$C$5:$C$3004,AH$5),AH$8)&lt;Resumen!$C$4,"Caducado",IF(EDATE(_xlfn.MAXIFS(Acuses!$D$5:$D$3004,Acuses!$A$5:$A$3004,$A121,Acuses!$B$5:$B$3004,AH$4,Acuses!$C$5:$C$3004,AH$5),AH$8)&lt;Resumen!$C$4+30,"Caduca pronto","OK"))))))</f>
        <v/>
      </c>
      <c r="AI121" s="26" t="str">
        <f aca="false">IF(OR($A121="",AI$4=""),"",IF(NOT(OR(AI$6="Toda la plantilla",ISNUMBER(SEARCH(";"&amp;SUBSTITUTE($C121," ","")&amp;";",";"&amp;SUBSTITUTE(AI$7," ","")&amp;";")))),"—",IF(_xlfn.MAXIFS(Acuses!$C$5:$C$3004,Acuses!$A$5:$A$3004,$A121,Acuses!$B$5:$B$3004,AI$4)&lt;AI$5,"Pendiente",IF(AI$8=0,"OK",IF(EDATE(_xlfn.MAXIFS(Acuses!$D$5:$D$3004,Acuses!$A$5:$A$3004,$A121,Acuses!$B$5:$B$3004,AI$4,Acuses!$C$5:$C$3004,AI$5),AI$8)&lt;Resumen!$C$4,"Caducado",IF(EDATE(_xlfn.MAXIFS(Acuses!$D$5:$D$3004,Acuses!$A$5:$A$3004,$A121,Acuses!$B$5:$B$3004,AI$4,Acuses!$C$5:$C$3004,AI$5),AI$8)&lt;Resumen!$C$4+30,"Caduca pronto","OK"))))))</f>
        <v/>
      </c>
      <c r="AJ121" s="26" t="str">
        <f aca="false">IF(OR($A121="",AJ$4=""),"",IF(NOT(OR(AJ$6="Toda la plantilla",ISNUMBER(SEARCH(";"&amp;SUBSTITUTE($C121," ","")&amp;";",";"&amp;SUBSTITUTE(AJ$7," ","")&amp;";")))),"—",IF(_xlfn.MAXIFS(Acuses!$C$5:$C$3004,Acuses!$A$5:$A$3004,$A121,Acuses!$B$5:$B$3004,AJ$4)&lt;AJ$5,"Pendiente",IF(AJ$8=0,"OK",IF(EDATE(_xlfn.MAXIFS(Acuses!$D$5:$D$3004,Acuses!$A$5:$A$3004,$A121,Acuses!$B$5:$B$3004,AJ$4,Acuses!$C$5:$C$3004,AJ$5),AJ$8)&lt;Resumen!$C$4,"Caducado",IF(EDATE(_xlfn.MAXIFS(Acuses!$D$5:$D$3004,Acuses!$A$5:$A$3004,$A121,Acuses!$B$5:$B$3004,AJ$4,Acuses!$C$5:$C$3004,AJ$5),AJ$8)&lt;Resumen!$C$4+30,"Caduca pronto","OK"))))))</f>
        <v/>
      </c>
      <c r="AK121" s="26" t="str">
        <f aca="false">IF(OR($A121="",AK$4=""),"",IF(NOT(OR(AK$6="Toda la plantilla",ISNUMBER(SEARCH(";"&amp;SUBSTITUTE($C121," ","")&amp;";",";"&amp;SUBSTITUTE(AK$7," ","")&amp;";")))),"—",IF(_xlfn.MAXIFS(Acuses!$C$5:$C$3004,Acuses!$A$5:$A$3004,$A121,Acuses!$B$5:$B$3004,AK$4)&lt;AK$5,"Pendiente",IF(AK$8=0,"OK",IF(EDATE(_xlfn.MAXIFS(Acuses!$D$5:$D$3004,Acuses!$A$5:$A$3004,$A121,Acuses!$B$5:$B$3004,AK$4,Acuses!$C$5:$C$3004,AK$5),AK$8)&lt;Resumen!$C$4,"Caducado",IF(EDATE(_xlfn.MAXIFS(Acuses!$D$5:$D$3004,Acuses!$A$5:$A$3004,$A121,Acuses!$B$5:$B$3004,AK$4,Acuses!$C$5:$C$3004,AK$5),AK$8)&lt;Resumen!$C$4+30,"Caduca pronto","OK"))))))</f>
        <v/>
      </c>
      <c r="AL121" s="26" t="str">
        <f aca="false">IF(OR($A121="",AL$4=""),"",IF(NOT(OR(AL$6="Toda la plantilla",ISNUMBER(SEARCH(";"&amp;SUBSTITUTE($C121," ","")&amp;";",";"&amp;SUBSTITUTE(AL$7," ","")&amp;";")))),"—",IF(_xlfn.MAXIFS(Acuses!$C$5:$C$3004,Acuses!$A$5:$A$3004,$A121,Acuses!$B$5:$B$3004,AL$4)&lt;AL$5,"Pendiente",IF(AL$8=0,"OK",IF(EDATE(_xlfn.MAXIFS(Acuses!$D$5:$D$3004,Acuses!$A$5:$A$3004,$A121,Acuses!$B$5:$B$3004,AL$4,Acuses!$C$5:$C$3004,AL$5),AL$8)&lt;Resumen!$C$4,"Caducado",IF(EDATE(_xlfn.MAXIFS(Acuses!$D$5:$D$3004,Acuses!$A$5:$A$3004,$A121,Acuses!$B$5:$B$3004,AL$4,Acuses!$C$5:$C$3004,AL$5),AL$8)&lt;Resumen!$C$4+30,"Caduca pronto","OK"))))))</f>
        <v/>
      </c>
      <c r="AM121" s="26" t="str">
        <f aca="false">IF(OR($A121="",AM$4=""),"",IF(NOT(OR(AM$6="Toda la plantilla",ISNUMBER(SEARCH(";"&amp;SUBSTITUTE($C121," ","")&amp;";",";"&amp;SUBSTITUTE(AM$7," ","")&amp;";")))),"—",IF(_xlfn.MAXIFS(Acuses!$C$5:$C$3004,Acuses!$A$5:$A$3004,$A121,Acuses!$B$5:$B$3004,AM$4)&lt;AM$5,"Pendiente",IF(AM$8=0,"OK",IF(EDATE(_xlfn.MAXIFS(Acuses!$D$5:$D$3004,Acuses!$A$5:$A$3004,$A121,Acuses!$B$5:$B$3004,AM$4,Acuses!$C$5:$C$3004,AM$5),AM$8)&lt;Resumen!$C$4,"Caducado",IF(EDATE(_xlfn.MAXIFS(Acuses!$D$5:$D$3004,Acuses!$A$5:$A$3004,$A121,Acuses!$B$5:$B$3004,AM$4,Acuses!$C$5:$C$3004,AM$5),AM$8)&lt;Resumen!$C$4+30,"Caduca pronto","OK"))))))</f>
        <v/>
      </c>
      <c r="AN121" s="26" t="str">
        <f aca="false">IF(OR($A121="",AN$4=""),"",IF(NOT(OR(AN$6="Toda la plantilla",ISNUMBER(SEARCH(";"&amp;SUBSTITUTE($C121," ","")&amp;";",";"&amp;SUBSTITUTE(AN$7," ","")&amp;";")))),"—",IF(_xlfn.MAXIFS(Acuses!$C$5:$C$3004,Acuses!$A$5:$A$3004,$A121,Acuses!$B$5:$B$3004,AN$4)&lt;AN$5,"Pendiente",IF(AN$8=0,"OK",IF(EDATE(_xlfn.MAXIFS(Acuses!$D$5:$D$3004,Acuses!$A$5:$A$3004,$A121,Acuses!$B$5:$B$3004,AN$4,Acuses!$C$5:$C$3004,AN$5),AN$8)&lt;Resumen!$C$4,"Caducado",IF(EDATE(_xlfn.MAXIFS(Acuses!$D$5:$D$3004,Acuses!$A$5:$A$3004,$A121,Acuses!$B$5:$B$3004,AN$4,Acuses!$C$5:$C$3004,AN$5),AN$8)&lt;Resumen!$C$4+30,"Caduca pronto","OK"))))))</f>
        <v/>
      </c>
      <c r="AO121" s="26" t="str">
        <f aca="false">IF(OR($A121="",AO$4=""),"",IF(NOT(OR(AO$6="Toda la plantilla",ISNUMBER(SEARCH(";"&amp;SUBSTITUTE($C121," ","")&amp;";",";"&amp;SUBSTITUTE(AO$7," ","")&amp;";")))),"—",IF(_xlfn.MAXIFS(Acuses!$C$5:$C$3004,Acuses!$A$5:$A$3004,$A121,Acuses!$B$5:$B$3004,AO$4)&lt;AO$5,"Pendiente",IF(AO$8=0,"OK",IF(EDATE(_xlfn.MAXIFS(Acuses!$D$5:$D$3004,Acuses!$A$5:$A$3004,$A121,Acuses!$B$5:$B$3004,AO$4,Acuses!$C$5:$C$3004,AO$5),AO$8)&lt;Resumen!$C$4,"Caducado",IF(EDATE(_xlfn.MAXIFS(Acuses!$D$5:$D$3004,Acuses!$A$5:$A$3004,$A121,Acuses!$B$5:$B$3004,AO$4,Acuses!$C$5:$C$3004,AO$5),AO$8)&lt;Resumen!$C$4+30,"Caduca pronto","OK"))))))</f>
        <v/>
      </c>
      <c r="AP121" s="26" t="str">
        <f aca="false">IF(OR($A121="",AP$4=""),"",IF(NOT(OR(AP$6="Toda la plantilla",ISNUMBER(SEARCH(";"&amp;SUBSTITUTE($C121," ","")&amp;";",";"&amp;SUBSTITUTE(AP$7," ","")&amp;";")))),"—",IF(_xlfn.MAXIFS(Acuses!$C$5:$C$3004,Acuses!$A$5:$A$3004,$A121,Acuses!$B$5:$B$3004,AP$4)&lt;AP$5,"Pendiente",IF(AP$8=0,"OK",IF(EDATE(_xlfn.MAXIFS(Acuses!$D$5:$D$3004,Acuses!$A$5:$A$3004,$A121,Acuses!$B$5:$B$3004,AP$4,Acuses!$C$5:$C$3004,AP$5),AP$8)&lt;Resumen!$C$4,"Caducado",IF(EDATE(_xlfn.MAXIFS(Acuses!$D$5:$D$3004,Acuses!$A$5:$A$3004,$A121,Acuses!$B$5:$B$3004,AP$4,Acuses!$C$5:$C$3004,AP$5),AP$8)&lt;Resumen!$C$4+30,"Caduca pronto","OK"))))))</f>
        <v/>
      </c>
      <c r="AQ121" s="26" t="str">
        <f aca="false">IF(OR($A121="",AQ$4=""),"",IF(NOT(OR(AQ$6="Toda la plantilla",ISNUMBER(SEARCH(";"&amp;SUBSTITUTE($C121," ","")&amp;";",";"&amp;SUBSTITUTE(AQ$7," ","")&amp;";")))),"—",IF(_xlfn.MAXIFS(Acuses!$C$5:$C$3004,Acuses!$A$5:$A$3004,$A121,Acuses!$B$5:$B$3004,AQ$4)&lt;AQ$5,"Pendiente",IF(AQ$8=0,"OK",IF(EDATE(_xlfn.MAXIFS(Acuses!$D$5:$D$3004,Acuses!$A$5:$A$3004,$A121,Acuses!$B$5:$B$3004,AQ$4,Acuses!$C$5:$C$3004,AQ$5),AQ$8)&lt;Resumen!$C$4,"Caducado",IF(EDATE(_xlfn.MAXIFS(Acuses!$D$5:$D$3004,Acuses!$A$5:$A$3004,$A121,Acuses!$B$5:$B$3004,AQ$4,Acuses!$C$5:$C$3004,AQ$5),AQ$8)&lt;Resumen!$C$4+30,"Caduca pronto","OK"))))))</f>
        <v/>
      </c>
    </row>
    <row r="122" customFormat="false" ht="15" hidden="false" customHeight="false" outlineLevel="0" collapsed="false">
      <c r="A122" s="25" t="str">
        <f aca="false">IF(AND(Trabajadores!$A$117&lt;&gt;"",Trabajadores!$G$117&lt;&gt;"No"),Trabajadores!$A$117,"")</f>
        <v/>
      </c>
      <c r="B122" s="25" t="str">
        <f aca="false">IF($A122="","",Trabajadores!$B$117)</f>
        <v/>
      </c>
      <c r="C122" s="25" t="str">
        <f aca="false">IF($A122="","",Trabajadores!$C$117)</f>
        <v/>
      </c>
      <c r="D122" s="26" t="str">
        <f aca="false">IF(OR($A122="",D$4=""),"",IF(NOT(OR(D$6="Toda la plantilla",ISNUMBER(SEARCH(";"&amp;SUBSTITUTE($C122," ","")&amp;";",";"&amp;SUBSTITUTE(D$7," ","")&amp;";")))),"—",IF(_xlfn.MAXIFS(Acuses!$C$5:$C$3004,Acuses!$A$5:$A$3004,$A122,Acuses!$B$5:$B$3004,D$4)&lt;D$5,"Pendiente",IF(D$8=0,"OK",IF(EDATE(_xlfn.MAXIFS(Acuses!$D$5:$D$3004,Acuses!$A$5:$A$3004,$A122,Acuses!$B$5:$B$3004,D$4,Acuses!$C$5:$C$3004,D$5),D$8)&lt;Resumen!$C$4,"Caducado",IF(EDATE(_xlfn.MAXIFS(Acuses!$D$5:$D$3004,Acuses!$A$5:$A$3004,$A122,Acuses!$B$5:$B$3004,D$4,Acuses!$C$5:$C$3004,D$5),D$8)&lt;Resumen!$C$4+30,"Caduca pronto","OK"))))))</f>
        <v/>
      </c>
      <c r="E122" s="26" t="str">
        <f aca="false">IF(OR($A122="",E$4=""),"",IF(NOT(OR(E$6="Toda la plantilla",ISNUMBER(SEARCH(";"&amp;SUBSTITUTE($C122," ","")&amp;";",";"&amp;SUBSTITUTE(E$7," ","")&amp;";")))),"—",IF(_xlfn.MAXIFS(Acuses!$C$5:$C$3004,Acuses!$A$5:$A$3004,$A122,Acuses!$B$5:$B$3004,E$4)&lt;E$5,"Pendiente",IF(E$8=0,"OK",IF(EDATE(_xlfn.MAXIFS(Acuses!$D$5:$D$3004,Acuses!$A$5:$A$3004,$A122,Acuses!$B$5:$B$3004,E$4,Acuses!$C$5:$C$3004,E$5),E$8)&lt;Resumen!$C$4,"Caducado",IF(EDATE(_xlfn.MAXIFS(Acuses!$D$5:$D$3004,Acuses!$A$5:$A$3004,$A122,Acuses!$B$5:$B$3004,E$4,Acuses!$C$5:$C$3004,E$5),E$8)&lt;Resumen!$C$4+30,"Caduca pronto","OK"))))))</f>
        <v/>
      </c>
      <c r="F122" s="26" t="str">
        <f aca="false">IF(OR($A122="",F$4=""),"",IF(NOT(OR(F$6="Toda la plantilla",ISNUMBER(SEARCH(";"&amp;SUBSTITUTE($C122," ","")&amp;";",";"&amp;SUBSTITUTE(F$7," ","")&amp;";")))),"—",IF(_xlfn.MAXIFS(Acuses!$C$5:$C$3004,Acuses!$A$5:$A$3004,$A122,Acuses!$B$5:$B$3004,F$4)&lt;F$5,"Pendiente",IF(F$8=0,"OK",IF(EDATE(_xlfn.MAXIFS(Acuses!$D$5:$D$3004,Acuses!$A$5:$A$3004,$A122,Acuses!$B$5:$B$3004,F$4,Acuses!$C$5:$C$3004,F$5),F$8)&lt;Resumen!$C$4,"Caducado",IF(EDATE(_xlfn.MAXIFS(Acuses!$D$5:$D$3004,Acuses!$A$5:$A$3004,$A122,Acuses!$B$5:$B$3004,F$4,Acuses!$C$5:$C$3004,F$5),F$8)&lt;Resumen!$C$4+30,"Caduca pronto","OK"))))))</f>
        <v/>
      </c>
      <c r="G122" s="26" t="str">
        <f aca="false">IF(OR($A122="",G$4=""),"",IF(NOT(OR(G$6="Toda la plantilla",ISNUMBER(SEARCH(";"&amp;SUBSTITUTE($C122," ","")&amp;";",";"&amp;SUBSTITUTE(G$7," ","")&amp;";")))),"—",IF(_xlfn.MAXIFS(Acuses!$C$5:$C$3004,Acuses!$A$5:$A$3004,$A122,Acuses!$B$5:$B$3004,G$4)&lt;G$5,"Pendiente",IF(G$8=0,"OK",IF(EDATE(_xlfn.MAXIFS(Acuses!$D$5:$D$3004,Acuses!$A$5:$A$3004,$A122,Acuses!$B$5:$B$3004,G$4,Acuses!$C$5:$C$3004,G$5),G$8)&lt;Resumen!$C$4,"Caducado",IF(EDATE(_xlfn.MAXIFS(Acuses!$D$5:$D$3004,Acuses!$A$5:$A$3004,$A122,Acuses!$B$5:$B$3004,G$4,Acuses!$C$5:$C$3004,G$5),G$8)&lt;Resumen!$C$4+30,"Caduca pronto","OK"))))))</f>
        <v/>
      </c>
      <c r="H122" s="26" t="str">
        <f aca="false">IF(OR($A122="",H$4=""),"",IF(NOT(OR(H$6="Toda la plantilla",ISNUMBER(SEARCH(";"&amp;SUBSTITUTE($C122," ","")&amp;";",";"&amp;SUBSTITUTE(H$7," ","")&amp;";")))),"—",IF(_xlfn.MAXIFS(Acuses!$C$5:$C$3004,Acuses!$A$5:$A$3004,$A122,Acuses!$B$5:$B$3004,H$4)&lt;H$5,"Pendiente",IF(H$8=0,"OK",IF(EDATE(_xlfn.MAXIFS(Acuses!$D$5:$D$3004,Acuses!$A$5:$A$3004,$A122,Acuses!$B$5:$B$3004,H$4,Acuses!$C$5:$C$3004,H$5),H$8)&lt;Resumen!$C$4,"Caducado",IF(EDATE(_xlfn.MAXIFS(Acuses!$D$5:$D$3004,Acuses!$A$5:$A$3004,$A122,Acuses!$B$5:$B$3004,H$4,Acuses!$C$5:$C$3004,H$5),H$8)&lt;Resumen!$C$4+30,"Caduca pronto","OK"))))))</f>
        <v/>
      </c>
      <c r="I122" s="26" t="str">
        <f aca="false">IF(OR($A122="",I$4=""),"",IF(NOT(OR(I$6="Toda la plantilla",ISNUMBER(SEARCH(";"&amp;SUBSTITUTE($C122," ","")&amp;";",";"&amp;SUBSTITUTE(I$7," ","")&amp;";")))),"—",IF(_xlfn.MAXIFS(Acuses!$C$5:$C$3004,Acuses!$A$5:$A$3004,$A122,Acuses!$B$5:$B$3004,I$4)&lt;I$5,"Pendiente",IF(I$8=0,"OK",IF(EDATE(_xlfn.MAXIFS(Acuses!$D$5:$D$3004,Acuses!$A$5:$A$3004,$A122,Acuses!$B$5:$B$3004,I$4,Acuses!$C$5:$C$3004,I$5),I$8)&lt;Resumen!$C$4,"Caducado",IF(EDATE(_xlfn.MAXIFS(Acuses!$D$5:$D$3004,Acuses!$A$5:$A$3004,$A122,Acuses!$B$5:$B$3004,I$4,Acuses!$C$5:$C$3004,I$5),I$8)&lt;Resumen!$C$4+30,"Caduca pronto","OK"))))))</f>
        <v/>
      </c>
      <c r="J122" s="26" t="str">
        <f aca="false">IF(OR($A122="",J$4=""),"",IF(NOT(OR(J$6="Toda la plantilla",ISNUMBER(SEARCH(";"&amp;SUBSTITUTE($C122," ","")&amp;";",";"&amp;SUBSTITUTE(J$7," ","")&amp;";")))),"—",IF(_xlfn.MAXIFS(Acuses!$C$5:$C$3004,Acuses!$A$5:$A$3004,$A122,Acuses!$B$5:$B$3004,J$4)&lt;J$5,"Pendiente",IF(J$8=0,"OK",IF(EDATE(_xlfn.MAXIFS(Acuses!$D$5:$D$3004,Acuses!$A$5:$A$3004,$A122,Acuses!$B$5:$B$3004,J$4,Acuses!$C$5:$C$3004,J$5),J$8)&lt;Resumen!$C$4,"Caducado",IF(EDATE(_xlfn.MAXIFS(Acuses!$D$5:$D$3004,Acuses!$A$5:$A$3004,$A122,Acuses!$B$5:$B$3004,J$4,Acuses!$C$5:$C$3004,J$5),J$8)&lt;Resumen!$C$4+30,"Caduca pronto","OK"))))))</f>
        <v/>
      </c>
      <c r="K122" s="26" t="str">
        <f aca="false">IF(OR($A122="",K$4=""),"",IF(NOT(OR(K$6="Toda la plantilla",ISNUMBER(SEARCH(";"&amp;SUBSTITUTE($C122," ","")&amp;";",";"&amp;SUBSTITUTE(K$7," ","")&amp;";")))),"—",IF(_xlfn.MAXIFS(Acuses!$C$5:$C$3004,Acuses!$A$5:$A$3004,$A122,Acuses!$B$5:$B$3004,K$4)&lt;K$5,"Pendiente",IF(K$8=0,"OK",IF(EDATE(_xlfn.MAXIFS(Acuses!$D$5:$D$3004,Acuses!$A$5:$A$3004,$A122,Acuses!$B$5:$B$3004,K$4,Acuses!$C$5:$C$3004,K$5),K$8)&lt;Resumen!$C$4,"Caducado",IF(EDATE(_xlfn.MAXIFS(Acuses!$D$5:$D$3004,Acuses!$A$5:$A$3004,$A122,Acuses!$B$5:$B$3004,K$4,Acuses!$C$5:$C$3004,K$5),K$8)&lt;Resumen!$C$4+30,"Caduca pronto","OK"))))))</f>
        <v/>
      </c>
      <c r="L122" s="26" t="str">
        <f aca="false">IF(OR($A122="",L$4=""),"",IF(NOT(OR(L$6="Toda la plantilla",ISNUMBER(SEARCH(";"&amp;SUBSTITUTE($C122," ","")&amp;";",";"&amp;SUBSTITUTE(L$7," ","")&amp;";")))),"—",IF(_xlfn.MAXIFS(Acuses!$C$5:$C$3004,Acuses!$A$5:$A$3004,$A122,Acuses!$B$5:$B$3004,L$4)&lt;L$5,"Pendiente",IF(L$8=0,"OK",IF(EDATE(_xlfn.MAXIFS(Acuses!$D$5:$D$3004,Acuses!$A$5:$A$3004,$A122,Acuses!$B$5:$B$3004,L$4,Acuses!$C$5:$C$3004,L$5),L$8)&lt;Resumen!$C$4,"Caducado",IF(EDATE(_xlfn.MAXIFS(Acuses!$D$5:$D$3004,Acuses!$A$5:$A$3004,$A122,Acuses!$B$5:$B$3004,L$4,Acuses!$C$5:$C$3004,L$5),L$8)&lt;Resumen!$C$4+30,"Caduca pronto","OK"))))))</f>
        <v/>
      </c>
      <c r="M122" s="26" t="str">
        <f aca="false">IF(OR($A122="",M$4=""),"",IF(NOT(OR(M$6="Toda la plantilla",ISNUMBER(SEARCH(";"&amp;SUBSTITUTE($C122," ","")&amp;";",";"&amp;SUBSTITUTE(M$7," ","")&amp;";")))),"—",IF(_xlfn.MAXIFS(Acuses!$C$5:$C$3004,Acuses!$A$5:$A$3004,$A122,Acuses!$B$5:$B$3004,M$4)&lt;M$5,"Pendiente",IF(M$8=0,"OK",IF(EDATE(_xlfn.MAXIFS(Acuses!$D$5:$D$3004,Acuses!$A$5:$A$3004,$A122,Acuses!$B$5:$B$3004,M$4,Acuses!$C$5:$C$3004,M$5),M$8)&lt;Resumen!$C$4,"Caducado",IF(EDATE(_xlfn.MAXIFS(Acuses!$D$5:$D$3004,Acuses!$A$5:$A$3004,$A122,Acuses!$B$5:$B$3004,M$4,Acuses!$C$5:$C$3004,M$5),M$8)&lt;Resumen!$C$4+30,"Caduca pronto","OK"))))))</f>
        <v/>
      </c>
      <c r="N122" s="26" t="str">
        <f aca="false">IF(OR($A122="",N$4=""),"",IF(NOT(OR(N$6="Toda la plantilla",ISNUMBER(SEARCH(";"&amp;SUBSTITUTE($C122," ","")&amp;";",";"&amp;SUBSTITUTE(N$7," ","")&amp;";")))),"—",IF(_xlfn.MAXIFS(Acuses!$C$5:$C$3004,Acuses!$A$5:$A$3004,$A122,Acuses!$B$5:$B$3004,N$4)&lt;N$5,"Pendiente",IF(N$8=0,"OK",IF(EDATE(_xlfn.MAXIFS(Acuses!$D$5:$D$3004,Acuses!$A$5:$A$3004,$A122,Acuses!$B$5:$B$3004,N$4,Acuses!$C$5:$C$3004,N$5),N$8)&lt;Resumen!$C$4,"Caducado",IF(EDATE(_xlfn.MAXIFS(Acuses!$D$5:$D$3004,Acuses!$A$5:$A$3004,$A122,Acuses!$B$5:$B$3004,N$4,Acuses!$C$5:$C$3004,N$5),N$8)&lt;Resumen!$C$4+30,"Caduca pronto","OK"))))))</f>
        <v/>
      </c>
      <c r="O122" s="26" t="str">
        <f aca="false">IF(OR($A122="",O$4=""),"",IF(NOT(OR(O$6="Toda la plantilla",ISNUMBER(SEARCH(";"&amp;SUBSTITUTE($C122," ","")&amp;";",";"&amp;SUBSTITUTE(O$7," ","")&amp;";")))),"—",IF(_xlfn.MAXIFS(Acuses!$C$5:$C$3004,Acuses!$A$5:$A$3004,$A122,Acuses!$B$5:$B$3004,O$4)&lt;O$5,"Pendiente",IF(O$8=0,"OK",IF(EDATE(_xlfn.MAXIFS(Acuses!$D$5:$D$3004,Acuses!$A$5:$A$3004,$A122,Acuses!$B$5:$B$3004,O$4,Acuses!$C$5:$C$3004,O$5),O$8)&lt;Resumen!$C$4,"Caducado",IF(EDATE(_xlfn.MAXIFS(Acuses!$D$5:$D$3004,Acuses!$A$5:$A$3004,$A122,Acuses!$B$5:$B$3004,O$4,Acuses!$C$5:$C$3004,O$5),O$8)&lt;Resumen!$C$4+30,"Caduca pronto","OK"))))))</f>
        <v/>
      </c>
      <c r="P122" s="26" t="str">
        <f aca="false">IF(OR($A122="",P$4=""),"",IF(NOT(OR(P$6="Toda la plantilla",ISNUMBER(SEARCH(";"&amp;SUBSTITUTE($C122," ","")&amp;";",";"&amp;SUBSTITUTE(P$7," ","")&amp;";")))),"—",IF(_xlfn.MAXIFS(Acuses!$C$5:$C$3004,Acuses!$A$5:$A$3004,$A122,Acuses!$B$5:$B$3004,P$4)&lt;P$5,"Pendiente",IF(P$8=0,"OK",IF(EDATE(_xlfn.MAXIFS(Acuses!$D$5:$D$3004,Acuses!$A$5:$A$3004,$A122,Acuses!$B$5:$B$3004,P$4,Acuses!$C$5:$C$3004,P$5),P$8)&lt;Resumen!$C$4,"Caducado",IF(EDATE(_xlfn.MAXIFS(Acuses!$D$5:$D$3004,Acuses!$A$5:$A$3004,$A122,Acuses!$B$5:$B$3004,P$4,Acuses!$C$5:$C$3004,P$5),P$8)&lt;Resumen!$C$4+30,"Caduca pronto","OK"))))))</f>
        <v/>
      </c>
      <c r="Q122" s="26" t="str">
        <f aca="false">IF(OR($A122="",Q$4=""),"",IF(NOT(OR(Q$6="Toda la plantilla",ISNUMBER(SEARCH(";"&amp;SUBSTITUTE($C122," ","")&amp;";",";"&amp;SUBSTITUTE(Q$7," ","")&amp;";")))),"—",IF(_xlfn.MAXIFS(Acuses!$C$5:$C$3004,Acuses!$A$5:$A$3004,$A122,Acuses!$B$5:$B$3004,Q$4)&lt;Q$5,"Pendiente",IF(Q$8=0,"OK",IF(EDATE(_xlfn.MAXIFS(Acuses!$D$5:$D$3004,Acuses!$A$5:$A$3004,$A122,Acuses!$B$5:$B$3004,Q$4,Acuses!$C$5:$C$3004,Q$5),Q$8)&lt;Resumen!$C$4,"Caducado",IF(EDATE(_xlfn.MAXIFS(Acuses!$D$5:$D$3004,Acuses!$A$5:$A$3004,$A122,Acuses!$B$5:$B$3004,Q$4,Acuses!$C$5:$C$3004,Q$5),Q$8)&lt;Resumen!$C$4+30,"Caduca pronto","OK"))))))</f>
        <v/>
      </c>
      <c r="R122" s="26" t="str">
        <f aca="false">IF(OR($A122="",R$4=""),"",IF(NOT(OR(R$6="Toda la plantilla",ISNUMBER(SEARCH(";"&amp;SUBSTITUTE($C122," ","")&amp;";",";"&amp;SUBSTITUTE(R$7," ","")&amp;";")))),"—",IF(_xlfn.MAXIFS(Acuses!$C$5:$C$3004,Acuses!$A$5:$A$3004,$A122,Acuses!$B$5:$B$3004,R$4)&lt;R$5,"Pendiente",IF(R$8=0,"OK",IF(EDATE(_xlfn.MAXIFS(Acuses!$D$5:$D$3004,Acuses!$A$5:$A$3004,$A122,Acuses!$B$5:$B$3004,R$4,Acuses!$C$5:$C$3004,R$5),R$8)&lt;Resumen!$C$4,"Caducado",IF(EDATE(_xlfn.MAXIFS(Acuses!$D$5:$D$3004,Acuses!$A$5:$A$3004,$A122,Acuses!$B$5:$B$3004,R$4,Acuses!$C$5:$C$3004,R$5),R$8)&lt;Resumen!$C$4+30,"Caduca pronto","OK"))))))</f>
        <v/>
      </c>
      <c r="S122" s="26" t="str">
        <f aca="false">IF(OR($A122="",S$4=""),"",IF(NOT(OR(S$6="Toda la plantilla",ISNUMBER(SEARCH(";"&amp;SUBSTITUTE($C122," ","")&amp;";",";"&amp;SUBSTITUTE(S$7," ","")&amp;";")))),"—",IF(_xlfn.MAXIFS(Acuses!$C$5:$C$3004,Acuses!$A$5:$A$3004,$A122,Acuses!$B$5:$B$3004,S$4)&lt;S$5,"Pendiente",IF(S$8=0,"OK",IF(EDATE(_xlfn.MAXIFS(Acuses!$D$5:$D$3004,Acuses!$A$5:$A$3004,$A122,Acuses!$B$5:$B$3004,S$4,Acuses!$C$5:$C$3004,S$5),S$8)&lt;Resumen!$C$4,"Caducado",IF(EDATE(_xlfn.MAXIFS(Acuses!$D$5:$D$3004,Acuses!$A$5:$A$3004,$A122,Acuses!$B$5:$B$3004,S$4,Acuses!$C$5:$C$3004,S$5),S$8)&lt;Resumen!$C$4+30,"Caduca pronto","OK"))))))</f>
        <v/>
      </c>
      <c r="T122" s="26" t="str">
        <f aca="false">IF(OR($A122="",T$4=""),"",IF(NOT(OR(T$6="Toda la plantilla",ISNUMBER(SEARCH(";"&amp;SUBSTITUTE($C122," ","")&amp;";",";"&amp;SUBSTITUTE(T$7," ","")&amp;";")))),"—",IF(_xlfn.MAXIFS(Acuses!$C$5:$C$3004,Acuses!$A$5:$A$3004,$A122,Acuses!$B$5:$B$3004,T$4)&lt;T$5,"Pendiente",IF(T$8=0,"OK",IF(EDATE(_xlfn.MAXIFS(Acuses!$D$5:$D$3004,Acuses!$A$5:$A$3004,$A122,Acuses!$B$5:$B$3004,T$4,Acuses!$C$5:$C$3004,T$5),T$8)&lt;Resumen!$C$4,"Caducado",IF(EDATE(_xlfn.MAXIFS(Acuses!$D$5:$D$3004,Acuses!$A$5:$A$3004,$A122,Acuses!$B$5:$B$3004,T$4,Acuses!$C$5:$C$3004,T$5),T$8)&lt;Resumen!$C$4+30,"Caduca pronto","OK"))))))</f>
        <v/>
      </c>
      <c r="U122" s="26" t="str">
        <f aca="false">IF(OR($A122="",U$4=""),"",IF(NOT(OR(U$6="Toda la plantilla",ISNUMBER(SEARCH(";"&amp;SUBSTITUTE($C122," ","")&amp;";",";"&amp;SUBSTITUTE(U$7," ","")&amp;";")))),"—",IF(_xlfn.MAXIFS(Acuses!$C$5:$C$3004,Acuses!$A$5:$A$3004,$A122,Acuses!$B$5:$B$3004,U$4)&lt;U$5,"Pendiente",IF(U$8=0,"OK",IF(EDATE(_xlfn.MAXIFS(Acuses!$D$5:$D$3004,Acuses!$A$5:$A$3004,$A122,Acuses!$B$5:$B$3004,U$4,Acuses!$C$5:$C$3004,U$5),U$8)&lt;Resumen!$C$4,"Caducado",IF(EDATE(_xlfn.MAXIFS(Acuses!$D$5:$D$3004,Acuses!$A$5:$A$3004,$A122,Acuses!$B$5:$B$3004,U$4,Acuses!$C$5:$C$3004,U$5),U$8)&lt;Resumen!$C$4+30,"Caduca pronto","OK"))))))</f>
        <v/>
      </c>
      <c r="V122" s="26" t="str">
        <f aca="false">IF(OR($A122="",V$4=""),"",IF(NOT(OR(V$6="Toda la plantilla",ISNUMBER(SEARCH(";"&amp;SUBSTITUTE($C122," ","")&amp;";",";"&amp;SUBSTITUTE(V$7," ","")&amp;";")))),"—",IF(_xlfn.MAXIFS(Acuses!$C$5:$C$3004,Acuses!$A$5:$A$3004,$A122,Acuses!$B$5:$B$3004,V$4)&lt;V$5,"Pendiente",IF(V$8=0,"OK",IF(EDATE(_xlfn.MAXIFS(Acuses!$D$5:$D$3004,Acuses!$A$5:$A$3004,$A122,Acuses!$B$5:$B$3004,V$4,Acuses!$C$5:$C$3004,V$5),V$8)&lt;Resumen!$C$4,"Caducado",IF(EDATE(_xlfn.MAXIFS(Acuses!$D$5:$D$3004,Acuses!$A$5:$A$3004,$A122,Acuses!$B$5:$B$3004,V$4,Acuses!$C$5:$C$3004,V$5),V$8)&lt;Resumen!$C$4+30,"Caduca pronto","OK"))))))</f>
        <v/>
      </c>
      <c r="W122" s="26" t="str">
        <f aca="false">IF(OR($A122="",W$4=""),"",IF(NOT(OR(W$6="Toda la plantilla",ISNUMBER(SEARCH(";"&amp;SUBSTITUTE($C122," ","")&amp;";",";"&amp;SUBSTITUTE(W$7," ","")&amp;";")))),"—",IF(_xlfn.MAXIFS(Acuses!$C$5:$C$3004,Acuses!$A$5:$A$3004,$A122,Acuses!$B$5:$B$3004,W$4)&lt;W$5,"Pendiente",IF(W$8=0,"OK",IF(EDATE(_xlfn.MAXIFS(Acuses!$D$5:$D$3004,Acuses!$A$5:$A$3004,$A122,Acuses!$B$5:$B$3004,W$4,Acuses!$C$5:$C$3004,W$5),W$8)&lt;Resumen!$C$4,"Caducado",IF(EDATE(_xlfn.MAXIFS(Acuses!$D$5:$D$3004,Acuses!$A$5:$A$3004,$A122,Acuses!$B$5:$B$3004,W$4,Acuses!$C$5:$C$3004,W$5),W$8)&lt;Resumen!$C$4+30,"Caduca pronto","OK"))))))</f>
        <v/>
      </c>
      <c r="X122" s="26" t="str">
        <f aca="false">IF(OR($A122="",X$4=""),"",IF(NOT(OR(X$6="Toda la plantilla",ISNUMBER(SEARCH(";"&amp;SUBSTITUTE($C122," ","")&amp;";",";"&amp;SUBSTITUTE(X$7," ","")&amp;";")))),"—",IF(_xlfn.MAXIFS(Acuses!$C$5:$C$3004,Acuses!$A$5:$A$3004,$A122,Acuses!$B$5:$B$3004,X$4)&lt;X$5,"Pendiente",IF(X$8=0,"OK",IF(EDATE(_xlfn.MAXIFS(Acuses!$D$5:$D$3004,Acuses!$A$5:$A$3004,$A122,Acuses!$B$5:$B$3004,X$4,Acuses!$C$5:$C$3004,X$5),X$8)&lt;Resumen!$C$4,"Caducado",IF(EDATE(_xlfn.MAXIFS(Acuses!$D$5:$D$3004,Acuses!$A$5:$A$3004,$A122,Acuses!$B$5:$B$3004,X$4,Acuses!$C$5:$C$3004,X$5),X$8)&lt;Resumen!$C$4+30,"Caduca pronto","OK"))))))</f>
        <v/>
      </c>
      <c r="Y122" s="26" t="str">
        <f aca="false">IF(OR($A122="",Y$4=""),"",IF(NOT(OR(Y$6="Toda la plantilla",ISNUMBER(SEARCH(";"&amp;SUBSTITUTE($C122," ","")&amp;";",";"&amp;SUBSTITUTE(Y$7," ","")&amp;";")))),"—",IF(_xlfn.MAXIFS(Acuses!$C$5:$C$3004,Acuses!$A$5:$A$3004,$A122,Acuses!$B$5:$B$3004,Y$4)&lt;Y$5,"Pendiente",IF(Y$8=0,"OK",IF(EDATE(_xlfn.MAXIFS(Acuses!$D$5:$D$3004,Acuses!$A$5:$A$3004,$A122,Acuses!$B$5:$B$3004,Y$4,Acuses!$C$5:$C$3004,Y$5),Y$8)&lt;Resumen!$C$4,"Caducado",IF(EDATE(_xlfn.MAXIFS(Acuses!$D$5:$D$3004,Acuses!$A$5:$A$3004,$A122,Acuses!$B$5:$B$3004,Y$4,Acuses!$C$5:$C$3004,Y$5),Y$8)&lt;Resumen!$C$4+30,"Caduca pronto","OK"))))))</f>
        <v/>
      </c>
      <c r="Z122" s="26" t="str">
        <f aca="false">IF(OR($A122="",Z$4=""),"",IF(NOT(OR(Z$6="Toda la plantilla",ISNUMBER(SEARCH(";"&amp;SUBSTITUTE($C122," ","")&amp;";",";"&amp;SUBSTITUTE(Z$7," ","")&amp;";")))),"—",IF(_xlfn.MAXIFS(Acuses!$C$5:$C$3004,Acuses!$A$5:$A$3004,$A122,Acuses!$B$5:$B$3004,Z$4)&lt;Z$5,"Pendiente",IF(Z$8=0,"OK",IF(EDATE(_xlfn.MAXIFS(Acuses!$D$5:$D$3004,Acuses!$A$5:$A$3004,$A122,Acuses!$B$5:$B$3004,Z$4,Acuses!$C$5:$C$3004,Z$5),Z$8)&lt;Resumen!$C$4,"Caducado",IF(EDATE(_xlfn.MAXIFS(Acuses!$D$5:$D$3004,Acuses!$A$5:$A$3004,$A122,Acuses!$B$5:$B$3004,Z$4,Acuses!$C$5:$C$3004,Z$5),Z$8)&lt;Resumen!$C$4+30,"Caduca pronto","OK"))))))</f>
        <v/>
      </c>
      <c r="AA122" s="26" t="str">
        <f aca="false">IF(OR($A122="",AA$4=""),"",IF(NOT(OR(AA$6="Toda la plantilla",ISNUMBER(SEARCH(";"&amp;SUBSTITUTE($C122," ","")&amp;";",";"&amp;SUBSTITUTE(AA$7," ","")&amp;";")))),"—",IF(_xlfn.MAXIFS(Acuses!$C$5:$C$3004,Acuses!$A$5:$A$3004,$A122,Acuses!$B$5:$B$3004,AA$4)&lt;AA$5,"Pendiente",IF(AA$8=0,"OK",IF(EDATE(_xlfn.MAXIFS(Acuses!$D$5:$D$3004,Acuses!$A$5:$A$3004,$A122,Acuses!$B$5:$B$3004,AA$4,Acuses!$C$5:$C$3004,AA$5),AA$8)&lt;Resumen!$C$4,"Caducado",IF(EDATE(_xlfn.MAXIFS(Acuses!$D$5:$D$3004,Acuses!$A$5:$A$3004,$A122,Acuses!$B$5:$B$3004,AA$4,Acuses!$C$5:$C$3004,AA$5),AA$8)&lt;Resumen!$C$4+30,"Caduca pronto","OK"))))))</f>
        <v/>
      </c>
      <c r="AB122" s="26" t="str">
        <f aca="false">IF(OR($A122="",AB$4=""),"",IF(NOT(OR(AB$6="Toda la plantilla",ISNUMBER(SEARCH(";"&amp;SUBSTITUTE($C122," ","")&amp;";",";"&amp;SUBSTITUTE(AB$7," ","")&amp;";")))),"—",IF(_xlfn.MAXIFS(Acuses!$C$5:$C$3004,Acuses!$A$5:$A$3004,$A122,Acuses!$B$5:$B$3004,AB$4)&lt;AB$5,"Pendiente",IF(AB$8=0,"OK",IF(EDATE(_xlfn.MAXIFS(Acuses!$D$5:$D$3004,Acuses!$A$5:$A$3004,$A122,Acuses!$B$5:$B$3004,AB$4,Acuses!$C$5:$C$3004,AB$5),AB$8)&lt;Resumen!$C$4,"Caducado",IF(EDATE(_xlfn.MAXIFS(Acuses!$D$5:$D$3004,Acuses!$A$5:$A$3004,$A122,Acuses!$B$5:$B$3004,AB$4,Acuses!$C$5:$C$3004,AB$5),AB$8)&lt;Resumen!$C$4+30,"Caduca pronto","OK"))))))</f>
        <v/>
      </c>
      <c r="AC122" s="26" t="str">
        <f aca="false">IF(OR($A122="",AC$4=""),"",IF(NOT(OR(AC$6="Toda la plantilla",ISNUMBER(SEARCH(";"&amp;SUBSTITUTE($C122," ","")&amp;";",";"&amp;SUBSTITUTE(AC$7," ","")&amp;";")))),"—",IF(_xlfn.MAXIFS(Acuses!$C$5:$C$3004,Acuses!$A$5:$A$3004,$A122,Acuses!$B$5:$B$3004,AC$4)&lt;AC$5,"Pendiente",IF(AC$8=0,"OK",IF(EDATE(_xlfn.MAXIFS(Acuses!$D$5:$D$3004,Acuses!$A$5:$A$3004,$A122,Acuses!$B$5:$B$3004,AC$4,Acuses!$C$5:$C$3004,AC$5),AC$8)&lt;Resumen!$C$4,"Caducado",IF(EDATE(_xlfn.MAXIFS(Acuses!$D$5:$D$3004,Acuses!$A$5:$A$3004,$A122,Acuses!$B$5:$B$3004,AC$4,Acuses!$C$5:$C$3004,AC$5),AC$8)&lt;Resumen!$C$4+30,"Caduca pronto","OK"))))))</f>
        <v/>
      </c>
      <c r="AD122" s="26" t="str">
        <f aca="false">IF(OR($A122="",AD$4=""),"",IF(NOT(OR(AD$6="Toda la plantilla",ISNUMBER(SEARCH(";"&amp;SUBSTITUTE($C122," ","")&amp;";",";"&amp;SUBSTITUTE(AD$7," ","")&amp;";")))),"—",IF(_xlfn.MAXIFS(Acuses!$C$5:$C$3004,Acuses!$A$5:$A$3004,$A122,Acuses!$B$5:$B$3004,AD$4)&lt;AD$5,"Pendiente",IF(AD$8=0,"OK",IF(EDATE(_xlfn.MAXIFS(Acuses!$D$5:$D$3004,Acuses!$A$5:$A$3004,$A122,Acuses!$B$5:$B$3004,AD$4,Acuses!$C$5:$C$3004,AD$5),AD$8)&lt;Resumen!$C$4,"Caducado",IF(EDATE(_xlfn.MAXIFS(Acuses!$D$5:$D$3004,Acuses!$A$5:$A$3004,$A122,Acuses!$B$5:$B$3004,AD$4,Acuses!$C$5:$C$3004,AD$5),AD$8)&lt;Resumen!$C$4+30,"Caduca pronto","OK"))))))</f>
        <v/>
      </c>
      <c r="AE122" s="26" t="str">
        <f aca="false">IF(OR($A122="",AE$4=""),"",IF(NOT(OR(AE$6="Toda la plantilla",ISNUMBER(SEARCH(";"&amp;SUBSTITUTE($C122," ","")&amp;";",";"&amp;SUBSTITUTE(AE$7," ","")&amp;";")))),"—",IF(_xlfn.MAXIFS(Acuses!$C$5:$C$3004,Acuses!$A$5:$A$3004,$A122,Acuses!$B$5:$B$3004,AE$4)&lt;AE$5,"Pendiente",IF(AE$8=0,"OK",IF(EDATE(_xlfn.MAXIFS(Acuses!$D$5:$D$3004,Acuses!$A$5:$A$3004,$A122,Acuses!$B$5:$B$3004,AE$4,Acuses!$C$5:$C$3004,AE$5),AE$8)&lt;Resumen!$C$4,"Caducado",IF(EDATE(_xlfn.MAXIFS(Acuses!$D$5:$D$3004,Acuses!$A$5:$A$3004,$A122,Acuses!$B$5:$B$3004,AE$4,Acuses!$C$5:$C$3004,AE$5),AE$8)&lt;Resumen!$C$4+30,"Caduca pronto","OK"))))))</f>
        <v/>
      </c>
      <c r="AF122" s="26" t="str">
        <f aca="false">IF(OR($A122="",AF$4=""),"",IF(NOT(OR(AF$6="Toda la plantilla",ISNUMBER(SEARCH(";"&amp;SUBSTITUTE($C122," ","")&amp;";",";"&amp;SUBSTITUTE(AF$7," ","")&amp;";")))),"—",IF(_xlfn.MAXIFS(Acuses!$C$5:$C$3004,Acuses!$A$5:$A$3004,$A122,Acuses!$B$5:$B$3004,AF$4)&lt;AF$5,"Pendiente",IF(AF$8=0,"OK",IF(EDATE(_xlfn.MAXIFS(Acuses!$D$5:$D$3004,Acuses!$A$5:$A$3004,$A122,Acuses!$B$5:$B$3004,AF$4,Acuses!$C$5:$C$3004,AF$5),AF$8)&lt;Resumen!$C$4,"Caducado",IF(EDATE(_xlfn.MAXIFS(Acuses!$D$5:$D$3004,Acuses!$A$5:$A$3004,$A122,Acuses!$B$5:$B$3004,AF$4,Acuses!$C$5:$C$3004,AF$5),AF$8)&lt;Resumen!$C$4+30,"Caduca pronto","OK"))))))</f>
        <v/>
      </c>
      <c r="AG122" s="26" t="str">
        <f aca="false">IF(OR($A122="",AG$4=""),"",IF(NOT(OR(AG$6="Toda la plantilla",ISNUMBER(SEARCH(";"&amp;SUBSTITUTE($C122," ","")&amp;";",";"&amp;SUBSTITUTE(AG$7," ","")&amp;";")))),"—",IF(_xlfn.MAXIFS(Acuses!$C$5:$C$3004,Acuses!$A$5:$A$3004,$A122,Acuses!$B$5:$B$3004,AG$4)&lt;AG$5,"Pendiente",IF(AG$8=0,"OK",IF(EDATE(_xlfn.MAXIFS(Acuses!$D$5:$D$3004,Acuses!$A$5:$A$3004,$A122,Acuses!$B$5:$B$3004,AG$4,Acuses!$C$5:$C$3004,AG$5),AG$8)&lt;Resumen!$C$4,"Caducado",IF(EDATE(_xlfn.MAXIFS(Acuses!$D$5:$D$3004,Acuses!$A$5:$A$3004,$A122,Acuses!$B$5:$B$3004,AG$4,Acuses!$C$5:$C$3004,AG$5),AG$8)&lt;Resumen!$C$4+30,"Caduca pronto","OK"))))))</f>
        <v/>
      </c>
      <c r="AH122" s="26" t="str">
        <f aca="false">IF(OR($A122="",AH$4=""),"",IF(NOT(OR(AH$6="Toda la plantilla",ISNUMBER(SEARCH(";"&amp;SUBSTITUTE($C122," ","")&amp;";",";"&amp;SUBSTITUTE(AH$7," ","")&amp;";")))),"—",IF(_xlfn.MAXIFS(Acuses!$C$5:$C$3004,Acuses!$A$5:$A$3004,$A122,Acuses!$B$5:$B$3004,AH$4)&lt;AH$5,"Pendiente",IF(AH$8=0,"OK",IF(EDATE(_xlfn.MAXIFS(Acuses!$D$5:$D$3004,Acuses!$A$5:$A$3004,$A122,Acuses!$B$5:$B$3004,AH$4,Acuses!$C$5:$C$3004,AH$5),AH$8)&lt;Resumen!$C$4,"Caducado",IF(EDATE(_xlfn.MAXIFS(Acuses!$D$5:$D$3004,Acuses!$A$5:$A$3004,$A122,Acuses!$B$5:$B$3004,AH$4,Acuses!$C$5:$C$3004,AH$5),AH$8)&lt;Resumen!$C$4+30,"Caduca pronto","OK"))))))</f>
        <v/>
      </c>
      <c r="AI122" s="26" t="str">
        <f aca="false">IF(OR($A122="",AI$4=""),"",IF(NOT(OR(AI$6="Toda la plantilla",ISNUMBER(SEARCH(";"&amp;SUBSTITUTE($C122," ","")&amp;";",";"&amp;SUBSTITUTE(AI$7," ","")&amp;";")))),"—",IF(_xlfn.MAXIFS(Acuses!$C$5:$C$3004,Acuses!$A$5:$A$3004,$A122,Acuses!$B$5:$B$3004,AI$4)&lt;AI$5,"Pendiente",IF(AI$8=0,"OK",IF(EDATE(_xlfn.MAXIFS(Acuses!$D$5:$D$3004,Acuses!$A$5:$A$3004,$A122,Acuses!$B$5:$B$3004,AI$4,Acuses!$C$5:$C$3004,AI$5),AI$8)&lt;Resumen!$C$4,"Caducado",IF(EDATE(_xlfn.MAXIFS(Acuses!$D$5:$D$3004,Acuses!$A$5:$A$3004,$A122,Acuses!$B$5:$B$3004,AI$4,Acuses!$C$5:$C$3004,AI$5),AI$8)&lt;Resumen!$C$4+30,"Caduca pronto","OK"))))))</f>
        <v/>
      </c>
      <c r="AJ122" s="26" t="str">
        <f aca="false">IF(OR($A122="",AJ$4=""),"",IF(NOT(OR(AJ$6="Toda la plantilla",ISNUMBER(SEARCH(";"&amp;SUBSTITUTE($C122," ","")&amp;";",";"&amp;SUBSTITUTE(AJ$7," ","")&amp;";")))),"—",IF(_xlfn.MAXIFS(Acuses!$C$5:$C$3004,Acuses!$A$5:$A$3004,$A122,Acuses!$B$5:$B$3004,AJ$4)&lt;AJ$5,"Pendiente",IF(AJ$8=0,"OK",IF(EDATE(_xlfn.MAXIFS(Acuses!$D$5:$D$3004,Acuses!$A$5:$A$3004,$A122,Acuses!$B$5:$B$3004,AJ$4,Acuses!$C$5:$C$3004,AJ$5),AJ$8)&lt;Resumen!$C$4,"Caducado",IF(EDATE(_xlfn.MAXIFS(Acuses!$D$5:$D$3004,Acuses!$A$5:$A$3004,$A122,Acuses!$B$5:$B$3004,AJ$4,Acuses!$C$5:$C$3004,AJ$5),AJ$8)&lt;Resumen!$C$4+30,"Caduca pronto","OK"))))))</f>
        <v/>
      </c>
      <c r="AK122" s="26" t="str">
        <f aca="false">IF(OR($A122="",AK$4=""),"",IF(NOT(OR(AK$6="Toda la plantilla",ISNUMBER(SEARCH(";"&amp;SUBSTITUTE($C122," ","")&amp;";",";"&amp;SUBSTITUTE(AK$7," ","")&amp;";")))),"—",IF(_xlfn.MAXIFS(Acuses!$C$5:$C$3004,Acuses!$A$5:$A$3004,$A122,Acuses!$B$5:$B$3004,AK$4)&lt;AK$5,"Pendiente",IF(AK$8=0,"OK",IF(EDATE(_xlfn.MAXIFS(Acuses!$D$5:$D$3004,Acuses!$A$5:$A$3004,$A122,Acuses!$B$5:$B$3004,AK$4,Acuses!$C$5:$C$3004,AK$5),AK$8)&lt;Resumen!$C$4,"Caducado",IF(EDATE(_xlfn.MAXIFS(Acuses!$D$5:$D$3004,Acuses!$A$5:$A$3004,$A122,Acuses!$B$5:$B$3004,AK$4,Acuses!$C$5:$C$3004,AK$5),AK$8)&lt;Resumen!$C$4+30,"Caduca pronto","OK"))))))</f>
        <v/>
      </c>
      <c r="AL122" s="26" t="str">
        <f aca="false">IF(OR($A122="",AL$4=""),"",IF(NOT(OR(AL$6="Toda la plantilla",ISNUMBER(SEARCH(";"&amp;SUBSTITUTE($C122," ","")&amp;";",";"&amp;SUBSTITUTE(AL$7," ","")&amp;";")))),"—",IF(_xlfn.MAXIFS(Acuses!$C$5:$C$3004,Acuses!$A$5:$A$3004,$A122,Acuses!$B$5:$B$3004,AL$4)&lt;AL$5,"Pendiente",IF(AL$8=0,"OK",IF(EDATE(_xlfn.MAXIFS(Acuses!$D$5:$D$3004,Acuses!$A$5:$A$3004,$A122,Acuses!$B$5:$B$3004,AL$4,Acuses!$C$5:$C$3004,AL$5),AL$8)&lt;Resumen!$C$4,"Caducado",IF(EDATE(_xlfn.MAXIFS(Acuses!$D$5:$D$3004,Acuses!$A$5:$A$3004,$A122,Acuses!$B$5:$B$3004,AL$4,Acuses!$C$5:$C$3004,AL$5),AL$8)&lt;Resumen!$C$4+30,"Caduca pronto","OK"))))))</f>
        <v/>
      </c>
      <c r="AM122" s="26" t="str">
        <f aca="false">IF(OR($A122="",AM$4=""),"",IF(NOT(OR(AM$6="Toda la plantilla",ISNUMBER(SEARCH(";"&amp;SUBSTITUTE($C122," ","")&amp;";",";"&amp;SUBSTITUTE(AM$7," ","")&amp;";")))),"—",IF(_xlfn.MAXIFS(Acuses!$C$5:$C$3004,Acuses!$A$5:$A$3004,$A122,Acuses!$B$5:$B$3004,AM$4)&lt;AM$5,"Pendiente",IF(AM$8=0,"OK",IF(EDATE(_xlfn.MAXIFS(Acuses!$D$5:$D$3004,Acuses!$A$5:$A$3004,$A122,Acuses!$B$5:$B$3004,AM$4,Acuses!$C$5:$C$3004,AM$5),AM$8)&lt;Resumen!$C$4,"Caducado",IF(EDATE(_xlfn.MAXIFS(Acuses!$D$5:$D$3004,Acuses!$A$5:$A$3004,$A122,Acuses!$B$5:$B$3004,AM$4,Acuses!$C$5:$C$3004,AM$5),AM$8)&lt;Resumen!$C$4+30,"Caduca pronto","OK"))))))</f>
        <v/>
      </c>
      <c r="AN122" s="26" t="str">
        <f aca="false">IF(OR($A122="",AN$4=""),"",IF(NOT(OR(AN$6="Toda la plantilla",ISNUMBER(SEARCH(";"&amp;SUBSTITUTE($C122," ","")&amp;";",";"&amp;SUBSTITUTE(AN$7," ","")&amp;";")))),"—",IF(_xlfn.MAXIFS(Acuses!$C$5:$C$3004,Acuses!$A$5:$A$3004,$A122,Acuses!$B$5:$B$3004,AN$4)&lt;AN$5,"Pendiente",IF(AN$8=0,"OK",IF(EDATE(_xlfn.MAXIFS(Acuses!$D$5:$D$3004,Acuses!$A$5:$A$3004,$A122,Acuses!$B$5:$B$3004,AN$4,Acuses!$C$5:$C$3004,AN$5),AN$8)&lt;Resumen!$C$4,"Caducado",IF(EDATE(_xlfn.MAXIFS(Acuses!$D$5:$D$3004,Acuses!$A$5:$A$3004,$A122,Acuses!$B$5:$B$3004,AN$4,Acuses!$C$5:$C$3004,AN$5),AN$8)&lt;Resumen!$C$4+30,"Caduca pronto","OK"))))))</f>
        <v/>
      </c>
      <c r="AO122" s="26" t="str">
        <f aca="false">IF(OR($A122="",AO$4=""),"",IF(NOT(OR(AO$6="Toda la plantilla",ISNUMBER(SEARCH(";"&amp;SUBSTITUTE($C122," ","")&amp;";",";"&amp;SUBSTITUTE(AO$7," ","")&amp;";")))),"—",IF(_xlfn.MAXIFS(Acuses!$C$5:$C$3004,Acuses!$A$5:$A$3004,$A122,Acuses!$B$5:$B$3004,AO$4)&lt;AO$5,"Pendiente",IF(AO$8=0,"OK",IF(EDATE(_xlfn.MAXIFS(Acuses!$D$5:$D$3004,Acuses!$A$5:$A$3004,$A122,Acuses!$B$5:$B$3004,AO$4,Acuses!$C$5:$C$3004,AO$5),AO$8)&lt;Resumen!$C$4,"Caducado",IF(EDATE(_xlfn.MAXIFS(Acuses!$D$5:$D$3004,Acuses!$A$5:$A$3004,$A122,Acuses!$B$5:$B$3004,AO$4,Acuses!$C$5:$C$3004,AO$5),AO$8)&lt;Resumen!$C$4+30,"Caduca pronto","OK"))))))</f>
        <v/>
      </c>
      <c r="AP122" s="26" t="str">
        <f aca="false">IF(OR($A122="",AP$4=""),"",IF(NOT(OR(AP$6="Toda la plantilla",ISNUMBER(SEARCH(";"&amp;SUBSTITUTE($C122," ","")&amp;";",";"&amp;SUBSTITUTE(AP$7," ","")&amp;";")))),"—",IF(_xlfn.MAXIFS(Acuses!$C$5:$C$3004,Acuses!$A$5:$A$3004,$A122,Acuses!$B$5:$B$3004,AP$4)&lt;AP$5,"Pendiente",IF(AP$8=0,"OK",IF(EDATE(_xlfn.MAXIFS(Acuses!$D$5:$D$3004,Acuses!$A$5:$A$3004,$A122,Acuses!$B$5:$B$3004,AP$4,Acuses!$C$5:$C$3004,AP$5),AP$8)&lt;Resumen!$C$4,"Caducado",IF(EDATE(_xlfn.MAXIFS(Acuses!$D$5:$D$3004,Acuses!$A$5:$A$3004,$A122,Acuses!$B$5:$B$3004,AP$4,Acuses!$C$5:$C$3004,AP$5),AP$8)&lt;Resumen!$C$4+30,"Caduca pronto","OK"))))))</f>
        <v/>
      </c>
      <c r="AQ122" s="26" t="str">
        <f aca="false">IF(OR($A122="",AQ$4=""),"",IF(NOT(OR(AQ$6="Toda la plantilla",ISNUMBER(SEARCH(";"&amp;SUBSTITUTE($C122," ","")&amp;";",";"&amp;SUBSTITUTE(AQ$7," ","")&amp;";")))),"—",IF(_xlfn.MAXIFS(Acuses!$C$5:$C$3004,Acuses!$A$5:$A$3004,$A122,Acuses!$B$5:$B$3004,AQ$4)&lt;AQ$5,"Pendiente",IF(AQ$8=0,"OK",IF(EDATE(_xlfn.MAXIFS(Acuses!$D$5:$D$3004,Acuses!$A$5:$A$3004,$A122,Acuses!$B$5:$B$3004,AQ$4,Acuses!$C$5:$C$3004,AQ$5),AQ$8)&lt;Resumen!$C$4,"Caducado",IF(EDATE(_xlfn.MAXIFS(Acuses!$D$5:$D$3004,Acuses!$A$5:$A$3004,$A122,Acuses!$B$5:$B$3004,AQ$4,Acuses!$C$5:$C$3004,AQ$5),AQ$8)&lt;Resumen!$C$4+30,"Caduca pronto","OK"))))))</f>
        <v/>
      </c>
    </row>
    <row r="123" customFormat="false" ht="15" hidden="false" customHeight="false" outlineLevel="0" collapsed="false">
      <c r="A123" s="25" t="str">
        <f aca="false">IF(AND(Trabajadores!$A$118&lt;&gt;"",Trabajadores!$G$118&lt;&gt;"No"),Trabajadores!$A$118,"")</f>
        <v/>
      </c>
      <c r="B123" s="25" t="str">
        <f aca="false">IF($A123="","",Trabajadores!$B$118)</f>
        <v/>
      </c>
      <c r="C123" s="25" t="str">
        <f aca="false">IF($A123="","",Trabajadores!$C$118)</f>
        <v/>
      </c>
      <c r="D123" s="26" t="str">
        <f aca="false">IF(OR($A123="",D$4=""),"",IF(NOT(OR(D$6="Toda la plantilla",ISNUMBER(SEARCH(";"&amp;SUBSTITUTE($C123," ","")&amp;";",";"&amp;SUBSTITUTE(D$7," ","")&amp;";")))),"—",IF(_xlfn.MAXIFS(Acuses!$C$5:$C$3004,Acuses!$A$5:$A$3004,$A123,Acuses!$B$5:$B$3004,D$4)&lt;D$5,"Pendiente",IF(D$8=0,"OK",IF(EDATE(_xlfn.MAXIFS(Acuses!$D$5:$D$3004,Acuses!$A$5:$A$3004,$A123,Acuses!$B$5:$B$3004,D$4,Acuses!$C$5:$C$3004,D$5),D$8)&lt;Resumen!$C$4,"Caducado",IF(EDATE(_xlfn.MAXIFS(Acuses!$D$5:$D$3004,Acuses!$A$5:$A$3004,$A123,Acuses!$B$5:$B$3004,D$4,Acuses!$C$5:$C$3004,D$5),D$8)&lt;Resumen!$C$4+30,"Caduca pronto","OK"))))))</f>
        <v/>
      </c>
      <c r="E123" s="26" t="str">
        <f aca="false">IF(OR($A123="",E$4=""),"",IF(NOT(OR(E$6="Toda la plantilla",ISNUMBER(SEARCH(";"&amp;SUBSTITUTE($C123," ","")&amp;";",";"&amp;SUBSTITUTE(E$7," ","")&amp;";")))),"—",IF(_xlfn.MAXIFS(Acuses!$C$5:$C$3004,Acuses!$A$5:$A$3004,$A123,Acuses!$B$5:$B$3004,E$4)&lt;E$5,"Pendiente",IF(E$8=0,"OK",IF(EDATE(_xlfn.MAXIFS(Acuses!$D$5:$D$3004,Acuses!$A$5:$A$3004,$A123,Acuses!$B$5:$B$3004,E$4,Acuses!$C$5:$C$3004,E$5),E$8)&lt;Resumen!$C$4,"Caducado",IF(EDATE(_xlfn.MAXIFS(Acuses!$D$5:$D$3004,Acuses!$A$5:$A$3004,$A123,Acuses!$B$5:$B$3004,E$4,Acuses!$C$5:$C$3004,E$5),E$8)&lt;Resumen!$C$4+30,"Caduca pronto","OK"))))))</f>
        <v/>
      </c>
      <c r="F123" s="26" t="str">
        <f aca="false">IF(OR($A123="",F$4=""),"",IF(NOT(OR(F$6="Toda la plantilla",ISNUMBER(SEARCH(";"&amp;SUBSTITUTE($C123," ","")&amp;";",";"&amp;SUBSTITUTE(F$7," ","")&amp;";")))),"—",IF(_xlfn.MAXIFS(Acuses!$C$5:$C$3004,Acuses!$A$5:$A$3004,$A123,Acuses!$B$5:$B$3004,F$4)&lt;F$5,"Pendiente",IF(F$8=0,"OK",IF(EDATE(_xlfn.MAXIFS(Acuses!$D$5:$D$3004,Acuses!$A$5:$A$3004,$A123,Acuses!$B$5:$B$3004,F$4,Acuses!$C$5:$C$3004,F$5),F$8)&lt;Resumen!$C$4,"Caducado",IF(EDATE(_xlfn.MAXIFS(Acuses!$D$5:$D$3004,Acuses!$A$5:$A$3004,$A123,Acuses!$B$5:$B$3004,F$4,Acuses!$C$5:$C$3004,F$5),F$8)&lt;Resumen!$C$4+30,"Caduca pronto","OK"))))))</f>
        <v/>
      </c>
      <c r="G123" s="26" t="str">
        <f aca="false">IF(OR($A123="",G$4=""),"",IF(NOT(OR(G$6="Toda la plantilla",ISNUMBER(SEARCH(";"&amp;SUBSTITUTE($C123," ","")&amp;";",";"&amp;SUBSTITUTE(G$7," ","")&amp;";")))),"—",IF(_xlfn.MAXIFS(Acuses!$C$5:$C$3004,Acuses!$A$5:$A$3004,$A123,Acuses!$B$5:$B$3004,G$4)&lt;G$5,"Pendiente",IF(G$8=0,"OK",IF(EDATE(_xlfn.MAXIFS(Acuses!$D$5:$D$3004,Acuses!$A$5:$A$3004,$A123,Acuses!$B$5:$B$3004,G$4,Acuses!$C$5:$C$3004,G$5),G$8)&lt;Resumen!$C$4,"Caducado",IF(EDATE(_xlfn.MAXIFS(Acuses!$D$5:$D$3004,Acuses!$A$5:$A$3004,$A123,Acuses!$B$5:$B$3004,G$4,Acuses!$C$5:$C$3004,G$5),G$8)&lt;Resumen!$C$4+30,"Caduca pronto","OK"))))))</f>
        <v/>
      </c>
      <c r="H123" s="26" t="str">
        <f aca="false">IF(OR($A123="",H$4=""),"",IF(NOT(OR(H$6="Toda la plantilla",ISNUMBER(SEARCH(";"&amp;SUBSTITUTE($C123," ","")&amp;";",";"&amp;SUBSTITUTE(H$7," ","")&amp;";")))),"—",IF(_xlfn.MAXIFS(Acuses!$C$5:$C$3004,Acuses!$A$5:$A$3004,$A123,Acuses!$B$5:$B$3004,H$4)&lt;H$5,"Pendiente",IF(H$8=0,"OK",IF(EDATE(_xlfn.MAXIFS(Acuses!$D$5:$D$3004,Acuses!$A$5:$A$3004,$A123,Acuses!$B$5:$B$3004,H$4,Acuses!$C$5:$C$3004,H$5),H$8)&lt;Resumen!$C$4,"Caducado",IF(EDATE(_xlfn.MAXIFS(Acuses!$D$5:$D$3004,Acuses!$A$5:$A$3004,$A123,Acuses!$B$5:$B$3004,H$4,Acuses!$C$5:$C$3004,H$5),H$8)&lt;Resumen!$C$4+30,"Caduca pronto","OK"))))))</f>
        <v/>
      </c>
      <c r="I123" s="26" t="str">
        <f aca="false">IF(OR($A123="",I$4=""),"",IF(NOT(OR(I$6="Toda la plantilla",ISNUMBER(SEARCH(";"&amp;SUBSTITUTE($C123," ","")&amp;";",";"&amp;SUBSTITUTE(I$7," ","")&amp;";")))),"—",IF(_xlfn.MAXIFS(Acuses!$C$5:$C$3004,Acuses!$A$5:$A$3004,$A123,Acuses!$B$5:$B$3004,I$4)&lt;I$5,"Pendiente",IF(I$8=0,"OK",IF(EDATE(_xlfn.MAXIFS(Acuses!$D$5:$D$3004,Acuses!$A$5:$A$3004,$A123,Acuses!$B$5:$B$3004,I$4,Acuses!$C$5:$C$3004,I$5),I$8)&lt;Resumen!$C$4,"Caducado",IF(EDATE(_xlfn.MAXIFS(Acuses!$D$5:$D$3004,Acuses!$A$5:$A$3004,$A123,Acuses!$B$5:$B$3004,I$4,Acuses!$C$5:$C$3004,I$5),I$8)&lt;Resumen!$C$4+30,"Caduca pronto","OK"))))))</f>
        <v/>
      </c>
      <c r="J123" s="26" t="str">
        <f aca="false">IF(OR($A123="",J$4=""),"",IF(NOT(OR(J$6="Toda la plantilla",ISNUMBER(SEARCH(";"&amp;SUBSTITUTE($C123," ","")&amp;";",";"&amp;SUBSTITUTE(J$7," ","")&amp;";")))),"—",IF(_xlfn.MAXIFS(Acuses!$C$5:$C$3004,Acuses!$A$5:$A$3004,$A123,Acuses!$B$5:$B$3004,J$4)&lt;J$5,"Pendiente",IF(J$8=0,"OK",IF(EDATE(_xlfn.MAXIFS(Acuses!$D$5:$D$3004,Acuses!$A$5:$A$3004,$A123,Acuses!$B$5:$B$3004,J$4,Acuses!$C$5:$C$3004,J$5),J$8)&lt;Resumen!$C$4,"Caducado",IF(EDATE(_xlfn.MAXIFS(Acuses!$D$5:$D$3004,Acuses!$A$5:$A$3004,$A123,Acuses!$B$5:$B$3004,J$4,Acuses!$C$5:$C$3004,J$5),J$8)&lt;Resumen!$C$4+30,"Caduca pronto","OK"))))))</f>
        <v/>
      </c>
      <c r="K123" s="26" t="str">
        <f aca="false">IF(OR($A123="",K$4=""),"",IF(NOT(OR(K$6="Toda la plantilla",ISNUMBER(SEARCH(";"&amp;SUBSTITUTE($C123," ","")&amp;";",";"&amp;SUBSTITUTE(K$7," ","")&amp;";")))),"—",IF(_xlfn.MAXIFS(Acuses!$C$5:$C$3004,Acuses!$A$5:$A$3004,$A123,Acuses!$B$5:$B$3004,K$4)&lt;K$5,"Pendiente",IF(K$8=0,"OK",IF(EDATE(_xlfn.MAXIFS(Acuses!$D$5:$D$3004,Acuses!$A$5:$A$3004,$A123,Acuses!$B$5:$B$3004,K$4,Acuses!$C$5:$C$3004,K$5),K$8)&lt;Resumen!$C$4,"Caducado",IF(EDATE(_xlfn.MAXIFS(Acuses!$D$5:$D$3004,Acuses!$A$5:$A$3004,$A123,Acuses!$B$5:$B$3004,K$4,Acuses!$C$5:$C$3004,K$5),K$8)&lt;Resumen!$C$4+30,"Caduca pronto","OK"))))))</f>
        <v/>
      </c>
      <c r="L123" s="26" t="str">
        <f aca="false">IF(OR($A123="",L$4=""),"",IF(NOT(OR(L$6="Toda la plantilla",ISNUMBER(SEARCH(";"&amp;SUBSTITUTE($C123," ","")&amp;";",";"&amp;SUBSTITUTE(L$7," ","")&amp;";")))),"—",IF(_xlfn.MAXIFS(Acuses!$C$5:$C$3004,Acuses!$A$5:$A$3004,$A123,Acuses!$B$5:$B$3004,L$4)&lt;L$5,"Pendiente",IF(L$8=0,"OK",IF(EDATE(_xlfn.MAXIFS(Acuses!$D$5:$D$3004,Acuses!$A$5:$A$3004,$A123,Acuses!$B$5:$B$3004,L$4,Acuses!$C$5:$C$3004,L$5),L$8)&lt;Resumen!$C$4,"Caducado",IF(EDATE(_xlfn.MAXIFS(Acuses!$D$5:$D$3004,Acuses!$A$5:$A$3004,$A123,Acuses!$B$5:$B$3004,L$4,Acuses!$C$5:$C$3004,L$5),L$8)&lt;Resumen!$C$4+30,"Caduca pronto","OK"))))))</f>
        <v/>
      </c>
      <c r="M123" s="26" t="str">
        <f aca="false">IF(OR($A123="",M$4=""),"",IF(NOT(OR(M$6="Toda la plantilla",ISNUMBER(SEARCH(";"&amp;SUBSTITUTE($C123," ","")&amp;";",";"&amp;SUBSTITUTE(M$7," ","")&amp;";")))),"—",IF(_xlfn.MAXIFS(Acuses!$C$5:$C$3004,Acuses!$A$5:$A$3004,$A123,Acuses!$B$5:$B$3004,M$4)&lt;M$5,"Pendiente",IF(M$8=0,"OK",IF(EDATE(_xlfn.MAXIFS(Acuses!$D$5:$D$3004,Acuses!$A$5:$A$3004,$A123,Acuses!$B$5:$B$3004,M$4,Acuses!$C$5:$C$3004,M$5),M$8)&lt;Resumen!$C$4,"Caducado",IF(EDATE(_xlfn.MAXIFS(Acuses!$D$5:$D$3004,Acuses!$A$5:$A$3004,$A123,Acuses!$B$5:$B$3004,M$4,Acuses!$C$5:$C$3004,M$5),M$8)&lt;Resumen!$C$4+30,"Caduca pronto","OK"))))))</f>
        <v/>
      </c>
      <c r="N123" s="26" t="str">
        <f aca="false">IF(OR($A123="",N$4=""),"",IF(NOT(OR(N$6="Toda la plantilla",ISNUMBER(SEARCH(";"&amp;SUBSTITUTE($C123," ","")&amp;";",";"&amp;SUBSTITUTE(N$7," ","")&amp;";")))),"—",IF(_xlfn.MAXIFS(Acuses!$C$5:$C$3004,Acuses!$A$5:$A$3004,$A123,Acuses!$B$5:$B$3004,N$4)&lt;N$5,"Pendiente",IF(N$8=0,"OK",IF(EDATE(_xlfn.MAXIFS(Acuses!$D$5:$D$3004,Acuses!$A$5:$A$3004,$A123,Acuses!$B$5:$B$3004,N$4,Acuses!$C$5:$C$3004,N$5),N$8)&lt;Resumen!$C$4,"Caducado",IF(EDATE(_xlfn.MAXIFS(Acuses!$D$5:$D$3004,Acuses!$A$5:$A$3004,$A123,Acuses!$B$5:$B$3004,N$4,Acuses!$C$5:$C$3004,N$5),N$8)&lt;Resumen!$C$4+30,"Caduca pronto","OK"))))))</f>
        <v/>
      </c>
      <c r="O123" s="26" t="str">
        <f aca="false">IF(OR($A123="",O$4=""),"",IF(NOT(OR(O$6="Toda la plantilla",ISNUMBER(SEARCH(";"&amp;SUBSTITUTE($C123," ","")&amp;";",";"&amp;SUBSTITUTE(O$7," ","")&amp;";")))),"—",IF(_xlfn.MAXIFS(Acuses!$C$5:$C$3004,Acuses!$A$5:$A$3004,$A123,Acuses!$B$5:$B$3004,O$4)&lt;O$5,"Pendiente",IF(O$8=0,"OK",IF(EDATE(_xlfn.MAXIFS(Acuses!$D$5:$D$3004,Acuses!$A$5:$A$3004,$A123,Acuses!$B$5:$B$3004,O$4,Acuses!$C$5:$C$3004,O$5),O$8)&lt;Resumen!$C$4,"Caducado",IF(EDATE(_xlfn.MAXIFS(Acuses!$D$5:$D$3004,Acuses!$A$5:$A$3004,$A123,Acuses!$B$5:$B$3004,O$4,Acuses!$C$5:$C$3004,O$5),O$8)&lt;Resumen!$C$4+30,"Caduca pronto","OK"))))))</f>
        <v/>
      </c>
      <c r="P123" s="26" t="str">
        <f aca="false">IF(OR($A123="",P$4=""),"",IF(NOT(OR(P$6="Toda la plantilla",ISNUMBER(SEARCH(";"&amp;SUBSTITUTE($C123," ","")&amp;";",";"&amp;SUBSTITUTE(P$7," ","")&amp;";")))),"—",IF(_xlfn.MAXIFS(Acuses!$C$5:$C$3004,Acuses!$A$5:$A$3004,$A123,Acuses!$B$5:$B$3004,P$4)&lt;P$5,"Pendiente",IF(P$8=0,"OK",IF(EDATE(_xlfn.MAXIFS(Acuses!$D$5:$D$3004,Acuses!$A$5:$A$3004,$A123,Acuses!$B$5:$B$3004,P$4,Acuses!$C$5:$C$3004,P$5),P$8)&lt;Resumen!$C$4,"Caducado",IF(EDATE(_xlfn.MAXIFS(Acuses!$D$5:$D$3004,Acuses!$A$5:$A$3004,$A123,Acuses!$B$5:$B$3004,P$4,Acuses!$C$5:$C$3004,P$5),P$8)&lt;Resumen!$C$4+30,"Caduca pronto","OK"))))))</f>
        <v/>
      </c>
      <c r="Q123" s="26" t="str">
        <f aca="false">IF(OR($A123="",Q$4=""),"",IF(NOT(OR(Q$6="Toda la plantilla",ISNUMBER(SEARCH(";"&amp;SUBSTITUTE($C123," ","")&amp;";",";"&amp;SUBSTITUTE(Q$7," ","")&amp;";")))),"—",IF(_xlfn.MAXIFS(Acuses!$C$5:$C$3004,Acuses!$A$5:$A$3004,$A123,Acuses!$B$5:$B$3004,Q$4)&lt;Q$5,"Pendiente",IF(Q$8=0,"OK",IF(EDATE(_xlfn.MAXIFS(Acuses!$D$5:$D$3004,Acuses!$A$5:$A$3004,$A123,Acuses!$B$5:$B$3004,Q$4,Acuses!$C$5:$C$3004,Q$5),Q$8)&lt;Resumen!$C$4,"Caducado",IF(EDATE(_xlfn.MAXIFS(Acuses!$D$5:$D$3004,Acuses!$A$5:$A$3004,$A123,Acuses!$B$5:$B$3004,Q$4,Acuses!$C$5:$C$3004,Q$5),Q$8)&lt;Resumen!$C$4+30,"Caduca pronto","OK"))))))</f>
        <v/>
      </c>
      <c r="R123" s="26" t="str">
        <f aca="false">IF(OR($A123="",R$4=""),"",IF(NOT(OR(R$6="Toda la plantilla",ISNUMBER(SEARCH(";"&amp;SUBSTITUTE($C123," ","")&amp;";",";"&amp;SUBSTITUTE(R$7," ","")&amp;";")))),"—",IF(_xlfn.MAXIFS(Acuses!$C$5:$C$3004,Acuses!$A$5:$A$3004,$A123,Acuses!$B$5:$B$3004,R$4)&lt;R$5,"Pendiente",IF(R$8=0,"OK",IF(EDATE(_xlfn.MAXIFS(Acuses!$D$5:$D$3004,Acuses!$A$5:$A$3004,$A123,Acuses!$B$5:$B$3004,R$4,Acuses!$C$5:$C$3004,R$5),R$8)&lt;Resumen!$C$4,"Caducado",IF(EDATE(_xlfn.MAXIFS(Acuses!$D$5:$D$3004,Acuses!$A$5:$A$3004,$A123,Acuses!$B$5:$B$3004,R$4,Acuses!$C$5:$C$3004,R$5),R$8)&lt;Resumen!$C$4+30,"Caduca pronto","OK"))))))</f>
        <v/>
      </c>
      <c r="S123" s="26" t="str">
        <f aca="false">IF(OR($A123="",S$4=""),"",IF(NOT(OR(S$6="Toda la plantilla",ISNUMBER(SEARCH(";"&amp;SUBSTITUTE($C123," ","")&amp;";",";"&amp;SUBSTITUTE(S$7," ","")&amp;";")))),"—",IF(_xlfn.MAXIFS(Acuses!$C$5:$C$3004,Acuses!$A$5:$A$3004,$A123,Acuses!$B$5:$B$3004,S$4)&lt;S$5,"Pendiente",IF(S$8=0,"OK",IF(EDATE(_xlfn.MAXIFS(Acuses!$D$5:$D$3004,Acuses!$A$5:$A$3004,$A123,Acuses!$B$5:$B$3004,S$4,Acuses!$C$5:$C$3004,S$5),S$8)&lt;Resumen!$C$4,"Caducado",IF(EDATE(_xlfn.MAXIFS(Acuses!$D$5:$D$3004,Acuses!$A$5:$A$3004,$A123,Acuses!$B$5:$B$3004,S$4,Acuses!$C$5:$C$3004,S$5),S$8)&lt;Resumen!$C$4+30,"Caduca pronto","OK"))))))</f>
        <v/>
      </c>
      <c r="T123" s="26" t="str">
        <f aca="false">IF(OR($A123="",T$4=""),"",IF(NOT(OR(T$6="Toda la plantilla",ISNUMBER(SEARCH(";"&amp;SUBSTITUTE($C123," ","")&amp;";",";"&amp;SUBSTITUTE(T$7," ","")&amp;";")))),"—",IF(_xlfn.MAXIFS(Acuses!$C$5:$C$3004,Acuses!$A$5:$A$3004,$A123,Acuses!$B$5:$B$3004,T$4)&lt;T$5,"Pendiente",IF(T$8=0,"OK",IF(EDATE(_xlfn.MAXIFS(Acuses!$D$5:$D$3004,Acuses!$A$5:$A$3004,$A123,Acuses!$B$5:$B$3004,T$4,Acuses!$C$5:$C$3004,T$5),T$8)&lt;Resumen!$C$4,"Caducado",IF(EDATE(_xlfn.MAXIFS(Acuses!$D$5:$D$3004,Acuses!$A$5:$A$3004,$A123,Acuses!$B$5:$B$3004,T$4,Acuses!$C$5:$C$3004,T$5),T$8)&lt;Resumen!$C$4+30,"Caduca pronto","OK"))))))</f>
        <v/>
      </c>
      <c r="U123" s="26" t="str">
        <f aca="false">IF(OR($A123="",U$4=""),"",IF(NOT(OR(U$6="Toda la plantilla",ISNUMBER(SEARCH(";"&amp;SUBSTITUTE($C123," ","")&amp;";",";"&amp;SUBSTITUTE(U$7," ","")&amp;";")))),"—",IF(_xlfn.MAXIFS(Acuses!$C$5:$C$3004,Acuses!$A$5:$A$3004,$A123,Acuses!$B$5:$B$3004,U$4)&lt;U$5,"Pendiente",IF(U$8=0,"OK",IF(EDATE(_xlfn.MAXIFS(Acuses!$D$5:$D$3004,Acuses!$A$5:$A$3004,$A123,Acuses!$B$5:$B$3004,U$4,Acuses!$C$5:$C$3004,U$5),U$8)&lt;Resumen!$C$4,"Caducado",IF(EDATE(_xlfn.MAXIFS(Acuses!$D$5:$D$3004,Acuses!$A$5:$A$3004,$A123,Acuses!$B$5:$B$3004,U$4,Acuses!$C$5:$C$3004,U$5),U$8)&lt;Resumen!$C$4+30,"Caduca pronto","OK"))))))</f>
        <v/>
      </c>
      <c r="V123" s="26" t="str">
        <f aca="false">IF(OR($A123="",V$4=""),"",IF(NOT(OR(V$6="Toda la plantilla",ISNUMBER(SEARCH(";"&amp;SUBSTITUTE($C123," ","")&amp;";",";"&amp;SUBSTITUTE(V$7," ","")&amp;";")))),"—",IF(_xlfn.MAXIFS(Acuses!$C$5:$C$3004,Acuses!$A$5:$A$3004,$A123,Acuses!$B$5:$B$3004,V$4)&lt;V$5,"Pendiente",IF(V$8=0,"OK",IF(EDATE(_xlfn.MAXIFS(Acuses!$D$5:$D$3004,Acuses!$A$5:$A$3004,$A123,Acuses!$B$5:$B$3004,V$4,Acuses!$C$5:$C$3004,V$5),V$8)&lt;Resumen!$C$4,"Caducado",IF(EDATE(_xlfn.MAXIFS(Acuses!$D$5:$D$3004,Acuses!$A$5:$A$3004,$A123,Acuses!$B$5:$B$3004,V$4,Acuses!$C$5:$C$3004,V$5),V$8)&lt;Resumen!$C$4+30,"Caduca pronto","OK"))))))</f>
        <v/>
      </c>
      <c r="W123" s="26" t="str">
        <f aca="false">IF(OR($A123="",W$4=""),"",IF(NOT(OR(W$6="Toda la plantilla",ISNUMBER(SEARCH(";"&amp;SUBSTITUTE($C123," ","")&amp;";",";"&amp;SUBSTITUTE(W$7," ","")&amp;";")))),"—",IF(_xlfn.MAXIFS(Acuses!$C$5:$C$3004,Acuses!$A$5:$A$3004,$A123,Acuses!$B$5:$B$3004,W$4)&lt;W$5,"Pendiente",IF(W$8=0,"OK",IF(EDATE(_xlfn.MAXIFS(Acuses!$D$5:$D$3004,Acuses!$A$5:$A$3004,$A123,Acuses!$B$5:$B$3004,W$4,Acuses!$C$5:$C$3004,W$5),W$8)&lt;Resumen!$C$4,"Caducado",IF(EDATE(_xlfn.MAXIFS(Acuses!$D$5:$D$3004,Acuses!$A$5:$A$3004,$A123,Acuses!$B$5:$B$3004,W$4,Acuses!$C$5:$C$3004,W$5),W$8)&lt;Resumen!$C$4+30,"Caduca pronto","OK"))))))</f>
        <v/>
      </c>
      <c r="X123" s="26" t="str">
        <f aca="false">IF(OR($A123="",X$4=""),"",IF(NOT(OR(X$6="Toda la plantilla",ISNUMBER(SEARCH(";"&amp;SUBSTITUTE($C123," ","")&amp;";",";"&amp;SUBSTITUTE(X$7," ","")&amp;";")))),"—",IF(_xlfn.MAXIFS(Acuses!$C$5:$C$3004,Acuses!$A$5:$A$3004,$A123,Acuses!$B$5:$B$3004,X$4)&lt;X$5,"Pendiente",IF(X$8=0,"OK",IF(EDATE(_xlfn.MAXIFS(Acuses!$D$5:$D$3004,Acuses!$A$5:$A$3004,$A123,Acuses!$B$5:$B$3004,X$4,Acuses!$C$5:$C$3004,X$5),X$8)&lt;Resumen!$C$4,"Caducado",IF(EDATE(_xlfn.MAXIFS(Acuses!$D$5:$D$3004,Acuses!$A$5:$A$3004,$A123,Acuses!$B$5:$B$3004,X$4,Acuses!$C$5:$C$3004,X$5),X$8)&lt;Resumen!$C$4+30,"Caduca pronto","OK"))))))</f>
        <v/>
      </c>
      <c r="Y123" s="26" t="str">
        <f aca="false">IF(OR($A123="",Y$4=""),"",IF(NOT(OR(Y$6="Toda la plantilla",ISNUMBER(SEARCH(";"&amp;SUBSTITUTE($C123," ","")&amp;";",";"&amp;SUBSTITUTE(Y$7," ","")&amp;";")))),"—",IF(_xlfn.MAXIFS(Acuses!$C$5:$C$3004,Acuses!$A$5:$A$3004,$A123,Acuses!$B$5:$B$3004,Y$4)&lt;Y$5,"Pendiente",IF(Y$8=0,"OK",IF(EDATE(_xlfn.MAXIFS(Acuses!$D$5:$D$3004,Acuses!$A$5:$A$3004,$A123,Acuses!$B$5:$B$3004,Y$4,Acuses!$C$5:$C$3004,Y$5),Y$8)&lt;Resumen!$C$4,"Caducado",IF(EDATE(_xlfn.MAXIFS(Acuses!$D$5:$D$3004,Acuses!$A$5:$A$3004,$A123,Acuses!$B$5:$B$3004,Y$4,Acuses!$C$5:$C$3004,Y$5),Y$8)&lt;Resumen!$C$4+30,"Caduca pronto","OK"))))))</f>
        <v/>
      </c>
      <c r="Z123" s="26" t="str">
        <f aca="false">IF(OR($A123="",Z$4=""),"",IF(NOT(OR(Z$6="Toda la plantilla",ISNUMBER(SEARCH(";"&amp;SUBSTITUTE($C123," ","")&amp;";",";"&amp;SUBSTITUTE(Z$7," ","")&amp;";")))),"—",IF(_xlfn.MAXIFS(Acuses!$C$5:$C$3004,Acuses!$A$5:$A$3004,$A123,Acuses!$B$5:$B$3004,Z$4)&lt;Z$5,"Pendiente",IF(Z$8=0,"OK",IF(EDATE(_xlfn.MAXIFS(Acuses!$D$5:$D$3004,Acuses!$A$5:$A$3004,$A123,Acuses!$B$5:$B$3004,Z$4,Acuses!$C$5:$C$3004,Z$5),Z$8)&lt;Resumen!$C$4,"Caducado",IF(EDATE(_xlfn.MAXIFS(Acuses!$D$5:$D$3004,Acuses!$A$5:$A$3004,$A123,Acuses!$B$5:$B$3004,Z$4,Acuses!$C$5:$C$3004,Z$5),Z$8)&lt;Resumen!$C$4+30,"Caduca pronto","OK"))))))</f>
        <v/>
      </c>
      <c r="AA123" s="26" t="str">
        <f aca="false">IF(OR($A123="",AA$4=""),"",IF(NOT(OR(AA$6="Toda la plantilla",ISNUMBER(SEARCH(";"&amp;SUBSTITUTE($C123," ","")&amp;";",";"&amp;SUBSTITUTE(AA$7," ","")&amp;";")))),"—",IF(_xlfn.MAXIFS(Acuses!$C$5:$C$3004,Acuses!$A$5:$A$3004,$A123,Acuses!$B$5:$B$3004,AA$4)&lt;AA$5,"Pendiente",IF(AA$8=0,"OK",IF(EDATE(_xlfn.MAXIFS(Acuses!$D$5:$D$3004,Acuses!$A$5:$A$3004,$A123,Acuses!$B$5:$B$3004,AA$4,Acuses!$C$5:$C$3004,AA$5),AA$8)&lt;Resumen!$C$4,"Caducado",IF(EDATE(_xlfn.MAXIFS(Acuses!$D$5:$D$3004,Acuses!$A$5:$A$3004,$A123,Acuses!$B$5:$B$3004,AA$4,Acuses!$C$5:$C$3004,AA$5),AA$8)&lt;Resumen!$C$4+30,"Caduca pronto","OK"))))))</f>
        <v/>
      </c>
      <c r="AB123" s="26" t="str">
        <f aca="false">IF(OR($A123="",AB$4=""),"",IF(NOT(OR(AB$6="Toda la plantilla",ISNUMBER(SEARCH(";"&amp;SUBSTITUTE($C123," ","")&amp;";",";"&amp;SUBSTITUTE(AB$7," ","")&amp;";")))),"—",IF(_xlfn.MAXIFS(Acuses!$C$5:$C$3004,Acuses!$A$5:$A$3004,$A123,Acuses!$B$5:$B$3004,AB$4)&lt;AB$5,"Pendiente",IF(AB$8=0,"OK",IF(EDATE(_xlfn.MAXIFS(Acuses!$D$5:$D$3004,Acuses!$A$5:$A$3004,$A123,Acuses!$B$5:$B$3004,AB$4,Acuses!$C$5:$C$3004,AB$5),AB$8)&lt;Resumen!$C$4,"Caducado",IF(EDATE(_xlfn.MAXIFS(Acuses!$D$5:$D$3004,Acuses!$A$5:$A$3004,$A123,Acuses!$B$5:$B$3004,AB$4,Acuses!$C$5:$C$3004,AB$5),AB$8)&lt;Resumen!$C$4+30,"Caduca pronto","OK"))))))</f>
        <v/>
      </c>
      <c r="AC123" s="26" t="str">
        <f aca="false">IF(OR($A123="",AC$4=""),"",IF(NOT(OR(AC$6="Toda la plantilla",ISNUMBER(SEARCH(";"&amp;SUBSTITUTE($C123," ","")&amp;";",";"&amp;SUBSTITUTE(AC$7," ","")&amp;";")))),"—",IF(_xlfn.MAXIFS(Acuses!$C$5:$C$3004,Acuses!$A$5:$A$3004,$A123,Acuses!$B$5:$B$3004,AC$4)&lt;AC$5,"Pendiente",IF(AC$8=0,"OK",IF(EDATE(_xlfn.MAXIFS(Acuses!$D$5:$D$3004,Acuses!$A$5:$A$3004,$A123,Acuses!$B$5:$B$3004,AC$4,Acuses!$C$5:$C$3004,AC$5),AC$8)&lt;Resumen!$C$4,"Caducado",IF(EDATE(_xlfn.MAXIFS(Acuses!$D$5:$D$3004,Acuses!$A$5:$A$3004,$A123,Acuses!$B$5:$B$3004,AC$4,Acuses!$C$5:$C$3004,AC$5),AC$8)&lt;Resumen!$C$4+30,"Caduca pronto","OK"))))))</f>
        <v/>
      </c>
      <c r="AD123" s="26" t="str">
        <f aca="false">IF(OR($A123="",AD$4=""),"",IF(NOT(OR(AD$6="Toda la plantilla",ISNUMBER(SEARCH(";"&amp;SUBSTITUTE($C123," ","")&amp;";",";"&amp;SUBSTITUTE(AD$7," ","")&amp;";")))),"—",IF(_xlfn.MAXIFS(Acuses!$C$5:$C$3004,Acuses!$A$5:$A$3004,$A123,Acuses!$B$5:$B$3004,AD$4)&lt;AD$5,"Pendiente",IF(AD$8=0,"OK",IF(EDATE(_xlfn.MAXIFS(Acuses!$D$5:$D$3004,Acuses!$A$5:$A$3004,$A123,Acuses!$B$5:$B$3004,AD$4,Acuses!$C$5:$C$3004,AD$5),AD$8)&lt;Resumen!$C$4,"Caducado",IF(EDATE(_xlfn.MAXIFS(Acuses!$D$5:$D$3004,Acuses!$A$5:$A$3004,$A123,Acuses!$B$5:$B$3004,AD$4,Acuses!$C$5:$C$3004,AD$5),AD$8)&lt;Resumen!$C$4+30,"Caduca pronto","OK"))))))</f>
        <v/>
      </c>
      <c r="AE123" s="26" t="str">
        <f aca="false">IF(OR($A123="",AE$4=""),"",IF(NOT(OR(AE$6="Toda la plantilla",ISNUMBER(SEARCH(";"&amp;SUBSTITUTE($C123," ","")&amp;";",";"&amp;SUBSTITUTE(AE$7," ","")&amp;";")))),"—",IF(_xlfn.MAXIFS(Acuses!$C$5:$C$3004,Acuses!$A$5:$A$3004,$A123,Acuses!$B$5:$B$3004,AE$4)&lt;AE$5,"Pendiente",IF(AE$8=0,"OK",IF(EDATE(_xlfn.MAXIFS(Acuses!$D$5:$D$3004,Acuses!$A$5:$A$3004,$A123,Acuses!$B$5:$B$3004,AE$4,Acuses!$C$5:$C$3004,AE$5),AE$8)&lt;Resumen!$C$4,"Caducado",IF(EDATE(_xlfn.MAXIFS(Acuses!$D$5:$D$3004,Acuses!$A$5:$A$3004,$A123,Acuses!$B$5:$B$3004,AE$4,Acuses!$C$5:$C$3004,AE$5),AE$8)&lt;Resumen!$C$4+30,"Caduca pronto","OK"))))))</f>
        <v/>
      </c>
      <c r="AF123" s="26" t="str">
        <f aca="false">IF(OR($A123="",AF$4=""),"",IF(NOT(OR(AF$6="Toda la plantilla",ISNUMBER(SEARCH(";"&amp;SUBSTITUTE($C123," ","")&amp;";",";"&amp;SUBSTITUTE(AF$7," ","")&amp;";")))),"—",IF(_xlfn.MAXIFS(Acuses!$C$5:$C$3004,Acuses!$A$5:$A$3004,$A123,Acuses!$B$5:$B$3004,AF$4)&lt;AF$5,"Pendiente",IF(AF$8=0,"OK",IF(EDATE(_xlfn.MAXIFS(Acuses!$D$5:$D$3004,Acuses!$A$5:$A$3004,$A123,Acuses!$B$5:$B$3004,AF$4,Acuses!$C$5:$C$3004,AF$5),AF$8)&lt;Resumen!$C$4,"Caducado",IF(EDATE(_xlfn.MAXIFS(Acuses!$D$5:$D$3004,Acuses!$A$5:$A$3004,$A123,Acuses!$B$5:$B$3004,AF$4,Acuses!$C$5:$C$3004,AF$5),AF$8)&lt;Resumen!$C$4+30,"Caduca pronto","OK"))))))</f>
        <v/>
      </c>
      <c r="AG123" s="26" t="str">
        <f aca="false">IF(OR($A123="",AG$4=""),"",IF(NOT(OR(AG$6="Toda la plantilla",ISNUMBER(SEARCH(";"&amp;SUBSTITUTE($C123," ","")&amp;";",";"&amp;SUBSTITUTE(AG$7," ","")&amp;";")))),"—",IF(_xlfn.MAXIFS(Acuses!$C$5:$C$3004,Acuses!$A$5:$A$3004,$A123,Acuses!$B$5:$B$3004,AG$4)&lt;AG$5,"Pendiente",IF(AG$8=0,"OK",IF(EDATE(_xlfn.MAXIFS(Acuses!$D$5:$D$3004,Acuses!$A$5:$A$3004,$A123,Acuses!$B$5:$B$3004,AG$4,Acuses!$C$5:$C$3004,AG$5),AG$8)&lt;Resumen!$C$4,"Caducado",IF(EDATE(_xlfn.MAXIFS(Acuses!$D$5:$D$3004,Acuses!$A$5:$A$3004,$A123,Acuses!$B$5:$B$3004,AG$4,Acuses!$C$5:$C$3004,AG$5),AG$8)&lt;Resumen!$C$4+30,"Caduca pronto","OK"))))))</f>
        <v/>
      </c>
      <c r="AH123" s="26" t="str">
        <f aca="false">IF(OR($A123="",AH$4=""),"",IF(NOT(OR(AH$6="Toda la plantilla",ISNUMBER(SEARCH(";"&amp;SUBSTITUTE($C123," ","")&amp;";",";"&amp;SUBSTITUTE(AH$7," ","")&amp;";")))),"—",IF(_xlfn.MAXIFS(Acuses!$C$5:$C$3004,Acuses!$A$5:$A$3004,$A123,Acuses!$B$5:$B$3004,AH$4)&lt;AH$5,"Pendiente",IF(AH$8=0,"OK",IF(EDATE(_xlfn.MAXIFS(Acuses!$D$5:$D$3004,Acuses!$A$5:$A$3004,$A123,Acuses!$B$5:$B$3004,AH$4,Acuses!$C$5:$C$3004,AH$5),AH$8)&lt;Resumen!$C$4,"Caducado",IF(EDATE(_xlfn.MAXIFS(Acuses!$D$5:$D$3004,Acuses!$A$5:$A$3004,$A123,Acuses!$B$5:$B$3004,AH$4,Acuses!$C$5:$C$3004,AH$5),AH$8)&lt;Resumen!$C$4+30,"Caduca pronto","OK"))))))</f>
        <v/>
      </c>
      <c r="AI123" s="26" t="str">
        <f aca="false">IF(OR($A123="",AI$4=""),"",IF(NOT(OR(AI$6="Toda la plantilla",ISNUMBER(SEARCH(";"&amp;SUBSTITUTE($C123," ","")&amp;";",";"&amp;SUBSTITUTE(AI$7," ","")&amp;";")))),"—",IF(_xlfn.MAXIFS(Acuses!$C$5:$C$3004,Acuses!$A$5:$A$3004,$A123,Acuses!$B$5:$B$3004,AI$4)&lt;AI$5,"Pendiente",IF(AI$8=0,"OK",IF(EDATE(_xlfn.MAXIFS(Acuses!$D$5:$D$3004,Acuses!$A$5:$A$3004,$A123,Acuses!$B$5:$B$3004,AI$4,Acuses!$C$5:$C$3004,AI$5),AI$8)&lt;Resumen!$C$4,"Caducado",IF(EDATE(_xlfn.MAXIFS(Acuses!$D$5:$D$3004,Acuses!$A$5:$A$3004,$A123,Acuses!$B$5:$B$3004,AI$4,Acuses!$C$5:$C$3004,AI$5),AI$8)&lt;Resumen!$C$4+30,"Caduca pronto","OK"))))))</f>
        <v/>
      </c>
      <c r="AJ123" s="26" t="str">
        <f aca="false">IF(OR($A123="",AJ$4=""),"",IF(NOT(OR(AJ$6="Toda la plantilla",ISNUMBER(SEARCH(";"&amp;SUBSTITUTE($C123," ","")&amp;";",";"&amp;SUBSTITUTE(AJ$7," ","")&amp;";")))),"—",IF(_xlfn.MAXIFS(Acuses!$C$5:$C$3004,Acuses!$A$5:$A$3004,$A123,Acuses!$B$5:$B$3004,AJ$4)&lt;AJ$5,"Pendiente",IF(AJ$8=0,"OK",IF(EDATE(_xlfn.MAXIFS(Acuses!$D$5:$D$3004,Acuses!$A$5:$A$3004,$A123,Acuses!$B$5:$B$3004,AJ$4,Acuses!$C$5:$C$3004,AJ$5),AJ$8)&lt;Resumen!$C$4,"Caducado",IF(EDATE(_xlfn.MAXIFS(Acuses!$D$5:$D$3004,Acuses!$A$5:$A$3004,$A123,Acuses!$B$5:$B$3004,AJ$4,Acuses!$C$5:$C$3004,AJ$5),AJ$8)&lt;Resumen!$C$4+30,"Caduca pronto","OK"))))))</f>
        <v/>
      </c>
      <c r="AK123" s="26" t="str">
        <f aca="false">IF(OR($A123="",AK$4=""),"",IF(NOT(OR(AK$6="Toda la plantilla",ISNUMBER(SEARCH(";"&amp;SUBSTITUTE($C123," ","")&amp;";",";"&amp;SUBSTITUTE(AK$7," ","")&amp;";")))),"—",IF(_xlfn.MAXIFS(Acuses!$C$5:$C$3004,Acuses!$A$5:$A$3004,$A123,Acuses!$B$5:$B$3004,AK$4)&lt;AK$5,"Pendiente",IF(AK$8=0,"OK",IF(EDATE(_xlfn.MAXIFS(Acuses!$D$5:$D$3004,Acuses!$A$5:$A$3004,$A123,Acuses!$B$5:$B$3004,AK$4,Acuses!$C$5:$C$3004,AK$5),AK$8)&lt;Resumen!$C$4,"Caducado",IF(EDATE(_xlfn.MAXIFS(Acuses!$D$5:$D$3004,Acuses!$A$5:$A$3004,$A123,Acuses!$B$5:$B$3004,AK$4,Acuses!$C$5:$C$3004,AK$5),AK$8)&lt;Resumen!$C$4+30,"Caduca pronto","OK"))))))</f>
        <v/>
      </c>
      <c r="AL123" s="26" t="str">
        <f aca="false">IF(OR($A123="",AL$4=""),"",IF(NOT(OR(AL$6="Toda la plantilla",ISNUMBER(SEARCH(";"&amp;SUBSTITUTE($C123," ","")&amp;";",";"&amp;SUBSTITUTE(AL$7," ","")&amp;";")))),"—",IF(_xlfn.MAXIFS(Acuses!$C$5:$C$3004,Acuses!$A$5:$A$3004,$A123,Acuses!$B$5:$B$3004,AL$4)&lt;AL$5,"Pendiente",IF(AL$8=0,"OK",IF(EDATE(_xlfn.MAXIFS(Acuses!$D$5:$D$3004,Acuses!$A$5:$A$3004,$A123,Acuses!$B$5:$B$3004,AL$4,Acuses!$C$5:$C$3004,AL$5),AL$8)&lt;Resumen!$C$4,"Caducado",IF(EDATE(_xlfn.MAXIFS(Acuses!$D$5:$D$3004,Acuses!$A$5:$A$3004,$A123,Acuses!$B$5:$B$3004,AL$4,Acuses!$C$5:$C$3004,AL$5),AL$8)&lt;Resumen!$C$4+30,"Caduca pronto","OK"))))))</f>
        <v/>
      </c>
      <c r="AM123" s="26" t="str">
        <f aca="false">IF(OR($A123="",AM$4=""),"",IF(NOT(OR(AM$6="Toda la plantilla",ISNUMBER(SEARCH(";"&amp;SUBSTITUTE($C123," ","")&amp;";",";"&amp;SUBSTITUTE(AM$7," ","")&amp;";")))),"—",IF(_xlfn.MAXIFS(Acuses!$C$5:$C$3004,Acuses!$A$5:$A$3004,$A123,Acuses!$B$5:$B$3004,AM$4)&lt;AM$5,"Pendiente",IF(AM$8=0,"OK",IF(EDATE(_xlfn.MAXIFS(Acuses!$D$5:$D$3004,Acuses!$A$5:$A$3004,$A123,Acuses!$B$5:$B$3004,AM$4,Acuses!$C$5:$C$3004,AM$5),AM$8)&lt;Resumen!$C$4,"Caducado",IF(EDATE(_xlfn.MAXIFS(Acuses!$D$5:$D$3004,Acuses!$A$5:$A$3004,$A123,Acuses!$B$5:$B$3004,AM$4,Acuses!$C$5:$C$3004,AM$5),AM$8)&lt;Resumen!$C$4+30,"Caduca pronto","OK"))))))</f>
        <v/>
      </c>
      <c r="AN123" s="26" t="str">
        <f aca="false">IF(OR($A123="",AN$4=""),"",IF(NOT(OR(AN$6="Toda la plantilla",ISNUMBER(SEARCH(";"&amp;SUBSTITUTE($C123," ","")&amp;";",";"&amp;SUBSTITUTE(AN$7," ","")&amp;";")))),"—",IF(_xlfn.MAXIFS(Acuses!$C$5:$C$3004,Acuses!$A$5:$A$3004,$A123,Acuses!$B$5:$B$3004,AN$4)&lt;AN$5,"Pendiente",IF(AN$8=0,"OK",IF(EDATE(_xlfn.MAXIFS(Acuses!$D$5:$D$3004,Acuses!$A$5:$A$3004,$A123,Acuses!$B$5:$B$3004,AN$4,Acuses!$C$5:$C$3004,AN$5),AN$8)&lt;Resumen!$C$4,"Caducado",IF(EDATE(_xlfn.MAXIFS(Acuses!$D$5:$D$3004,Acuses!$A$5:$A$3004,$A123,Acuses!$B$5:$B$3004,AN$4,Acuses!$C$5:$C$3004,AN$5),AN$8)&lt;Resumen!$C$4+30,"Caduca pronto","OK"))))))</f>
        <v/>
      </c>
      <c r="AO123" s="26" t="str">
        <f aca="false">IF(OR($A123="",AO$4=""),"",IF(NOT(OR(AO$6="Toda la plantilla",ISNUMBER(SEARCH(";"&amp;SUBSTITUTE($C123," ","")&amp;";",";"&amp;SUBSTITUTE(AO$7," ","")&amp;";")))),"—",IF(_xlfn.MAXIFS(Acuses!$C$5:$C$3004,Acuses!$A$5:$A$3004,$A123,Acuses!$B$5:$B$3004,AO$4)&lt;AO$5,"Pendiente",IF(AO$8=0,"OK",IF(EDATE(_xlfn.MAXIFS(Acuses!$D$5:$D$3004,Acuses!$A$5:$A$3004,$A123,Acuses!$B$5:$B$3004,AO$4,Acuses!$C$5:$C$3004,AO$5),AO$8)&lt;Resumen!$C$4,"Caducado",IF(EDATE(_xlfn.MAXIFS(Acuses!$D$5:$D$3004,Acuses!$A$5:$A$3004,$A123,Acuses!$B$5:$B$3004,AO$4,Acuses!$C$5:$C$3004,AO$5),AO$8)&lt;Resumen!$C$4+30,"Caduca pronto","OK"))))))</f>
        <v/>
      </c>
      <c r="AP123" s="26" t="str">
        <f aca="false">IF(OR($A123="",AP$4=""),"",IF(NOT(OR(AP$6="Toda la plantilla",ISNUMBER(SEARCH(";"&amp;SUBSTITUTE($C123," ","")&amp;";",";"&amp;SUBSTITUTE(AP$7," ","")&amp;";")))),"—",IF(_xlfn.MAXIFS(Acuses!$C$5:$C$3004,Acuses!$A$5:$A$3004,$A123,Acuses!$B$5:$B$3004,AP$4)&lt;AP$5,"Pendiente",IF(AP$8=0,"OK",IF(EDATE(_xlfn.MAXIFS(Acuses!$D$5:$D$3004,Acuses!$A$5:$A$3004,$A123,Acuses!$B$5:$B$3004,AP$4,Acuses!$C$5:$C$3004,AP$5),AP$8)&lt;Resumen!$C$4,"Caducado",IF(EDATE(_xlfn.MAXIFS(Acuses!$D$5:$D$3004,Acuses!$A$5:$A$3004,$A123,Acuses!$B$5:$B$3004,AP$4,Acuses!$C$5:$C$3004,AP$5),AP$8)&lt;Resumen!$C$4+30,"Caduca pronto","OK"))))))</f>
        <v/>
      </c>
      <c r="AQ123" s="26" t="str">
        <f aca="false">IF(OR($A123="",AQ$4=""),"",IF(NOT(OR(AQ$6="Toda la plantilla",ISNUMBER(SEARCH(";"&amp;SUBSTITUTE($C123," ","")&amp;";",";"&amp;SUBSTITUTE(AQ$7," ","")&amp;";")))),"—",IF(_xlfn.MAXIFS(Acuses!$C$5:$C$3004,Acuses!$A$5:$A$3004,$A123,Acuses!$B$5:$B$3004,AQ$4)&lt;AQ$5,"Pendiente",IF(AQ$8=0,"OK",IF(EDATE(_xlfn.MAXIFS(Acuses!$D$5:$D$3004,Acuses!$A$5:$A$3004,$A123,Acuses!$B$5:$B$3004,AQ$4,Acuses!$C$5:$C$3004,AQ$5),AQ$8)&lt;Resumen!$C$4,"Caducado",IF(EDATE(_xlfn.MAXIFS(Acuses!$D$5:$D$3004,Acuses!$A$5:$A$3004,$A123,Acuses!$B$5:$B$3004,AQ$4,Acuses!$C$5:$C$3004,AQ$5),AQ$8)&lt;Resumen!$C$4+30,"Caduca pronto","OK"))))))</f>
        <v/>
      </c>
    </row>
    <row r="124" customFormat="false" ht="15" hidden="false" customHeight="false" outlineLevel="0" collapsed="false">
      <c r="A124" s="25" t="str">
        <f aca="false">IF(AND(Trabajadores!$A$119&lt;&gt;"",Trabajadores!$G$119&lt;&gt;"No"),Trabajadores!$A$119,"")</f>
        <v/>
      </c>
      <c r="B124" s="25" t="str">
        <f aca="false">IF($A124="","",Trabajadores!$B$119)</f>
        <v/>
      </c>
      <c r="C124" s="25" t="str">
        <f aca="false">IF($A124="","",Trabajadores!$C$119)</f>
        <v/>
      </c>
      <c r="D124" s="26" t="str">
        <f aca="false">IF(OR($A124="",D$4=""),"",IF(NOT(OR(D$6="Toda la plantilla",ISNUMBER(SEARCH(";"&amp;SUBSTITUTE($C124," ","")&amp;";",";"&amp;SUBSTITUTE(D$7," ","")&amp;";")))),"—",IF(_xlfn.MAXIFS(Acuses!$C$5:$C$3004,Acuses!$A$5:$A$3004,$A124,Acuses!$B$5:$B$3004,D$4)&lt;D$5,"Pendiente",IF(D$8=0,"OK",IF(EDATE(_xlfn.MAXIFS(Acuses!$D$5:$D$3004,Acuses!$A$5:$A$3004,$A124,Acuses!$B$5:$B$3004,D$4,Acuses!$C$5:$C$3004,D$5),D$8)&lt;Resumen!$C$4,"Caducado",IF(EDATE(_xlfn.MAXIFS(Acuses!$D$5:$D$3004,Acuses!$A$5:$A$3004,$A124,Acuses!$B$5:$B$3004,D$4,Acuses!$C$5:$C$3004,D$5),D$8)&lt;Resumen!$C$4+30,"Caduca pronto","OK"))))))</f>
        <v/>
      </c>
      <c r="E124" s="26" t="str">
        <f aca="false">IF(OR($A124="",E$4=""),"",IF(NOT(OR(E$6="Toda la plantilla",ISNUMBER(SEARCH(";"&amp;SUBSTITUTE($C124," ","")&amp;";",";"&amp;SUBSTITUTE(E$7," ","")&amp;";")))),"—",IF(_xlfn.MAXIFS(Acuses!$C$5:$C$3004,Acuses!$A$5:$A$3004,$A124,Acuses!$B$5:$B$3004,E$4)&lt;E$5,"Pendiente",IF(E$8=0,"OK",IF(EDATE(_xlfn.MAXIFS(Acuses!$D$5:$D$3004,Acuses!$A$5:$A$3004,$A124,Acuses!$B$5:$B$3004,E$4,Acuses!$C$5:$C$3004,E$5),E$8)&lt;Resumen!$C$4,"Caducado",IF(EDATE(_xlfn.MAXIFS(Acuses!$D$5:$D$3004,Acuses!$A$5:$A$3004,$A124,Acuses!$B$5:$B$3004,E$4,Acuses!$C$5:$C$3004,E$5),E$8)&lt;Resumen!$C$4+30,"Caduca pronto","OK"))))))</f>
        <v/>
      </c>
      <c r="F124" s="26" t="str">
        <f aca="false">IF(OR($A124="",F$4=""),"",IF(NOT(OR(F$6="Toda la plantilla",ISNUMBER(SEARCH(";"&amp;SUBSTITUTE($C124," ","")&amp;";",";"&amp;SUBSTITUTE(F$7," ","")&amp;";")))),"—",IF(_xlfn.MAXIFS(Acuses!$C$5:$C$3004,Acuses!$A$5:$A$3004,$A124,Acuses!$B$5:$B$3004,F$4)&lt;F$5,"Pendiente",IF(F$8=0,"OK",IF(EDATE(_xlfn.MAXIFS(Acuses!$D$5:$D$3004,Acuses!$A$5:$A$3004,$A124,Acuses!$B$5:$B$3004,F$4,Acuses!$C$5:$C$3004,F$5),F$8)&lt;Resumen!$C$4,"Caducado",IF(EDATE(_xlfn.MAXIFS(Acuses!$D$5:$D$3004,Acuses!$A$5:$A$3004,$A124,Acuses!$B$5:$B$3004,F$4,Acuses!$C$5:$C$3004,F$5),F$8)&lt;Resumen!$C$4+30,"Caduca pronto","OK"))))))</f>
        <v/>
      </c>
      <c r="G124" s="26" t="str">
        <f aca="false">IF(OR($A124="",G$4=""),"",IF(NOT(OR(G$6="Toda la plantilla",ISNUMBER(SEARCH(";"&amp;SUBSTITUTE($C124," ","")&amp;";",";"&amp;SUBSTITUTE(G$7," ","")&amp;";")))),"—",IF(_xlfn.MAXIFS(Acuses!$C$5:$C$3004,Acuses!$A$5:$A$3004,$A124,Acuses!$B$5:$B$3004,G$4)&lt;G$5,"Pendiente",IF(G$8=0,"OK",IF(EDATE(_xlfn.MAXIFS(Acuses!$D$5:$D$3004,Acuses!$A$5:$A$3004,$A124,Acuses!$B$5:$B$3004,G$4,Acuses!$C$5:$C$3004,G$5),G$8)&lt;Resumen!$C$4,"Caducado",IF(EDATE(_xlfn.MAXIFS(Acuses!$D$5:$D$3004,Acuses!$A$5:$A$3004,$A124,Acuses!$B$5:$B$3004,G$4,Acuses!$C$5:$C$3004,G$5),G$8)&lt;Resumen!$C$4+30,"Caduca pronto","OK"))))))</f>
        <v/>
      </c>
      <c r="H124" s="26" t="str">
        <f aca="false">IF(OR($A124="",H$4=""),"",IF(NOT(OR(H$6="Toda la plantilla",ISNUMBER(SEARCH(";"&amp;SUBSTITUTE($C124," ","")&amp;";",";"&amp;SUBSTITUTE(H$7," ","")&amp;";")))),"—",IF(_xlfn.MAXIFS(Acuses!$C$5:$C$3004,Acuses!$A$5:$A$3004,$A124,Acuses!$B$5:$B$3004,H$4)&lt;H$5,"Pendiente",IF(H$8=0,"OK",IF(EDATE(_xlfn.MAXIFS(Acuses!$D$5:$D$3004,Acuses!$A$5:$A$3004,$A124,Acuses!$B$5:$B$3004,H$4,Acuses!$C$5:$C$3004,H$5),H$8)&lt;Resumen!$C$4,"Caducado",IF(EDATE(_xlfn.MAXIFS(Acuses!$D$5:$D$3004,Acuses!$A$5:$A$3004,$A124,Acuses!$B$5:$B$3004,H$4,Acuses!$C$5:$C$3004,H$5),H$8)&lt;Resumen!$C$4+30,"Caduca pronto","OK"))))))</f>
        <v/>
      </c>
      <c r="I124" s="26" t="str">
        <f aca="false">IF(OR($A124="",I$4=""),"",IF(NOT(OR(I$6="Toda la plantilla",ISNUMBER(SEARCH(";"&amp;SUBSTITUTE($C124," ","")&amp;";",";"&amp;SUBSTITUTE(I$7," ","")&amp;";")))),"—",IF(_xlfn.MAXIFS(Acuses!$C$5:$C$3004,Acuses!$A$5:$A$3004,$A124,Acuses!$B$5:$B$3004,I$4)&lt;I$5,"Pendiente",IF(I$8=0,"OK",IF(EDATE(_xlfn.MAXIFS(Acuses!$D$5:$D$3004,Acuses!$A$5:$A$3004,$A124,Acuses!$B$5:$B$3004,I$4,Acuses!$C$5:$C$3004,I$5),I$8)&lt;Resumen!$C$4,"Caducado",IF(EDATE(_xlfn.MAXIFS(Acuses!$D$5:$D$3004,Acuses!$A$5:$A$3004,$A124,Acuses!$B$5:$B$3004,I$4,Acuses!$C$5:$C$3004,I$5),I$8)&lt;Resumen!$C$4+30,"Caduca pronto","OK"))))))</f>
        <v/>
      </c>
      <c r="J124" s="26" t="str">
        <f aca="false">IF(OR($A124="",J$4=""),"",IF(NOT(OR(J$6="Toda la plantilla",ISNUMBER(SEARCH(";"&amp;SUBSTITUTE($C124," ","")&amp;";",";"&amp;SUBSTITUTE(J$7," ","")&amp;";")))),"—",IF(_xlfn.MAXIFS(Acuses!$C$5:$C$3004,Acuses!$A$5:$A$3004,$A124,Acuses!$B$5:$B$3004,J$4)&lt;J$5,"Pendiente",IF(J$8=0,"OK",IF(EDATE(_xlfn.MAXIFS(Acuses!$D$5:$D$3004,Acuses!$A$5:$A$3004,$A124,Acuses!$B$5:$B$3004,J$4,Acuses!$C$5:$C$3004,J$5),J$8)&lt;Resumen!$C$4,"Caducado",IF(EDATE(_xlfn.MAXIFS(Acuses!$D$5:$D$3004,Acuses!$A$5:$A$3004,$A124,Acuses!$B$5:$B$3004,J$4,Acuses!$C$5:$C$3004,J$5),J$8)&lt;Resumen!$C$4+30,"Caduca pronto","OK"))))))</f>
        <v/>
      </c>
      <c r="K124" s="26" t="str">
        <f aca="false">IF(OR($A124="",K$4=""),"",IF(NOT(OR(K$6="Toda la plantilla",ISNUMBER(SEARCH(";"&amp;SUBSTITUTE($C124," ","")&amp;";",";"&amp;SUBSTITUTE(K$7," ","")&amp;";")))),"—",IF(_xlfn.MAXIFS(Acuses!$C$5:$C$3004,Acuses!$A$5:$A$3004,$A124,Acuses!$B$5:$B$3004,K$4)&lt;K$5,"Pendiente",IF(K$8=0,"OK",IF(EDATE(_xlfn.MAXIFS(Acuses!$D$5:$D$3004,Acuses!$A$5:$A$3004,$A124,Acuses!$B$5:$B$3004,K$4,Acuses!$C$5:$C$3004,K$5),K$8)&lt;Resumen!$C$4,"Caducado",IF(EDATE(_xlfn.MAXIFS(Acuses!$D$5:$D$3004,Acuses!$A$5:$A$3004,$A124,Acuses!$B$5:$B$3004,K$4,Acuses!$C$5:$C$3004,K$5),K$8)&lt;Resumen!$C$4+30,"Caduca pronto","OK"))))))</f>
        <v/>
      </c>
      <c r="L124" s="26" t="str">
        <f aca="false">IF(OR($A124="",L$4=""),"",IF(NOT(OR(L$6="Toda la plantilla",ISNUMBER(SEARCH(";"&amp;SUBSTITUTE($C124," ","")&amp;";",";"&amp;SUBSTITUTE(L$7," ","")&amp;";")))),"—",IF(_xlfn.MAXIFS(Acuses!$C$5:$C$3004,Acuses!$A$5:$A$3004,$A124,Acuses!$B$5:$B$3004,L$4)&lt;L$5,"Pendiente",IF(L$8=0,"OK",IF(EDATE(_xlfn.MAXIFS(Acuses!$D$5:$D$3004,Acuses!$A$5:$A$3004,$A124,Acuses!$B$5:$B$3004,L$4,Acuses!$C$5:$C$3004,L$5),L$8)&lt;Resumen!$C$4,"Caducado",IF(EDATE(_xlfn.MAXIFS(Acuses!$D$5:$D$3004,Acuses!$A$5:$A$3004,$A124,Acuses!$B$5:$B$3004,L$4,Acuses!$C$5:$C$3004,L$5),L$8)&lt;Resumen!$C$4+30,"Caduca pronto","OK"))))))</f>
        <v/>
      </c>
      <c r="M124" s="26" t="str">
        <f aca="false">IF(OR($A124="",M$4=""),"",IF(NOT(OR(M$6="Toda la plantilla",ISNUMBER(SEARCH(";"&amp;SUBSTITUTE($C124," ","")&amp;";",";"&amp;SUBSTITUTE(M$7," ","")&amp;";")))),"—",IF(_xlfn.MAXIFS(Acuses!$C$5:$C$3004,Acuses!$A$5:$A$3004,$A124,Acuses!$B$5:$B$3004,M$4)&lt;M$5,"Pendiente",IF(M$8=0,"OK",IF(EDATE(_xlfn.MAXIFS(Acuses!$D$5:$D$3004,Acuses!$A$5:$A$3004,$A124,Acuses!$B$5:$B$3004,M$4,Acuses!$C$5:$C$3004,M$5),M$8)&lt;Resumen!$C$4,"Caducado",IF(EDATE(_xlfn.MAXIFS(Acuses!$D$5:$D$3004,Acuses!$A$5:$A$3004,$A124,Acuses!$B$5:$B$3004,M$4,Acuses!$C$5:$C$3004,M$5),M$8)&lt;Resumen!$C$4+30,"Caduca pronto","OK"))))))</f>
        <v/>
      </c>
      <c r="N124" s="26" t="str">
        <f aca="false">IF(OR($A124="",N$4=""),"",IF(NOT(OR(N$6="Toda la plantilla",ISNUMBER(SEARCH(";"&amp;SUBSTITUTE($C124," ","")&amp;";",";"&amp;SUBSTITUTE(N$7," ","")&amp;";")))),"—",IF(_xlfn.MAXIFS(Acuses!$C$5:$C$3004,Acuses!$A$5:$A$3004,$A124,Acuses!$B$5:$B$3004,N$4)&lt;N$5,"Pendiente",IF(N$8=0,"OK",IF(EDATE(_xlfn.MAXIFS(Acuses!$D$5:$D$3004,Acuses!$A$5:$A$3004,$A124,Acuses!$B$5:$B$3004,N$4,Acuses!$C$5:$C$3004,N$5),N$8)&lt;Resumen!$C$4,"Caducado",IF(EDATE(_xlfn.MAXIFS(Acuses!$D$5:$D$3004,Acuses!$A$5:$A$3004,$A124,Acuses!$B$5:$B$3004,N$4,Acuses!$C$5:$C$3004,N$5),N$8)&lt;Resumen!$C$4+30,"Caduca pronto","OK"))))))</f>
        <v/>
      </c>
      <c r="O124" s="26" t="str">
        <f aca="false">IF(OR($A124="",O$4=""),"",IF(NOT(OR(O$6="Toda la plantilla",ISNUMBER(SEARCH(";"&amp;SUBSTITUTE($C124," ","")&amp;";",";"&amp;SUBSTITUTE(O$7," ","")&amp;";")))),"—",IF(_xlfn.MAXIFS(Acuses!$C$5:$C$3004,Acuses!$A$5:$A$3004,$A124,Acuses!$B$5:$B$3004,O$4)&lt;O$5,"Pendiente",IF(O$8=0,"OK",IF(EDATE(_xlfn.MAXIFS(Acuses!$D$5:$D$3004,Acuses!$A$5:$A$3004,$A124,Acuses!$B$5:$B$3004,O$4,Acuses!$C$5:$C$3004,O$5),O$8)&lt;Resumen!$C$4,"Caducado",IF(EDATE(_xlfn.MAXIFS(Acuses!$D$5:$D$3004,Acuses!$A$5:$A$3004,$A124,Acuses!$B$5:$B$3004,O$4,Acuses!$C$5:$C$3004,O$5),O$8)&lt;Resumen!$C$4+30,"Caduca pronto","OK"))))))</f>
        <v/>
      </c>
      <c r="P124" s="26" t="str">
        <f aca="false">IF(OR($A124="",P$4=""),"",IF(NOT(OR(P$6="Toda la plantilla",ISNUMBER(SEARCH(";"&amp;SUBSTITUTE($C124," ","")&amp;";",";"&amp;SUBSTITUTE(P$7," ","")&amp;";")))),"—",IF(_xlfn.MAXIFS(Acuses!$C$5:$C$3004,Acuses!$A$5:$A$3004,$A124,Acuses!$B$5:$B$3004,P$4)&lt;P$5,"Pendiente",IF(P$8=0,"OK",IF(EDATE(_xlfn.MAXIFS(Acuses!$D$5:$D$3004,Acuses!$A$5:$A$3004,$A124,Acuses!$B$5:$B$3004,P$4,Acuses!$C$5:$C$3004,P$5),P$8)&lt;Resumen!$C$4,"Caducado",IF(EDATE(_xlfn.MAXIFS(Acuses!$D$5:$D$3004,Acuses!$A$5:$A$3004,$A124,Acuses!$B$5:$B$3004,P$4,Acuses!$C$5:$C$3004,P$5),P$8)&lt;Resumen!$C$4+30,"Caduca pronto","OK"))))))</f>
        <v/>
      </c>
      <c r="Q124" s="26" t="str">
        <f aca="false">IF(OR($A124="",Q$4=""),"",IF(NOT(OR(Q$6="Toda la plantilla",ISNUMBER(SEARCH(";"&amp;SUBSTITUTE($C124," ","")&amp;";",";"&amp;SUBSTITUTE(Q$7," ","")&amp;";")))),"—",IF(_xlfn.MAXIFS(Acuses!$C$5:$C$3004,Acuses!$A$5:$A$3004,$A124,Acuses!$B$5:$B$3004,Q$4)&lt;Q$5,"Pendiente",IF(Q$8=0,"OK",IF(EDATE(_xlfn.MAXIFS(Acuses!$D$5:$D$3004,Acuses!$A$5:$A$3004,$A124,Acuses!$B$5:$B$3004,Q$4,Acuses!$C$5:$C$3004,Q$5),Q$8)&lt;Resumen!$C$4,"Caducado",IF(EDATE(_xlfn.MAXIFS(Acuses!$D$5:$D$3004,Acuses!$A$5:$A$3004,$A124,Acuses!$B$5:$B$3004,Q$4,Acuses!$C$5:$C$3004,Q$5),Q$8)&lt;Resumen!$C$4+30,"Caduca pronto","OK"))))))</f>
        <v/>
      </c>
      <c r="R124" s="26" t="str">
        <f aca="false">IF(OR($A124="",R$4=""),"",IF(NOT(OR(R$6="Toda la plantilla",ISNUMBER(SEARCH(";"&amp;SUBSTITUTE($C124," ","")&amp;";",";"&amp;SUBSTITUTE(R$7," ","")&amp;";")))),"—",IF(_xlfn.MAXIFS(Acuses!$C$5:$C$3004,Acuses!$A$5:$A$3004,$A124,Acuses!$B$5:$B$3004,R$4)&lt;R$5,"Pendiente",IF(R$8=0,"OK",IF(EDATE(_xlfn.MAXIFS(Acuses!$D$5:$D$3004,Acuses!$A$5:$A$3004,$A124,Acuses!$B$5:$B$3004,R$4,Acuses!$C$5:$C$3004,R$5),R$8)&lt;Resumen!$C$4,"Caducado",IF(EDATE(_xlfn.MAXIFS(Acuses!$D$5:$D$3004,Acuses!$A$5:$A$3004,$A124,Acuses!$B$5:$B$3004,R$4,Acuses!$C$5:$C$3004,R$5),R$8)&lt;Resumen!$C$4+30,"Caduca pronto","OK"))))))</f>
        <v/>
      </c>
      <c r="S124" s="26" t="str">
        <f aca="false">IF(OR($A124="",S$4=""),"",IF(NOT(OR(S$6="Toda la plantilla",ISNUMBER(SEARCH(";"&amp;SUBSTITUTE($C124," ","")&amp;";",";"&amp;SUBSTITUTE(S$7," ","")&amp;";")))),"—",IF(_xlfn.MAXIFS(Acuses!$C$5:$C$3004,Acuses!$A$5:$A$3004,$A124,Acuses!$B$5:$B$3004,S$4)&lt;S$5,"Pendiente",IF(S$8=0,"OK",IF(EDATE(_xlfn.MAXIFS(Acuses!$D$5:$D$3004,Acuses!$A$5:$A$3004,$A124,Acuses!$B$5:$B$3004,S$4,Acuses!$C$5:$C$3004,S$5),S$8)&lt;Resumen!$C$4,"Caducado",IF(EDATE(_xlfn.MAXIFS(Acuses!$D$5:$D$3004,Acuses!$A$5:$A$3004,$A124,Acuses!$B$5:$B$3004,S$4,Acuses!$C$5:$C$3004,S$5),S$8)&lt;Resumen!$C$4+30,"Caduca pronto","OK"))))))</f>
        <v/>
      </c>
      <c r="T124" s="26" t="str">
        <f aca="false">IF(OR($A124="",T$4=""),"",IF(NOT(OR(T$6="Toda la plantilla",ISNUMBER(SEARCH(";"&amp;SUBSTITUTE($C124," ","")&amp;";",";"&amp;SUBSTITUTE(T$7," ","")&amp;";")))),"—",IF(_xlfn.MAXIFS(Acuses!$C$5:$C$3004,Acuses!$A$5:$A$3004,$A124,Acuses!$B$5:$B$3004,T$4)&lt;T$5,"Pendiente",IF(T$8=0,"OK",IF(EDATE(_xlfn.MAXIFS(Acuses!$D$5:$D$3004,Acuses!$A$5:$A$3004,$A124,Acuses!$B$5:$B$3004,T$4,Acuses!$C$5:$C$3004,T$5),T$8)&lt;Resumen!$C$4,"Caducado",IF(EDATE(_xlfn.MAXIFS(Acuses!$D$5:$D$3004,Acuses!$A$5:$A$3004,$A124,Acuses!$B$5:$B$3004,T$4,Acuses!$C$5:$C$3004,T$5),T$8)&lt;Resumen!$C$4+30,"Caduca pronto","OK"))))))</f>
        <v/>
      </c>
      <c r="U124" s="26" t="str">
        <f aca="false">IF(OR($A124="",U$4=""),"",IF(NOT(OR(U$6="Toda la plantilla",ISNUMBER(SEARCH(";"&amp;SUBSTITUTE($C124," ","")&amp;";",";"&amp;SUBSTITUTE(U$7," ","")&amp;";")))),"—",IF(_xlfn.MAXIFS(Acuses!$C$5:$C$3004,Acuses!$A$5:$A$3004,$A124,Acuses!$B$5:$B$3004,U$4)&lt;U$5,"Pendiente",IF(U$8=0,"OK",IF(EDATE(_xlfn.MAXIFS(Acuses!$D$5:$D$3004,Acuses!$A$5:$A$3004,$A124,Acuses!$B$5:$B$3004,U$4,Acuses!$C$5:$C$3004,U$5),U$8)&lt;Resumen!$C$4,"Caducado",IF(EDATE(_xlfn.MAXIFS(Acuses!$D$5:$D$3004,Acuses!$A$5:$A$3004,$A124,Acuses!$B$5:$B$3004,U$4,Acuses!$C$5:$C$3004,U$5),U$8)&lt;Resumen!$C$4+30,"Caduca pronto","OK"))))))</f>
        <v/>
      </c>
      <c r="V124" s="26" t="str">
        <f aca="false">IF(OR($A124="",V$4=""),"",IF(NOT(OR(V$6="Toda la plantilla",ISNUMBER(SEARCH(";"&amp;SUBSTITUTE($C124," ","")&amp;";",";"&amp;SUBSTITUTE(V$7," ","")&amp;";")))),"—",IF(_xlfn.MAXIFS(Acuses!$C$5:$C$3004,Acuses!$A$5:$A$3004,$A124,Acuses!$B$5:$B$3004,V$4)&lt;V$5,"Pendiente",IF(V$8=0,"OK",IF(EDATE(_xlfn.MAXIFS(Acuses!$D$5:$D$3004,Acuses!$A$5:$A$3004,$A124,Acuses!$B$5:$B$3004,V$4,Acuses!$C$5:$C$3004,V$5),V$8)&lt;Resumen!$C$4,"Caducado",IF(EDATE(_xlfn.MAXIFS(Acuses!$D$5:$D$3004,Acuses!$A$5:$A$3004,$A124,Acuses!$B$5:$B$3004,V$4,Acuses!$C$5:$C$3004,V$5),V$8)&lt;Resumen!$C$4+30,"Caduca pronto","OK"))))))</f>
        <v/>
      </c>
      <c r="W124" s="26" t="str">
        <f aca="false">IF(OR($A124="",W$4=""),"",IF(NOT(OR(W$6="Toda la plantilla",ISNUMBER(SEARCH(";"&amp;SUBSTITUTE($C124," ","")&amp;";",";"&amp;SUBSTITUTE(W$7," ","")&amp;";")))),"—",IF(_xlfn.MAXIFS(Acuses!$C$5:$C$3004,Acuses!$A$5:$A$3004,$A124,Acuses!$B$5:$B$3004,W$4)&lt;W$5,"Pendiente",IF(W$8=0,"OK",IF(EDATE(_xlfn.MAXIFS(Acuses!$D$5:$D$3004,Acuses!$A$5:$A$3004,$A124,Acuses!$B$5:$B$3004,W$4,Acuses!$C$5:$C$3004,W$5),W$8)&lt;Resumen!$C$4,"Caducado",IF(EDATE(_xlfn.MAXIFS(Acuses!$D$5:$D$3004,Acuses!$A$5:$A$3004,$A124,Acuses!$B$5:$B$3004,W$4,Acuses!$C$5:$C$3004,W$5),W$8)&lt;Resumen!$C$4+30,"Caduca pronto","OK"))))))</f>
        <v/>
      </c>
      <c r="X124" s="26" t="str">
        <f aca="false">IF(OR($A124="",X$4=""),"",IF(NOT(OR(X$6="Toda la plantilla",ISNUMBER(SEARCH(";"&amp;SUBSTITUTE($C124," ","")&amp;";",";"&amp;SUBSTITUTE(X$7," ","")&amp;";")))),"—",IF(_xlfn.MAXIFS(Acuses!$C$5:$C$3004,Acuses!$A$5:$A$3004,$A124,Acuses!$B$5:$B$3004,X$4)&lt;X$5,"Pendiente",IF(X$8=0,"OK",IF(EDATE(_xlfn.MAXIFS(Acuses!$D$5:$D$3004,Acuses!$A$5:$A$3004,$A124,Acuses!$B$5:$B$3004,X$4,Acuses!$C$5:$C$3004,X$5),X$8)&lt;Resumen!$C$4,"Caducado",IF(EDATE(_xlfn.MAXIFS(Acuses!$D$5:$D$3004,Acuses!$A$5:$A$3004,$A124,Acuses!$B$5:$B$3004,X$4,Acuses!$C$5:$C$3004,X$5),X$8)&lt;Resumen!$C$4+30,"Caduca pronto","OK"))))))</f>
        <v/>
      </c>
      <c r="Y124" s="26" t="str">
        <f aca="false">IF(OR($A124="",Y$4=""),"",IF(NOT(OR(Y$6="Toda la plantilla",ISNUMBER(SEARCH(";"&amp;SUBSTITUTE($C124," ","")&amp;";",";"&amp;SUBSTITUTE(Y$7," ","")&amp;";")))),"—",IF(_xlfn.MAXIFS(Acuses!$C$5:$C$3004,Acuses!$A$5:$A$3004,$A124,Acuses!$B$5:$B$3004,Y$4)&lt;Y$5,"Pendiente",IF(Y$8=0,"OK",IF(EDATE(_xlfn.MAXIFS(Acuses!$D$5:$D$3004,Acuses!$A$5:$A$3004,$A124,Acuses!$B$5:$B$3004,Y$4,Acuses!$C$5:$C$3004,Y$5),Y$8)&lt;Resumen!$C$4,"Caducado",IF(EDATE(_xlfn.MAXIFS(Acuses!$D$5:$D$3004,Acuses!$A$5:$A$3004,$A124,Acuses!$B$5:$B$3004,Y$4,Acuses!$C$5:$C$3004,Y$5),Y$8)&lt;Resumen!$C$4+30,"Caduca pronto","OK"))))))</f>
        <v/>
      </c>
      <c r="Z124" s="26" t="str">
        <f aca="false">IF(OR($A124="",Z$4=""),"",IF(NOT(OR(Z$6="Toda la plantilla",ISNUMBER(SEARCH(";"&amp;SUBSTITUTE($C124," ","")&amp;";",";"&amp;SUBSTITUTE(Z$7," ","")&amp;";")))),"—",IF(_xlfn.MAXIFS(Acuses!$C$5:$C$3004,Acuses!$A$5:$A$3004,$A124,Acuses!$B$5:$B$3004,Z$4)&lt;Z$5,"Pendiente",IF(Z$8=0,"OK",IF(EDATE(_xlfn.MAXIFS(Acuses!$D$5:$D$3004,Acuses!$A$5:$A$3004,$A124,Acuses!$B$5:$B$3004,Z$4,Acuses!$C$5:$C$3004,Z$5),Z$8)&lt;Resumen!$C$4,"Caducado",IF(EDATE(_xlfn.MAXIFS(Acuses!$D$5:$D$3004,Acuses!$A$5:$A$3004,$A124,Acuses!$B$5:$B$3004,Z$4,Acuses!$C$5:$C$3004,Z$5),Z$8)&lt;Resumen!$C$4+30,"Caduca pronto","OK"))))))</f>
        <v/>
      </c>
      <c r="AA124" s="26" t="str">
        <f aca="false">IF(OR($A124="",AA$4=""),"",IF(NOT(OR(AA$6="Toda la plantilla",ISNUMBER(SEARCH(";"&amp;SUBSTITUTE($C124," ","")&amp;";",";"&amp;SUBSTITUTE(AA$7," ","")&amp;";")))),"—",IF(_xlfn.MAXIFS(Acuses!$C$5:$C$3004,Acuses!$A$5:$A$3004,$A124,Acuses!$B$5:$B$3004,AA$4)&lt;AA$5,"Pendiente",IF(AA$8=0,"OK",IF(EDATE(_xlfn.MAXIFS(Acuses!$D$5:$D$3004,Acuses!$A$5:$A$3004,$A124,Acuses!$B$5:$B$3004,AA$4,Acuses!$C$5:$C$3004,AA$5),AA$8)&lt;Resumen!$C$4,"Caducado",IF(EDATE(_xlfn.MAXIFS(Acuses!$D$5:$D$3004,Acuses!$A$5:$A$3004,$A124,Acuses!$B$5:$B$3004,AA$4,Acuses!$C$5:$C$3004,AA$5),AA$8)&lt;Resumen!$C$4+30,"Caduca pronto","OK"))))))</f>
        <v/>
      </c>
      <c r="AB124" s="26" t="str">
        <f aca="false">IF(OR($A124="",AB$4=""),"",IF(NOT(OR(AB$6="Toda la plantilla",ISNUMBER(SEARCH(";"&amp;SUBSTITUTE($C124," ","")&amp;";",";"&amp;SUBSTITUTE(AB$7," ","")&amp;";")))),"—",IF(_xlfn.MAXIFS(Acuses!$C$5:$C$3004,Acuses!$A$5:$A$3004,$A124,Acuses!$B$5:$B$3004,AB$4)&lt;AB$5,"Pendiente",IF(AB$8=0,"OK",IF(EDATE(_xlfn.MAXIFS(Acuses!$D$5:$D$3004,Acuses!$A$5:$A$3004,$A124,Acuses!$B$5:$B$3004,AB$4,Acuses!$C$5:$C$3004,AB$5),AB$8)&lt;Resumen!$C$4,"Caducado",IF(EDATE(_xlfn.MAXIFS(Acuses!$D$5:$D$3004,Acuses!$A$5:$A$3004,$A124,Acuses!$B$5:$B$3004,AB$4,Acuses!$C$5:$C$3004,AB$5),AB$8)&lt;Resumen!$C$4+30,"Caduca pronto","OK"))))))</f>
        <v/>
      </c>
      <c r="AC124" s="26" t="str">
        <f aca="false">IF(OR($A124="",AC$4=""),"",IF(NOT(OR(AC$6="Toda la plantilla",ISNUMBER(SEARCH(";"&amp;SUBSTITUTE($C124," ","")&amp;";",";"&amp;SUBSTITUTE(AC$7," ","")&amp;";")))),"—",IF(_xlfn.MAXIFS(Acuses!$C$5:$C$3004,Acuses!$A$5:$A$3004,$A124,Acuses!$B$5:$B$3004,AC$4)&lt;AC$5,"Pendiente",IF(AC$8=0,"OK",IF(EDATE(_xlfn.MAXIFS(Acuses!$D$5:$D$3004,Acuses!$A$5:$A$3004,$A124,Acuses!$B$5:$B$3004,AC$4,Acuses!$C$5:$C$3004,AC$5),AC$8)&lt;Resumen!$C$4,"Caducado",IF(EDATE(_xlfn.MAXIFS(Acuses!$D$5:$D$3004,Acuses!$A$5:$A$3004,$A124,Acuses!$B$5:$B$3004,AC$4,Acuses!$C$5:$C$3004,AC$5),AC$8)&lt;Resumen!$C$4+30,"Caduca pronto","OK"))))))</f>
        <v/>
      </c>
      <c r="AD124" s="26" t="str">
        <f aca="false">IF(OR($A124="",AD$4=""),"",IF(NOT(OR(AD$6="Toda la plantilla",ISNUMBER(SEARCH(";"&amp;SUBSTITUTE($C124," ","")&amp;";",";"&amp;SUBSTITUTE(AD$7," ","")&amp;";")))),"—",IF(_xlfn.MAXIFS(Acuses!$C$5:$C$3004,Acuses!$A$5:$A$3004,$A124,Acuses!$B$5:$B$3004,AD$4)&lt;AD$5,"Pendiente",IF(AD$8=0,"OK",IF(EDATE(_xlfn.MAXIFS(Acuses!$D$5:$D$3004,Acuses!$A$5:$A$3004,$A124,Acuses!$B$5:$B$3004,AD$4,Acuses!$C$5:$C$3004,AD$5),AD$8)&lt;Resumen!$C$4,"Caducado",IF(EDATE(_xlfn.MAXIFS(Acuses!$D$5:$D$3004,Acuses!$A$5:$A$3004,$A124,Acuses!$B$5:$B$3004,AD$4,Acuses!$C$5:$C$3004,AD$5),AD$8)&lt;Resumen!$C$4+30,"Caduca pronto","OK"))))))</f>
        <v/>
      </c>
      <c r="AE124" s="26" t="str">
        <f aca="false">IF(OR($A124="",AE$4=""),"",IF(NOT(OR(AE$6="Toda la plantilla",ISNUMBER(SEARCH(";"&amp;SUBSTITUTE($C124," ","")&amp;";",";"&amp;SUBSTITUTE(AE$7," ","")&amp;";")))),"—",IF(_xlfn.MAXIFS(Acuses!$C$5:$C$3004,Acuses!$A$5:$A$3004,$A124,Acuses!$B$5:$B$3004,AE$4)&lt;AE$5,"Pendiente",IF(AE$8=0,"OK",IF(EDATE(_xlfn.MAXIFS(Acuses!$D$5:$D$3004,Acuses!$A$5:$A$3004,$A124,Acuses!$B$5:$B$3004,AE$4,Acuses!$C$5:$C$3004,AE$5),AE$8)&lt;Resumen!$C$4,"Caducado",IF(EDATE(_xlfn.MAXIFS(Acuses!$D$5:$D$3004,Acuses!$A$5:$A$3004,$A124,Acuses!$B$5:$B$3004,AE$4,Acuses!$C$5:$C$3004,AE$5),AE$8)&lt;Resumen!$C$4+30,"Caduca pronto","OK"))))))</f>
        <v/>
      </c>
      <c r="AF124" s="26" t="str">
        <f aca="false">IF(OR($A124="",AF$4=""),"",IF(NOT(OR(AF$6="Toda la plantilla",ISNUMBER(SEARCH(";"&amp;SUBSTITUTE($C124," ","")&amp;";",";"&amp;SUBSTITUTE(AF$7," ","")&amp;";")))),"—",IF(_xlfn.MAXIFS(Acuses!$C$5:$C$3004,Acuses!$A$5:$A$3004,$A124,Acuses!$B$5:$B$3004,AF$4)&lt;AF$5,"Pendiente",IF(AF$8=0,"OK",IF(EDATE(_xlfn.MAXIFS(Acuses!$D$5:$D$3004,Acuses!$A$5:$A$3004,$A124,Acuses!$B$5:$B$3004,AF$4,Acuses!$C$5:$C$3004,AF$5),AF$8)&lt;Resumen!$C$4,"Caducado",IF(EDATE(_xlfn.MAXIFS(Acuses!$D$5:$D$3004,Acuses!$A$5:$A$3004,$A124,Acuses!$B$5:$B$3004,AF$4,Acuses!$C$5:$C$3004,AF$5),AF$8)&lt;Resumen!$C$4+30,"Caduca pronto","OK"))))))</f>
        <v/>
      </c>
      <c r="AG124" s="26" t="str">
        <f aca="false">IF(OR($A124="",AG$4=""),"",IF(NOT(OR(AG$6="Toda la plantilla",ISNUMBER(SEARCH(";"&amp;SUBSTITUTE($C124," ","")&amp;";",";"&amp;SUBSTITUTE(AG$7," ","")&amp;";")))),"—",IF(_xlfn.MAXIFS(Acuses!$C$5:$C$3004,Acuses!$A$5:$A$3004,$A124,Acuses!$B$5:$B$3004,AG$4)&lt;AG$5,"Pendiente",IF(AG$8=0,"OK",IF(EDATE(_xlfn.MAXIFS(Acuses!$D$5:$D$3004,Acuses!$A$5:$A$3004,$A124,Acuses!$B$5:$B$3004,AG$4,Acuses!$C$5:$C$3004,AG$5),AG$8)&lt;Resumen!$C$4,"Caducado",IF(EDATE(_xlfn.MAXIFS(Acuses!$D$5:$D$3004,Acuses!$A$5:$A$3004,$A124,Acuses!$B$5:$B$3004,AG$4,Acuses!$C$5:$C$3004,AG$5),AG$8)&lt;Resumen!$C$4+30,"Caduca pronto","OK"))))))</f>
        <v/>
      </c>
      <c r="AH124" s="26" t="str">
        <f aca="false">IF(OR($A124="",AH$4=""),"",IF(NOT(OR(AH$6="Toda la plantilla",ISNUMBER(SEARCH(";"&amp;SUBSTITUTE($C124," ","")&amp;";",";"&amp;SUBSTITUTE(AH$7," ","")&amp;";")))),"—",IF(_xlfn.MAXIFS(Acuses!$C$5:$C$3004,Acuses!$A$5:$A$3004,$A124,Acuses!$B$5:$B$3004,AH$4)&lt;AH$5,"Pendiente",IF(AH$8=0,"OK",IF(EDATE(_xlfn.MAXIFS(Acuses!$D$5:$D$3004,Acuses!$A$5:$A$3004,$A124,Acuses!$B$5:$B$3004,AH$4,Acuses!$C$5:$C$3004,AH$5),AH$8)&lt;Resumen!$C$4,"Caducado",IF(EDATE(_xlfn.MAXIFS(Acuses!$D$5:$D$3004,Acuses!$A$5:$A$3004,$A124,Acuses!$B$5:$B$3004,AH$4,Acuses!$C$5:$C$3004,AH$5),AH$8)&lt;Resumen!$C$4+30,"Caduca pronto","OK"))))))</f>
        <v/>
      </c>
      <c r="AI124" s="26" t="str">
        <f aca="false">IF(OR($A124="",AI$4=""),"",IF(NOT(OR(AI$6="Toda la plantilla",ISNUMBER(SEARCH(";"&amp;SUBSTITUTE($C124," ","")&amp;";",";"&amp;SUBSTITUTE(AI$7," ","")&amp;";")))),"—",IF(_xlfn.MAXIFS(Acuses!$C$5:$C$3004,Acuses!$A$5:$A$3004,$A124,Acuses!$B$5:$B$3004,AI$4)&lt;AI$5,"Pendiente",IF(AI$8=0,"OK",IF(EDATE(_xlfn.MAXIFS(Acuses!$D$5:$D$3004,Acuses!$A$5:$A$3004,$A124,Acuses!$B$5:$B$3004,AI$4,Acuses!$C$5:$C$3004,AI$5),AI$8)&lt;Resumen!$C$4,"Caducado",IF(EDATE(_xlfn.MAXIFS(Acuses!$D$5:$D$3004,Acuses!$A$5:$A$3004,$A124,Acuses!$B$5:$B$3004,AI$4,Acuses!$C$5:$C$3004,AI$5),AI$8)&lt;Resumen!$C$4+30,"Caduca pronto","OK"))))))</f>
        <v/>
      </c>
      <c r="AJ124" s="26" t="str">
        <f aca="false">IF(OR($A124="",AJ$4=""),"",IF(NOT(OR(AJ$6="Toda la plantilla",ISNUMBER(SEARCH(";"&amp;SUBSTITUTE($C124," ","")&amp;";",";"&amp;SUBSTITUTE(AJ$7," ","")&amp;";")))),"—",IF(_xlfn.MAXIFS(Acuses!$C$5:$C$3004,Acuses!$A$5:$A$3004,$A124,Acuses!$B$5:$B$3004,AJ$4)&lt;AJ$5,"Pendiente",IF(AJ$8=0,"OK",IF(EDATE(_xlfn.MAXIFS(Acuses!$D$5:$D$3004,Acuses!$A$5:$A$3004,$A124,Acuses!$B$5:$B$3004,AJ$4,Acuses!$C$5:$C$3004,AJ$5),AJ$8)&lt;Resumen!$C$4,"Caducado",IF(EDATE(_xlfn.MAXIFS(Acuses!$D$5:$D$3004,Acuses!$A$5:$A$3004,$A124,Acuses!$B$5:$B$3004,AJ$4,Acuses!$C$5:$C$3004,AJ$5),AJ$8)&lt;Resumen!$C$4+30,"Caduca pronto","OK"))))))</f>
        <v/>
      </c>
      <c r="AK124" s="26" t="str">
        <f aca="false">IF(OR($A124="",AK$4=""),"",IF(NOT(OR(AK$6="Toda la plantilla",ISNUMBER(SEARCH(";"&amp;SUBSTITUTE($C124," ","")&amp;";",";"&amp;SUBSTITUTE(AK$7," ","")&amp;";")))),"—",IF(_xlfn.MAXIFS(Acuses!$C$5:$C$3004,Acuses!$A$5:$A$3004,$A124,Acuses!$B$5:$B$3004,AK$4)&lt;AK$5,"Pendiente",IF(AK$8=0,"OK",IF(EDATE(_xlfn.MAXIFS(Acuses!$D$5:$D$3004,Acuses!$A$5:$A$3004,$A124,Acuses!$B$5:$B$3004,AK$4,Acuses!$C$5:$C$3004,AK$5),AK$8)&lt;Resumen!$C$4,"Caducado",IF(EDATE(_xlfn.MAXIFS(Acuses!$D$5:$D$3004,Acuses!$A$5:$A$3004,$A124,Acuses!$B$5:$B$3004,AK$4,Acuses!$C$5:$C$3004,AK$5),AK$8)&lt;Resumen!$C$4+30,"Caduca pronto","OK"))))))</f>
        <v/>
      </c>
      <c r="AL124" s="26" t="str">
        <f aca="false">IF(OR($A124="",AL$4=""),"",IF(NOT(OR(AL$6="Toda la plantilla",ISNUMBER(SEARCH(";"&amp;SUBSTITUTE($C124," ","")&amp;";",";"&amp;SUBSTITUTE(AL$7," ","")&amp;";")))),"—",IF(_xlfn.MAXIFS(Acuses!$C$5:$C$3004,Acuses!$A$5:$A$3004,$A124,Acuses!$B$5:$B$3004,AL$4)&lt;AL$5,"Pendiente",IF(AL$8=0,"OK",IF(EDATE(_xlfn.MAXIFS(Acuses!$D$5:$D$3004,Acuses!$A$5:$A$3004,$A124,Acuses!$B$5:$B$3004,AL$4,Acuses!$C$5:$C$3004,AL$5),AL$8)&lt;Resumen!$C$4,"Caducado",IF(EDATE(_xlfn.MAXIFS(Acuses!$D$5:$D$3004,Acuses!$A$5:$A$3004,$A124,Acuses!$B$5:$B$3004,AL$4,Acuses!$C$5:$C$3004,AL$5),AL$8)&lt;Resumen!$C$4+30,"Caduca pronto","OK"))))))</f>
        <v/>
      </c>
      <c r="AM124" s="26" t="str">
        <f aca="false">IF(OR($A124="",AM$4=""),"",IF(NOT(OR(AM$6="Toda la plantilla",ISNUMBER(SEARCH(";"&amp;SUBSTITUTE($C124," ","")&amp;";",";"&amp;SUBSTITUTE(AM$7," ","")&amp;";")))),"—",IF(_xlfn.MAXIFS(Acuses!$C$5:$C$3004,Acuses!$A$5:$A$3004,$A124,Acuses!$B$5:$B$3004,AM$4)&lt;AM$5,"Pendiente",IF(AM$8=0,"OK",IF(EDATE(_xlfn.MAXIFS(Acuses!$D$5:$D$3004,Acuses!$A$5:$A$3004,$A124,Acuses!$B$5:$B$3004,AM$4,Acuses!$C$5:$C$3004,AM$5),AM$8)&lt;Resumen!$C$4,"Caducado",IF(EDATE(_xlfn.MAXIFS(Acuses!$D$5:$D$3004,Acuses!$A$5:$A$3004,$A124,Acuses!$B$5:$B$3004,AM$4,Acuses!$C$5:$C$3004,AM$5),AM$8)&lt;Resumen!$C$4+30,"Caduca pronto","OK"))))))</f>
        <v/>
      </c>
      <c r="AN124" s="26" t="str">
        <f aca="false">IF(OR($A124="",AN$4=""),"",IF(NOT(OR(AN$6="Toda la plantilla",ISNUMBER(SEARCH(";"&amp;SUBSTITUTE($C124," ","")&amp;";",";"&amp;SUBSTITUTE(AN$7," ","")&amp;";")))),"—",IF(_xlfn.MAXIFS(Acuses!$C$5:$C$3004,Acuses!$A$5:$A$3004,$A124,Acuses!$B$5:$B$3004,AN$4)&lt;AN$5,"Pendiente",IF(AN$8=0,"OK",IF(EDATE(_xlfn.MAXIFS(Acuses!$D$5:$D$3004,Acuses!$A$5:$A$3004,$A124,Acuses!$B$5:$B$3004,AN$4,Acuses!$C$5:$C$3004,AN$5),AN$8)&lt;Resumen!$C$4,"Caducado",IF(EDATE(_xlfn.MAXIFS(Acuses!$D$5:$D$3004,Acuses!$A$5:$A$3004,$A124,Acuses!$B$5:$B$3004,AN$4,Acuses!$C$5:$C$3004,AN$5),AN$8)&lt;Resumen!$C$4+30,"Caduca pronto","OK"))))))</f>
        <v/>
      </c>
      <c r="AO124" s="26" t="str">
        <f aca="false">IF(OR($A124="",AO$4=""),"",IF(NOT(OR(AO$6="Toda la plantilla",ISNUMBER(SEARCH(";"&amp;SUBSTITUTE($C124," ","")&amp;";",";"&amp;SUBSTITUTE(AO$7," ","")&amp;";")))),"—",IF(_xlfn.MAXIFS(Acuses!$C$5:$C$3004,Acuses!$A$5:$A$3004,$A124,Acuses!$B$5:$B$3004,AO$4)&lt;AO$5,"Pendiente",IF(AO$8=0,"OK",IF(EDATE(_xlfn.MAXIFS(Acuses!$D$5:$D$3004,Acuses!$A$5:$A$3004,$A124,Acuses!$B$5:$B$3004,AO$4,Acuses!$C$5:$C$3004,AO$5),AO$8)&lt;Resumen!$C$4,"Caducado",IF(EDATE(_xlfn.MAXIFS(Acuses!$D$5:$D$3004,Acuses!$A$5:$A$3004,$A124,Acuses!$B$5:$B$3004,AO$4,Acuses!$C$5:$C$3004,AO$5),AO$8)&lt;Resumen!$C$4+30,"Caduca pronto","OK"))))))</f>
        <v/>
      </c>
      <c r="AP124" s="26" t="str">
        <f aca="false">IF(OR($A124="",AP$4=""),"",IF(NOT(OR(AP$6="Toda la plantilla",ISNUMBER(SEARCH(";"&amp;SUBSTITUTE($C124," ","")&amp;";",";"&amp;SUBSTITUTE(AP$7," ","")&amp;";")))),"—",IF(_xlfn.MAXIFS(Acuses!$C$5:$C$3004,Acuses!$A$5:$A$3004,$A124,Acuses!$B$5:$B$3004,AP$4)&lt;AP$5,"Pendiente",IF(AP$8=0,"OK",IF(EDATE(_xlfn.MAXIFS(Acuses!$D$5:$D$3004,Acuses!$A$5:$A$3004,$A124,Acuses!$B$5:$B$3004,AP$4,Acuses!$C$5:$C$3004,AP$5),AP$8)&lt;Resumen!$C$4,"Caducado",IF(EDATE(_xlfn.MAXIFS(Acuses!$D$5:$D$3004,Acuses!$A$5:$A$3004,$A124,Acuses!$B$5:$B$3004,AP$4,Acuses!$C$5:$C$3004,AP$5),AP$8)&lt;Resumen!$C$4+30,"Caduca pronto","OK"))))))</f>
        <v/>
      </c>
      <c r="AQ124" s="26" t="str">
        <f aca="false">IF(OR($A124="",AQ$4=""),"",IF(NOT(OR(AQ$6="Toda la plantilla",ISNUMBER(SEARCH(";"&amp;SUBSTITUTE($C124," ","")&amp;";",";"&amp;SUBSTITUTE(AQ$7," ","")&amp;";")))),"—",IF(_xlfn.MAXIFS(Acuses!$C$5:$C$3004,Acuses!$A$5:$A$3004,$A124,Acuses!$B$5:$B$3004,AQ$4)&lt;AQ$5,"Pendiente",IF(AQ$8=0,"OK",IF(EDATE(_xlfn.MAXIFS(Acuses!$D$5:$D$3004,Acuses!$A$5:$A$3004,$A124,Acuses!$B$5:$B$3004,AQ$4,Acuses!$C$5:$C$3004,AQ$5),AQ$8)&lt;Resumen!$C$4,"Caducado",IF(EDATE(_xlfn.MAXIFS(Acuses!$D$5:$D$3004,Acuses!$A$5:$A$3004,$A124,Acuses!$B$5:$B$3004,AQ$4,Acuses!$C$5:$C$3004,AQ$5),AQ$8)&lt;Resumen!$C$4+30,"Caduca pronto","OK"))))))</f>
        <v/>
      </c>
    </row>
    <row r="125" customFormat="false" ht="15" hidden="false" customHeight="false" outlineLevel="0" collapsed="false">
      <c r="A125" s="25" t="str">
        <f aca="false">IF(AND(Trabajadores!$A$120&lt;&gt;"",Trabajadores!$G$120&lt;&gt;"No"),Trabajadores!$A$120,"")</f>
        <v/>
      </c>
      <c r="B125" s="25" t="str">
        <f aca="false">IF($A125="","",Trabajadores!$B$120)</f>
        <v/>
      </c>
      <c r="C125" s="25" t="str">
        <f aca="false">IF($A125="","",Trabajadores!$C$120)</f>
        <v/>
      </c>
      <c r="D125" s="26" t="str">
        <f aca="false">IF(OR($A125="",D$4=""),"",IF(NOT(OR(D$6="Toda la plantilla",ISNUMBER(SEARCH(";"&amp;SUBSTITUTE($C125," ","")&amp;";",";"&amp;SUBSTITUTE(D$7," ","")&amp;";")))),"—",IF(_xlfn.MAXIFS(Acuses!$C$5:$C$3004,Acuses!$A$5:$A$3004,$A125,Acuses!$B$5:$B$3004,D$4)&lt;D$5,"Pendiente",IF(D$8=0,"OK",IF(EDATE(_xlfn.MAXIFS(Acuses!$D$5:$D$3004,Acuses!$A$5:$A$3004,$A125,Acuses!$B$5:$B$3004,D$4,Acuses!$C$5:$C$3004,D$5),D$8)&lt;Resumen!$C$4,"Caducado",IF(EDATE(_xlfn.MAXIFS(Acuses!$D$5:$D$3004,Acuses!$A$5:$A$3004,$A125,Acuses!$B$5:$B$3004,D$4,Acuses!$C$5:$C$3004,D$5),D$8)&lt;Resumen!$C$4+30,"Caduca pronto","OK"))))))</f>
        <v/>
      </c>
      <c r="E125" s="26" t="str">
        <f aca="false">IF(OR($A125="",E$4=""),"",IF(NOT(OR(E$6="Toda la plantilla",ISNUMBER(SEARCH(";"&amp;SUBSTITUTE($C125," ","")&amp;";",";"&amp;SUBSTITUTE(E$7," ","")&amp;";")))),"—",IF(_xlfn.MAXIFS(Acuses!$C$5:$C$3004,Acuses!$A$5:$A$3004,$A125,Acuses!$B$5:$B$3004,E$4)&lt;E$5,"Pendiente",IF(E$8=0,"OK",IF(EDATE(_xlfn.MAXIFS(Acuses!$D$5:$D$3004,Acuses!$A$5:$A$3004,$A125,Acuses!$B$5:$B$3004,E$4,Acuses!$C$5:$C$3004,E$5),E$8)&lt;Resumen!$C$4,"Caducado",IF(EDATE(_xlfn.MAXIFS(Acuses!$D$5:$D$3004,Acuses!$A$5:$A$3004,$A125,Acuses!$B$5:$B$3004,E$4,Acuses!$C$5:$C$3004,E$5),E$8)&lt;Resumen!$C$4+30,"Caduca pronto","OK"))))))</f>
        <v/>
      </c>
      <c r="F125" s="26" t="str">
        <f aca="false">IF(OR($A125="",F$4=""),"",IF(NOT(OR(F$6="Toda la plantilla",ISNUMBER(SEARCH(";"&amp;SUBSTITUTE($C125," ","")&amp;";",";"&amp;SUBSTITUTE(F$7," ","")&amp;";")))),"—",IF(_xlfn.MAXIFS(Acuses!$C$5:$C$3004,Acuses!$A$5:$A$3004,$A125,Acuses!$B$5:$B$3004,F$4)&lt;F$5,"Pendiente",IF(F$8=0,"OK",IF(EDATE(_xlfn.MAXIFS(Acuses!$D$5:$D$3004,Acuses!$A$5:$A$3004,$A125,Acuses!$B$5:$B$3004,F$4,Acuses!$C$5:$C$3004,F$5),F$8)&lt;Resumen!$C$4,"Caducado",IF(EDATE(_xlfn.MAXIFS(Acuses!$D$5:$D$3004,Acuses!$A$5:$A$3004,$A125,Acuses!$B$5:$B$3004,F$4,Acuses!$C$5:$C$3004,F$5),F$8)&lt;Resumen!$C$4+30,"Caduca pronto","OK"))))))</f>
        <v/>
      </c>
      <c r="G125" s="26" t="str">
        <f aca="false">IF(OR($A125="",G$4=""),"",IF(NOT(OR(G$6="Toda la plantilla",ISNUMBER(SEARCH(";"&amp;SUBSTITUTE($C125," ","")&amp;";",";"&amp;SUBSTITUTE(G$7," ","")&amp;";")))),"—",IF(_xlfn.MAXIFS(Acuses!$C$5:$C$3004,Acuses!$A$5:$A$3004,$A125,Acuses!$B$5:$B$3004,G$4)&lt;G$5,"Pendiente",IF(G$8=0,"OK",IF(EDATE(_xlfn.MAXIFS(Acuses!$D$5:$D$3004,Acuses!$A$5:$A$3004,$A125,Acuses!$B$5:$B$3004,G$4,Acuses!$C$5:$C$3004,G$5),G$8)&lt;Resumen!$C$4,"Caducado",IF(EDATE(_xlfn.MAXIFS(Acuses!$D$5:$D$3004,Acuses!$A$5:$A$3004,$A125,Acuses!$B$5:$B$3004,G$4,Acuses!$C$5:$C$3004,G$5),G$8)&lt;Resumen!$C$4+30,"Caduca pronto","OK"))))))</f>
        <v/>
      </c>
      <c r="H125" s="26" t="str">
        <f aca="false">IF(OR($A125="",H$4=""),"",IF(NOT(OR(H$6="Toda la plantilla",ISNUMBER(SEARCH(";"&amp;SUBSTITUTE($C125," ","")&amp;";",";"&amp;SUBSTITUTE(H$7," ","")&amp;";")))),"—",IF(_xlfn.MAXIFS(Acuses!$C$5:$C$3004,Acuses!$A$5:$A$3004,$A125,Acuses!$B$5:$B$3004,H$4)&lt;H$5,"Pendiente",IF(H$8=0,"OK",IF(EDATE(_xlfn.MAXIFS(Acuses!$D$5:$D$3004,Acuses!$A$5:$A$3004,$A125,Acuses!$B$5:$B$3004,H$4,Acuses!$C$5:$C$3004,H$5),H$8)&lt;Resumen!$C$4,"Caducado",IF(EDATE(_xlfn.MAXIFS(Acuses!$D$5:$D$3004,Acuses!$A$5:$A$3004,$A125,Acuses!$B$5:$B$3004,H$4,Acuses!$C$5:$C$3004,H$5),H$8)&lt;Resumen!$C$4+30,"Caduca pronto","OK"))))))</f>
        <v/>
      </c>
      <c r="I125" s="26" t="str">
        <f aca="false">IF(OR($A125="",I$4=""),"",IF(NOT(OR(I$6="Toda la plantilla",ISNUMBER(SEARCH(";"&amp;SUBSTITUTE($C125," ","")&amp;";",";"&amp;SUBSTITUTE(I$7," ","")&amp;";")))),"—",IF(_xlfn.MAXIFS(Acuses!$C$5:$C$3004,Acuses!$A$5:$A$3004,$A125,Acuses!$B$5:$B$3004,I$4)&lt;I$5,"Pendiente",IF(I$8=0,"OK",IF(EDATE(_xlfn.MAXIFS(Acuses!$D$5:$D$3004,Acuses!$A$5:$A$3004,$A125,Acuses!$B$5:$B$3004,I$4,Acuses!$C$5:$C$3004,I$5),I$8)&lt;Resumen!$C$4,"Caducado",IF(EDATE(_xlfn.MAXIFS(Acuses!$D$5:$D$3004,Acuses!$A$5:$A$3004,$A125,Acuses!$B$5:$B$3004,I$4,Acuses!$C$5:$C$3004,I$5),I$8)&lt;Resumen!$C$4+30,"Caduca pronto","OK"))))))</f>
        <v/>
      </c>
      <c r="J125" s="26" t="str">
        <f aca="false">IF(OR($A125="",J$4=""),"",IF(NOT(OR(J$6="Toda la plantilla",ISNUMBER(SEARCH(";"&amp;SUBSTITUTE($C125," ","")&amp;";",";"&amp;SUBSTITUTE(J$7," ","")&amp;";")))),"—",IF(_xlfn.MAXIFS(Acuses!$C$5:$C$3004,Acuses!$A$5:$A$3004,$A125,Acuses!$B$5:$B$3004,J$4)&lt;J$5,"Pendiente",IF(J$8=0,"OK",IF(EDATE(_xlfn.MAXIFS(Acuses!$D$5:$D$3004,Acuses!$A$5:$A$3004,$A125,Acuses!$B$5:$B$3004,J$4,Acuses!$C$5:$C$3004,J$5),J$8)&lt;Resumen!$C$4,"Caducado",IF(EDATE(_xlfn.MAXIFS(Acuses!$D$5:$D$3004,Acuses!$A$5:$A$3004,$A125,Acuses!$B$5:$B$3004,J$4,Acuses!$C$5:$C$3004,J$5),J$8)&lt;Resumen!$C$4+30,"Caduca pronto","OK"))))))</f>
        <v/>
      </c>
      <c r="K125" s="26" t="str">
        <f aca="false">IF(OR($A125="",K$4=""),"",IF(NOT(OR(K$6="Toda la plantilla",ISNUMBER(SEARCH(";"&amp;SUBSTITUTE($C125," ","")&amp;";",";"&amp;SUBSTITUTE(K$7," ","")&amp;";")))),"—",IF(_xlfn.MAXIFS(Acuses!$C$5:$C$3004,Acuses!$A$5:$A$3004,$A125,Acuses!$B$5:$B$3004,K$4)&lt;K$5,"Pendiente",IF(K$8=0,"OK",IF(EDATE(_xlfn.MAXIFS(Acuses!$D$5:$D$3004,Acuses!$A$5:$A$3004,$A125,Acuses!$B$5:$B$3004,K$4,Acuses!$C$5:$C$3004,K$5),K$8)&lt;Resumen!$C$4,"Caducado",IF(EDATE(_xlfn.MAXIFS(Acuses!$D$5:$D$3004,Acuses!$A$5:$A$3004,$A125,Acuses!$B$5:$B$3004,K$4,Acuses!$C$5:$C$3004,K$5),K$8)&lt;Resumen!$C$4+30,"Caduca pronto","OK"))))))</f>
        <v/>
      </c>
      <c r="L125" s="26" t="str">
        <f aca="false">IF(OR($A125="",L$4=""),"",IF(NOT(OR(L$6="Toda la plantilla",ISNUMBER(SEARCH(";"&amp;SUBSTITUTE($C125," ","")&amp;";",";"&amp;SUBSTITUTE(L$7," ","")&amp;";")))),"—",IF(_xlfn.MAXIFS(Acuses!$C$5:$C$3004,Acuses!$A$5:$A$3004,$A125,Acuses!$B$5:$B$3004,L$4)&lt;L$5,"Pendiente",IF(L$8=0,"OK",IF(EDATE(_xlfn.MAXIFS(Acuses!$D$5:$D$3004,Acuses!$A$5:$A$3004,$A125,Acuses!$B$5:$B$3004,L$4,Acuses!$C$5:$C$3004,L$5),L$8)&lt;Resumen!$C$4,"Caducado",IF(EDATE(_xlfn.MAXIFS(Acuses!$D$5:$D$3004,Acuses!$A$5:$A$3004,$A125,Acuses!$B$5:$B$3004,L$4,Acuses!$C$5:$C$3004,L$5),L$8)&lt;Resumen!$C$4+30,"Caduca pronto","OK"))))))</f>
        <v/>
      </c>
      <c r="M125" s="26" t="str">
        <f aca="false">IF(OR($A125="",M$4=""),"",IF(NOT(OR(M$6="Toda la plantilla",ISNUMBER(SEARCH(";"&amp;SUBSTITUTE($C125," ","")&amp;";",";"&amp;SUBSTITUTE(M$7," ","")&amp;";")))),"—",IF(_xlfn.MAXIFS(Acuses!$C$5:$C$3004,Acuses!$A$5:$A$3004,$A125,Acuses!$B$5:$B$3004,M$4)&lt;M$5,"Pendiente",IF(M$8=0,"OK",IF(EDATE(_xlfn.MAXIFS(Acuses!$D$5:$D$3004,Acuses!$A$5:$A$3004,$A125,Acuses!$B$5:$B$3004,M$4,Acuses!$C$5:$C$3004,M$5),M$8)&lt;Resumen!$C$4,"Caducado",IF(EDATE(_xlfn.MAXIFS(Acuses!$D$5:$D$3004,Acuses!$A$5:$A$3004,$A125,Acuses!$B$5:$B$3004,M$4,Acuses!$C$5:$C$3004,M$5),M$8)&lt;Resumen!$C$4+30,"Caduca pronto","OK"))))))</f>
        <v/>
      </c>
      <c r="N125" s="26" t="str">
        <f aca="false">IF(OR($A125="",N$4=""),"",IF(NOT(OR(N$6="Toda la plantilla",ISNUMBER(SEARCH(";"&amp;SUBSTITUTE($C125," ","")&amp;";",";"&amp;SUBSTITUTE(N$7," ","")&amp;";")))),"—",IF(_xlfn.MAXIFS(Acuses!$C$5:$C$3004,Acuses!$A$5:$A$3004,$A125,Acuses!$B$5:$B$3004,N$4)&lt;N$5,"Pendiente",IF(N$8=0,"OK",IF(EDATE(_xlfn.MAXIFS(Acuses!$D$5:$D$3004,Acuses!$A$5:$A$3004,$A125,Acuses!$B$5:$B$3004,N$4,Acuses!$C$5:$C$3004,N$5),N$8)&lt;Resumen!$C$4,"Caducado",IF(EDATE(_xlfn.MAXIFS(Acuses!$D$5:$D$3004,Acuses!$A$5:$A$3004,$A125,Acuses!$B$5:$B$3004,N$4,Acuses!$C$5:$C$3004,N$5),N$8)&lt;Resumen!$C$4+30,"Caduca pronto","OK"))))))</f>
        <v/>
      </c>
      <c r="O125" s="26" t="str">
        <f aca="false">IF(OR($A125="",O$4=""),"",IF(NOT(OR(O$6="Toda la plantilla",ISNUMBER(SEARCH(";"&amp;SUBSTITUTE($C125," ","")&amp;";",";"&amp;SUBSTITUTE(O$7," ","")&amp;";")))),"—",IF(_xlfn.MAXIFS(Acuses!$C$5:$C$3004,Acuses!$A$5:$A$3004,$A125,Acuses!$B$5:$B$3004,O$4)&lt;O$5,"Pendiente",IF(O$8=0,"OK",IF(EDATE(_xlfn.MAXIFS(Acuses!$D$5:$D$3004,Acuses!$A$5:$A$3004,$A125,Acuses!$B$5:$B$3004,O$4,Acuses!$C$5:$C$3004,O$5),O$8)&lt;Resumen!$C$4,"Caducado",IF(EDATE(_xlfn.MAXIFS(Acuses!$D$5:$D$3004,Acuses!$A$5:$A$3004,$A125,Acuses!$B$5:$B$3004,O$4,Acuses!$C$5:$C$3004,O$5),O$8)&lt;Resumen!$C$4+30,"Caduca pronto","OK"))))))</f>
        <v/>
      </c>
      <c r="P125" s="26" t="str">
        <f aca="false">IF(OR($A125="",P$4=""),"",IF(NOT(OR(P$6="Toda la plantilla",ISNUMBER(SEARCH(";"&amp;SUBSTITUTE($C125," ","")&amp;";",";"&amp;SUBSTITUTE(P$7," ","")&amp;";")))),"—",IF(_xlfn.MAXIFS(Acuses!$C$5:$C$3004,Acuses!$A$5:$A$3004,$A125,Acuses!$B$5:$B$3004,P$4)&lt;P$5,"Pendiente",IF(P$8=0,"OK",IF(EDATE(_xlfn.MAXIFS(Acuses!$D$5:$D$3004,Acuses!$A$5:$A$3004,$A125,Acuses!$B$5:$B$3004,P$4,Acuses!$C$5:$C$3004,P$5),P$8)&lt;Resumen!$C$4,"Caducado",IF(EDATE(_xlfn.MAXIFS(Acuses!$D$5:$D$3004,Acuses!$A$5:$A$3004,$A125,Acuses!$B$5:$B$3004,P$4,Acuses!$C$5:$C$3004,P$5),P$8)&lt;Resumen!$C$4+30,"Caduca pronto","OK"))))))</f>
        <v/>
      </c>
      <c r="Q125" s="26" t="str">
        <f aca="false">IF(OR($A125="",Q$4=""),"",IF(NOT(OR(Q$6="Toda la plantilla",ISNUMBER(SEARCH(";"&amp;SUBSTITUTE($C125," ","")&amp;";",";"&amp;SUBSTITUTE(Q$7," ","")&amp;";")))),"—",IF(_xlfn.MAXIFS(Acuses!$C$5:$C$3004,Acuses!$A$5:$A$3004,$A125,Acuses!$B$5:$B$3004,Q$4)&lt;Q$5,"Pendiente",IF(Q$8=0,"OK",IF(EDATE(_xlfn.MAXIFS(Acuses!$D$5:$D$3004,Acuses!$A$5:$A$3004,$A125,Acuses!$B$5:$B$3004,Q$4,Acuses!$C$5:$C$3004,Q$5),Q$8)&lt;Resumen!$C$4,"Caducado",IF(EDATE(_xlfn.MAXIFS(Acuses!$D$5:$D$3004,Acuses!$A$5:$A$3004,$A125,Acuses!$B$5:$B$3004,Q$4,Acuses!$C$5:$C$3004,Q$5),Q$8)&lt;Resumen!$C$4+30,"Caduca pronto","OK"))))))</f>
        <v/>
      </c>
      <c r="R125" s="26" t="str">
        <f aca="false">IF(OR($A125="",R$4=""),"",IF(NOT(OR(R$6="Toda la plantilla",ISNUMBER(SEARCH(";"&amp;SUBSTITUTE($C125," ","")&amp;";",";"&amp;SUBSTITUTE(R$7," ","")&amp;";")))),"—",IF(_xlfn.MAXIFS(Acuses!$C$5:$C$3004,Acuses!$A$5:$A$3004,$A125,Acuses!$B$5:$B$3004,R$4)&lt;R$5,"Pendiente",IF(R$8=0,"OK",IF(EDATE(_xlfn.MAXIFS(Acuses!$D$5:$D$3004,Acuses!$A$5:$A$3004,$A125,Acuses!$B$5:$B$3004,R$4,Acuses!$C$5:$C$3004,R$5),R$8)&lt;Resumen!$C$4,"Caducado",IF(EDATE(_xlfn.MAXIFS(Acuses!$D$5:$D$3004,Acuses!$A$5:$A$3004,$A125,Acuses!$B$5:$B$3004,R$4,Acuses!$C$5:$C$3004,R$5),R$8)&lt;Resumen!$C$4+30,"Caduca pronto","OK"))))))</f>
        <v/>
      </c>
      <c r="S125" s="26" t="str">
        <f aca="false">IF(OR($A125="",S$4=""),"",IF(NOT(OR(S$6="Toda la plantilla",ISNUMBER(SEARCH(";"&amp;SUBSTITUTE($C125," ","")&amp;";",";"&amp;SUBSTITUTE(S$7," ","")&amp;";")))),"—",IF(_xlfn.MAXIFS(Acuses!$C$5:$C$3004,Acuses!$A$5:$A$3004,$A125,Acuses!$B$5:$B$3004,S$4)&lt;S$5,"Pendiente",IF(S$8=0,"OK",IF(EDATE(_xlfn.MAXIFS(Acuses!$D$5:$D$3004,Acuses!$A$5:$A$3004,$A125,Acuses!$B$5:$B$3004,S$4,Acuses!$C$5:$C$3004,S$5),S$8)&lt;Resumen!$C$4,"Caducado",IF(EDATE(_xlfn.MAXIFS(Acuses!$D$5:$D$3004,Acuses!$A$5:$A$3004,$A125,Acuses!$B$5:$B$3004,S$4,Acuses!$C$5:$C$3004,S$5),S$8)&lt;Resumen!$C$4+30,"Caduca pronto","OK"))))))</f>
        <v/>
      </c>
      <c r="T125" s="26" t="str">
        <f aca="false">IF(OR($A125="",T$4=""),"",IF(NOT(OR(T$6="Toda la plantilla",ISNUMBER(SEARCH(";"&amp;SUBSTITUTE($C125," ","")&amp;";",";"&amp;SUBSTITUTE(T$7," ","")&amp;";")))),"—",IF(_xlfn.MAXIFS(Acuses!$C$5:$C$3004,Acuses!$A$5:$A$3004,$A125,Acuses!$B$5:$B$3004,T$4)&lt;T$5,"Pendiente",IF(T$8=0,"OK",IF(EDATE(_xlfn.MAXIFS(Acuses!$D$5:$D$3004,Acuses!$A$5:$A$3004,$A125,Acuses!$B$5:$B$3004,T$4,Acuses!$C$5:$C$3004,T$5),T$8)&lt;Resumen!$C$4,"Caducado",IF(EDATE(_xlfn.MAXIFS(Acuses!$D$5:$D$3004,Acuses!$A$5:$A$3004,$A125,Acuses!$B$5:$B$3004,T$4,Acuses!$C$5:$C$3004,T$5),T$8)&lt;Resumen!$C$4+30,"Caduca pronto","OK"))))))</f>
        <v/>
      </c>
      <c r="U125" s="26" t="str">
        <f aca="false">IF(OR($A125="",U$4=""),"",IF(NOT(OR(U$6="Toda la plantilla",ISNUMBER(SEARCH(";"&amp;SUBSTITUTE($C125," ","")&amp;";",";"&amp;SUBSTITUTE(U$7," ","")&amp;";")))),"—",IF(_xlfn.MAXIFS(Acuses!$C$5:$C$3004,Acuses!$A$5:$A$3004,$A125,Acuses!$B$5:$B$3004,U$4)&lt;U$5,"Pendiente",IF(U$8=0,"OK",IF(EDATE(_xlfn.MAXIFS(Acuses!$D$5:$D$3004,Acuses!$A$5:$A$3004,$A125,Acuses!$B$5:$B$3004,U$4,Acuses!$C$5:$C$3004,U$5),U$8)&lt;Resumen!$C$4,"Caducado",IF(EDATE(_xlfn.MAXIFS(Acuses!$D$5:$D$3004,Acuses!$A$5:$A$3004,$A125,Acuses!$B$5:$B$3004,U$4,Acuses!$C$5:$C$3004,U$5),U$8)&lt;Resumen!$C$4+30,"Caduca pronto","OK"))))))</f>
        <v/>
      </c>
      <c r="V125" s="26" t="str">
        <f aca="false">IF(OR($A125="",V$4=""),"",IF(NOT(OR(V$6="Toda la plantilla",ISNUMBER(SEARCH(";"&amp;SUBSTITUTE($C125," ","")&amp;";",";"&amp;SUBSTITUTE(V$7," ","")&amp;";")))),"—",IF(_xlfn.MAXIFS(Acuses!$C$5:$C$3004,Acuses!$A$5:$A$3004,$A125,Acuses!$B$5:$B$3004,V$4)&lt;V$5,"Pendiente",IF(V$8=0,"OK",IF(EDATE(_xlfn.MAXIFS(Acuses!$D$5:$D$3004,Acuses!$A$5:$A$3004,$A125,Acuses!$B$5:$B$3004,V$4,Acuses!$C$5:$C$3004,V$5),V$8)&lt;Resumen!$C$4,"Caducado",IF(EDATE(_xlfn.MAXIFS(Acuses!$D$5:$D$3004,Acuses!$A$5:$A$3004,$A125,Acuses!$B$5:$B$3004,V$4,Acuses!$C$5:$C$3004,V$5),V$8)&lt;Resumen!$C$4+30,"Caduca pronto","OK"))))))</f>
        <v/>
      </c>
      <c r="W125" s="26" t="str">
        <f aca="false">IF(OR($A125="",W$4=""),"",IF(NOT(OR(W$6="Toda la plantilla",ISNUMBER(SEARCH(";"&amp;SUBSTITUTE($C125," ","")&amp;";",";"&amp;SUBSTITUTE(W$7," ","")&amp;";")))),"—",IF(_xlfn.MAXIFS(Acuses!$C$5:$C$3004,Acuses!$A$5:$A$3004,$A125,Acuses!$B$5:$B$3004,W$4)&lt;W$5,"Pendiente",IF(W$8=0,"OK",IF(EDATE(_xlfn.MAXIFS(Acuses!$D$5:$D$3004,Acuses!$A$5:$A$3004,$A125,Acuses!$B$5:$B$3004,W$4,Acuses!$C$5:$C$3004,W$5),W$8)&lt;Resumen!$C$4,"Caducado",IF(EDATE(_xlfn.MAXIFS(Acuses!$D$5:$D$3004,Acuses!$A$5:$A$3004,$A125,Acuses!$B$5:$B$3004,W$4,Acuses!$C$5:$C$3004,W$5),W$8)&lt;Resumen!$C$4+30,"Caduca pronto","OK"))))))</f>
        <v/>
      </c>
      <c r="X125" s="26" t="str">
        <f aca="false">IF(OR($A125="",X$4=""),"",IF(NOT(OR(X$6="Toda la plantilla",ISNUMBER(SEARCH(";"&amp;SUBSTITUTE($C125," ","")&amp;";",";"&amp;SUBSTITUTE(X$7," ","")&amp;";")))),"—",IF(_xlfn.MAXIFS(Acuses!$C$5:$C$3004,Acuses!$A$5:$A$3004,$A125,Acuses!$B$5:$B$3004,X$4)&lt;X$5,"Pendiente",IF(X$8=0,"OK",IF(EDATE(_xlfn.MAXIFS(Acuses!$D$5:$D$3004,Acuses!$A$5:$A$3004,$A125,Acuses!$B$5:$B$3004,X$4,Acuses!$C$5:$C$3004,X$5),X$8)&lt;Resumen!$C$4,"Caducado",IF(EDATE(_xlfn.MAXIFS(Acuses!$D$5:$D$3004,Acuses!$A$5:$A$3004,$A125,Acuses!$B$5:$B$3004,X$4,Acuses!$C$5:$C$3004,X$5),X$8)&lt;Resumen!$C$4+30,"Caduca pronto","OK"))))))</f>
        <v/>
      </c>
      <c r="Y125" s="26" t="str">
        <f aca="false">IF(OR($A125="",Y$4=""),"",IF(NOT(OR(Y$6="Toda la plantilla",ISNUMBER(SEARCH(";"&amp;SUBSTITUTE($C125," ","")&amp;";",";"&amp;SUBSTITUTE(Y$7," ","")&amp;";")))),"—",IF(_xlfn.MAXIFS(Acuses!$C$5:$C$3004,Acuses!$A$5:$A$3004,$A125,Acuses!$B$5:$B$3004,Y$4)&lt;Y$5,"Pendiente",IF(Y$8=0,"OK",IF(EDATE(_xlfn.MAXIFS(Acuses!$D$5:$D$3004,Acuses!$A$5:$A$3004,$A125,Acuses!$B$5:$B$3004,Y$4,Acuses!$C$5:$C$3004,Y$5),Y$8)&lt;Resumen!$C$4,"Caducado",IF(EDATE(_xlfn.MAXIFS(Acuses!$D$5:$D$3004,Acuses!$A$5:$A$3004,$A125,Acuses!$B$5:$B$3004,Y$4,Acuses!$C$5:$C$3004,Y$5),Y$8)&lt;Resumen!$C$4+30,"Caduca pronto","OK"))))))</f>
        <v/>
      </c>
      <c r="Z125" s="26" t="str">
        <f aca="false">IF(OR($A125="",Z$4=""),"",IF(NOT(OR(Z$6="Toda la plantilla",ISNUMBER(SEARCH(";"&amp;SUBSTITUTE($C125," ","")&amp;";",";"&amp;SUBSTITUTE(Z$7," ","")&amp;";")))),"—",IF(_xlfn.MAXIFS(Acuses!$C$5:$C$3004,Acuses!$A$5:$A$3004,$A125,Acuses!$B$5:$B$3004,Z$4)&lt;Z$5,"Pendiente",IF(Z$8=0,"OK",IF(EDATE(_xlfn.MAXIFS(Acuses!$D$5:$D$3004,Acuses!$A$5:$A$3004,$A125,Acuses!$B$5:$B$3004,Z$4,Acuses!$C$5:$C$3004,Z$5),Z$8)&lt;Resumen!$C$4,"Caducado",IF(EDATE(_xlfn.MAXIFS(Acuses!$D$5:$D$3004,Acuses!$A$5:$A$3004,$A125,Acuses!$B$5:$B$3004,Z$4,Acuses!$C$5:$C$3004,Z$5),Z$8)&lt;Resumen!$C$4+30,"Caduca pronto","OK"))))))</f>
        <v/>
      </c>
      <c r="AA125" s="26" t="str">
        <f aca="false">IF(OR($A125="",AA$4=""),"",IF(NOT(OR(AA$6="Toda la plantilla",ISNUMBER(SEARCH(";"&amp;SUBSTITUTE($C125," ","")&amp;";",";"&amp;SUBSTITUTE(AA$7," ","")&amp;";")))),"—",IF(_xlfn.MAXIFS(Acuses!$C$5:$C$3004,Acuses!$A$5:$A$3004,$A125,Acuses!$B$5:$B$3004,AA$4)&lt;AA$5,"Pendiente",IF(AA$8=0,"OK",IF(EDATE(_xlfn.MAXIFS(Acuses!$D$5:$D$3004,Acuses!$A$5:$A$3004,$A125,Acuses!$B$5:$B$3004,AA$4,Acuses!$C$5:$C$3004,AA$5),AA$8)&lt;Resumen!$C$4,"Caducado",IF(EDATE(_xlfn.MAXIFS(Acuses!$D$5:$D$3004,Acuses!$A$5:$A$3004,$A125,Acuses!$B$5:$B$3004,AA$4,Acuses!$C$5:$C$3004,AA$5),AA$8)&lt;Resumen!$C$4+30,"Caduca pronto","OK"))))))</f>
        <v/>
      </c>
      <c r="AB125" s="26" t="str">
        <f aca="false">IF(OR($A125="",AB$4=""),"",IF(NOT(OR(AB$6="Toda la plantilla",ISNUMBER(SEARCH(";"&amp;SUBSTITUTE($C125," ","")&amp;";",";"&amp;SUBSTITUTE(AB$7," ","")&amp;";")))),"—",IF(_xlfn.MAXIFS(Acuses!$C$5:$C$3004,Acuses!$A$5:$A$3004,$A125,Acuses!$B$5:$B$3004,AB$4)&lt;AB$5,"Pendiente",IF(AB$8=0,"OK",IF(EDATE(_xlfn.MAXIFS(Acuses!$D$5:$D$3004,Acuses!$A$5:$A$3004,$A125,Acuses!$B$5:$B$3004,AB$4,Acuses!$C$5:$C$3004,AB$5),AB$8)&lt;Resumen!$C$4,"Caducado",IF(EDATE(_xlfn.MAXIFS(Acuses!$D$5:$D$3004,Acuses!$A$5:$A$3004,$A125,Acuses!$B$5:$B$3004,AB$4,Acuses!$C$5:$C$3004,AB$5),AB$8)&lt;Resumen!$C$4+30,"Caduca pronto","OK"))))))</f>
        <v/>
      </c>
      <c r="AC125" s="26" t="str">
        <f aca="false">IF(OR($A125="",AC$4=""),"",IF(NOT(OR(AC$6="Toda la plantilla",ISNUMBER(SEARCH(";"&amp;SUBSTITUTE($C125," ","")&amp;";",";"&amp;SUBSTITUTE(AC$7," ","")&amp;";")))),"—",IF(_xlfn.MAXIFS(Acuses!$C$5:$C$3004,Acuses!$A$5:$A$3004,$A125,Acuses!$B$5:$B$3004,AC$4)&lt;AC$5,"Pendiente",IF(AC$8=0,"OK",IF(EDATE(_xlfn.MAXIFS(Acuses!$D$5:$D$3004,Acuses!$A$5:$A$3004,$A125,Acuses!$B$5:$B$3004,AC$4,Acuses!$C$5:$C$3004,AC$5),AC$8)&lt;Resumen!$C$4,"Caducado",IF(EDATE(_xlfn.MAXIFS(Acuses!$D$5:$D$3004,Acuses!$A$5:$A$3004,$A125,Acuses!$B$5:$B$3004,AC$4,Acuses!$C$5:$C$3004,AC$5),AC$8)&lt;Resumen!$C$4+30,"Caduca pronto","OK"))))))</f>
        <v/>
      </c>
      <c r="AD125" s="26" t="str">
        <f aca="false">IF(OR($A125="",AD$4=""),"",IF(NOT(OR(AD$6="Toda la plantilla",ISNUMBER(SEARCH(";"&amp;SUBSTITUTE($C125," ","")&amp;";",";"&amp;SUBSTITUTE(AD$7," ","")&amp;";")))),"—",IF(_xlfn.MAXIFS(Acuses!$C$5:$C$3004,Acuses!$A$5:$A$3004,$A125,Acuses!$B$5:$B$3004,AD$4)&lt;AD$5,"Pendiente",IF(AD$8=0,"OK",IF(EDATE(_xlfn.MAXIFS(Acuses!$D$5:$D$3004,Acuses!$A$5:$A$3004,$A125,Acuses!$B$5:$B$3004,AD$4,Acuses!$C$5:$C$3004,AD$5),AD$8)&lt;Resumen!$C$4,"Caducado",IF(EDATE(_xlfn.MAXIFS(Acuses!$D$5:$D$3004,Acuses!$A$5:$A$3004,$A125,Acuses!$B$5:$B$3004,AD$4,Acuses!$C$5:$C$3004,AD$5),AD$8)&lt;Resumen!$C$4+30,"Caduca pronto","OK"))))))</f>
        <v/>
      </c>
      <c r="AE125" s="26" t="str">
        <f aca="false">IF(OR($A125="",AE$4=""),"",IF(NOT(OR(AE$6="Toda la plantilla",ISNUMBER(SEARCH(";"&amp;SUBSTITUTE($C125," ","")&amp;";",";"&amp;SUBSTITUTE(AE$7," ","")&amp;";")))),"—",IF(_xlfn.MAXIFS(Acuses!$C$5:$C$3004,Acuses!$A$5:$A$3004,$A125,Acuses!$B$5:$B$3004,AE$4)&lt;AE$5,"Pendiente",IF(AE$8=0,"OK",IF(EDATE(_xlfn.MAXIFS(Acuses!$D$5:$D$3004,Acuses!$A$5:$A$3004,$A125,Acuses!$B$5:$B$3004,AE$4,Acuses!$C$5:$C$3004,AE$5),AE$8)&lt;Resumen!$C$4,"Caducado",IF(EDATE(_xlfn.MAXIFS(Acuses!$D$5:$D$3004,Acuses!$A$5:$A$3004,$A125,Acuses!$B$5:$B$3004,AE$4,Acuses!$C$5:$C$3004,AE$5),AE$8)&lt;Resumen!$C$4+30,"Caduca pronto","OK"))))))</f>
        <v/>
      </c>
      <c r="AF125" s="26" t="str">
        <f aca="false">IF(OR($A125="",AF$4=""),"",IF(NOT(OR(AF$6="Toda la plantilla",ISNUMBER(SEARCH(";"&amp;SUBSTITUTE($C125," ","")&amp;";",";"&amp;SUBSTITUTE(AF$7," ","")&amp;";")))),"—",IF(_xlfn.MAXIFS(Acuses!$C$5:$C$3004,Acuses!$A$5:$A$3004,$A125,Acuses!$B$5:$B$3004,AF$4)&lt;AF$5,"Pendiente",IF(AF$8=0,"OK",IF(EDATE(_xlfn.MAXIFS(Acuses!$D$5:$D$3004,Acuses!$A$5:$A$3004,$A125,Acuses!$B$5:$B$3004,AF$4,Acuses!$C$5:$C$3004,AF$5),AF$8)&lt;Resumen!$C$4,"Caducado",IF(EDATE(_xlfn.MAXIFS(Acuses!$D$5:$D$3004,Acuses!$A$5:$A$3004,$A125,Acuses!$B$5:$B$3004,AF$4,Acuses!$C$5:$C$3004,AF$5),AF$8)&lt;Resumen!$C$4+30,"Caduca pronto","OK"))))))</f>
        <v/>
      </c>
      <c r="AG125" s="26" t="str">
        <f aca="false">IF(OR($A125="",AG$4=""),"",IF(NOT(OR(AG$6="Toda la plantilla",ISNUMBER(SEARCH(";"&amp;SUBSTITUTE($C125," ","")&amp;";",";"&amp;SUBSTITUTE(AG$7," ","")&amp;";")))),"—",IF(_xlfn.MAXIFS(Acuses!$C$5:$C$3004,Acuses!$A$5:$A$3004,$A125,Acuses!$B$5:$B$3004,AG$4)&lt;AG$5,"Pendiente",IF(AG$8=0,"OK",IF(EDATE(_xlfn.MAXIFS(Acuses!$D$5:$D$3004,Acuses!$A$5:$A$3004,$A125,Acuses!$B$5:$B$3004,AG$4,Acuses!$C$5:$C$3004,AG$5),AG$8)&lt;Resumen!$C$4,"Caducado",IF(EDATE(_xlfn.MAXIFS(Acuses!$D$5:$D$3004,Acuses!$A$5:$A$3004,$A125,Acuses!$B$5:$B$3004,AG$4,Acuses!$C$5:$C$3004,AG$5),AG$8)&lt;Resumen!$C$4+30,"Caduca pronto","OK"))))))</f>
        <v/>
      </c>
      <c r="AH125" s="26" t="str">
        <f aca="false">IF(OR($A125="",AH$4=""),"",IF(NOT(OR(AH$6="Toda la plantilla",ISNUMBER(SEARCH(";"&amp;SUBSTITUTE($C125," ","")&amp;";",";"&amp;SUBSTITUTE(AH$7," ","")&amp;";")))),"—",IF(_xlfn.MAXIFS(Acuses!$C$5:$C$3004,Acuses!$A$5:$A$3004,$A125,Acuses!$B$5:$B$3004,AH$4)&lt;AH$5,"Pendiente",IF(AH$8=0,"OK",IF(EDATE(_xlfn.MAXIFS(Acuses!$D$5:$D$3004,Acuses!$A$5:$A$3004,$A125,Acuses!$B$5:$B$3004,AH$4,Acuses!$C$5:$C$3004,AH$5),AH$8)&lt;Resumen!$C$4,"Caducado",IF(EDATE(_xlfn.MAXIFS(Acuses!$D$5:$D$3004,Acuses!$A$5:$A$3004,$A125,Acuses!$B$5:$B$3004,AH$4,Acuses!$C$5:$C$3004,AH$5),AH$8)&lt;Resumen!$C$4+30,"Caduca pronto","OK"))))))</f>
        <v/>
      </c>
      <c r="AI125" s="26" t="str">
        <f aca="false">IF(OR($A125="",AI$4=""),"",IF(NOT(OR(AI$6="Toda la plantilla",ISNUMBER(SEARCH(";"&amp;SUBSTITUTE($C125," ","")&amp;";",";"&amp;SUBSTITUTE(AI$7," ","")&amp;";")))),"—",IF(_xlfn.MAXIFS(Acuses!$C$5:$C$3004,Acuses!$A$5:$A$3004,$A125,Acuses!$B$5:$B$3004,AI$4)&lt;AI$5,"Pendiente",IF(AI$8=0,"OK",IF(EDATE(_xlfn.MAXIFS(Acuses!$D$5:$D$3004,Acuses!$A$5:$A$3004,$A125,Acuses!$B$5:$B$3004,AI$4,Acuses!$C$5:$C$3004,AI$5),AI$8)&lt;Resumen!$C$4,"Caducado",IF(EDATE(_xlfn.MAXIFS(Acuses!$D$5:$D$3004,Acuses!$A$5:$A$3004,$A125,Acuses!$B$5:$B$3004,AI$4,Acuses!$C$5:$C$3004,AI$5),AI$8)&lt;Resumen!$C$4+30,"Caduca pronto","OK"))))))</f>
        <v/>
      </c>
      <c r="AJ125" s="26" t="str">
        <f aca="false">IF(OR($A125="",AJ$4=""),"",IF(NOT(OR(AJ$6="Toda la plantilla",ISNUMBER(SEARCH(";"&amp;SUBSTITUTE($C125," ","")&amp;";",";"&amp;SUBSTITUTE(AJ$7," ","")&amp;";")))),"—",IF(_xlfn.MAXIFS(Acuses!$C$5:$C$3004,Acuses!$A$5:$A$3004,$A125,Acuses!$B$5:$B$3004,AJ$4)&lt;AJ$5,"Pendiente",IF(AJ$8=0,"OK",IF(EDATE(_xlfn.MAXIFS(Acuses!$D$5:$D$3004,Acuses!$A$5:$A$3004,$A125,Acuses!$B$5:$B$3004,AJ$4,Acuses!$C$5:$C$3004,AJ$5),AJ$8)&lt;Resumen!$C$4,"Caducado",IF(EDATE(_xlfn.MAXIFS(Acuses!$D$5:$D$3004,Acuses!$A$5:$A$3004,$A125,Acuses!$B$5:$B$3004,AJ$4,Acuses!$C$5:$C$3004,AJ$5),AJ$8)&lt;Resumen!$C$4+30,"Caduca pronto","OK"))))))</f>
        <v/>
      </c>
      <c r="AK125" s="26" t="str">
        <f aca="false">IF(OR($A125="",AK$4=""),"",IF(NOT(OR(AK$6="Toda la plantilla",ISNUMBER(SEARCH(";"&amp;SUBSTITUTE($C125," ","")&amp;";",";"&amp;SUBSTITUTE(AK$7," ","")&amp;";")))),"—",IF(_xlfn.MAXIFS(Acuses!$C$5:$C$3004,Acuses!$A$5:$A$3004,$A125,Acuses!$B$5:$B$3004,AK$4)&lt;AK$5,"Pendiente",IF(AK$8=0,"OK",IF(EDATE(_xlfn.MAXIFS(Acuses!$D$5:$D$3004,Acuses!$A$5:$A$3004,$A125,Acuses!$B$5:$B$3004,AK$4,Acuses!$C$5:$C$3004,AK$5),AK$8)&lt;Resumen!$C$4,"Caducado",IF(EDATE(_xlfn.MAXIFS(Acuses!$D$5:$D$3004,Acuses!$A$5:$A$3004,$A125,Acuses!$B$5:$B$3004,AK$4,Acuses!$C$5:$C$3004,AK$5),AK$8)&lt;Resumen!$C$4+30,"Caduca pronto","OK"))))))</f>
        <v/>
      </c>
      <c r="AL125" s="26" t="str">
        <f aca="false">IF(OR($A125="",AL$4=""),"",IF(NOT(OR(AL$6="Toda la plantilla",ISNUMBER(SEARCH(";"&amp;SUBSTITUTE($C125," ","")&amp;";",";"&amp;SUBSTITUTE(AL$7," ","")&amp;";")))),"—",IF(_xlfn.MAXIFS(Acuses!$C$5:$C$3004,Acuses!$A$5:$A$3004,$A125,Acuses!$B$5:$B$3004,AL$4)&lt;AL$5,"Pendiente",IF(AL$8=0,"OK",IF(EDATE(_xlfn.MAXIFS(Acuses!$D$5:$D$3004,Acuses!$A$5:$A$3004,$A125,Acuses!$B$5:$B$3004,AL$4,Acuses!$C$5:$C$3004,AL$5),AL$8)&lt;Resumen!$C$4,"Caducado",IF(EDATE(_xlfn.MAXIFS(Acuses!$D$5:$D$3004,Acuses!$A$5:$A$3004,$A125,Acuses!$B$5:$B$3004,AL$4,Acuses!$C$5:$C$3004,AL$5),AL$8)&lt;Resumen!$C$4+30,"Caduca pronto","OK"))))))</f>
        <v/>
      </c>
      <c r="AM125" s="26" t="str">
        <f aca="false">IF(OR($A125="",AM$4=""),"",IF(NOT(OR(AM$6="Toda la plantilla",ISNUMBER(SEARCH(";"&amp;SUBSTITUTE($C125," ","")&amp;";",";"&amp;SUBSTITUTE(AM$7," ","")&amp;";")))),"—",IF(_xlfn.MAXIFS(Acuses!$C$5:$C$3004,Acuses!$A$5:$A$3004,$A125,Acuses!$B$5:$B$3004,AM$4)&lt;AM$5,"Pendiente",IF(AM$8=0,"OK",IF(EDATE(_xlfn.MAXIFS(Acuses!$D$5:$D$3004,Acuses!$A$5:$A$3004,$A125,Acuses!$B$5:$B$3004,AM$4,Acuses!$C$5:$C$3004,AM$5),AM$8)&lt;Resumen!$C$4,"Caducado",IF(EDATE(_xlfn.MAXIFS(Acuses!$D$5:$D$3004,Acuses!$A$5:$A$3004,$A125,Acuses!$B$5:$B$3004,AM$4,Acuses!$C$5:$C$3004,AM$5),AM$8)&lt;Resumen!$C$4+30,"Caduca pronto","OK"))))))</f>
        <v/>
      </c>
      <c r="AN125" s="26" t="str">
        <f aca="false">IF(OR($A125="",AN$4=""),"",IF(NOT(OR(AN$6="Toda la plantilla",ISNUMBER(SEARCH(";"&amp;SUBSTITUTE($C125," ","")&amp;";",";"&amp;SUBSTITUTE(AN$7," ","")&amp;";")))),"—",IF(_xlfn.MAXIFS(Acuses!$C$5:$C$3004,Acuses!$A$5:$A$3004,$A125,Acuses!$B$5:$B$3004,AN$4)&lt;AN$5,"Pendiente",IF(AN$8=0,"OK",IF(EDATE(_xlfn.MAXIFS(Acuses!$D$5:$D$3004,Acuses!$A$5:$A$3004,$A125,Acuses!$B$5:$B$3004,AN$4,Acuses!$C$5:$C$3004,AN$5),AN$8)&lt;Resumen!$C$4,"Caducado",IF(EDATE(_xlfn.MAXIFS(Acuses!$D$5:$D$3004,Acuses!$A$5:$A$3004,$A125,Acuses!$B$5:$B$3004,AN$4,Acuses!$C$5:$C$3004,AN$5),AN$8)&lt;Resumen!$C$4+30,"Caduca pronto","OK"))))))</f>
        <v/>
      </c>
      <c r="AO125" s="26" t="str">
        <f aca="false">IF(OR($A125="",AO$4=""),"",IF(NOT(OR(AO$6="Toda la plantilla",ISNUMBER(SEARCH(";"&amp;SUBSTITUTE($C125," ","")&amp;";",";"&amp;SUBSTITUTE(AO$7," ","")&amp;";")))),"—",IF(_xlfn.MAXIFS(Acuses!$C$5:$C$3004,Acuses!$A$5:$A$3004,$A125,Acuses!$B$5:$B$3004,AO$4)&lt;AO$5,"Pendiente",IF(AO$8=0,"OK",IF(EDATE(_xlfn.MAXIFS(Acuses!$D$5:$D$3004,Acuses!$A$5:$A$3004,$A125,Acuses!$B$5:$B$3004,AO$4,Acuses!$C$5:$C$3004,AO$5),AO$8)&lt;Resumen!$C$4,"Caducado",IF(EDATE(_xlfn.MAXIFS(Acuses!$D$5:$D$3004,Acuses!$A$5:$A$3004,$A125,Acuses!$B$5:$B$3004,AO$4,Acuses!$C$5:$C$3004,AO$5),AO$8)&lt;Resumen!$C$4+30,"Caduca pronto","OK"))))))</f>
        <v/>
      </c>
      <c r="AP125" s="26" t="str">
        <f aca="false">IF(OR($A125="",AP$4=""),"",IF(NOT(OR(AP$6="Toda la plantilla",ISNUMBER(SEARCH(";"&amp;SUBSTITUTE($C125," ","")&amp;";",";"&amp;SUBSTITUTE(AP$7," ","")&amp;";")))),"—",IF(_xlfn.MAXIFS(Acuses!$C$5:$C$3004,Acuses!$A$5:$A$3004,$A125,Acuses!$B$5:$B$3004,AP$4)&lt;AP$5,"Pendiente",IF(AP$8=0,"OK",IF(EDATE(_xlfn.MAXIFS(Acuses!$D$5:$D$3004,Acuses!$A$5:$A$3004,$A125,Acuses!$B$5:$B$3004,AP$4,Acuses!$C$5:$C$3004,AP$5),AP$8)&lt;Resumen!$C$4,"Caducado",IF(EDATE(_xlfn.MAXIFS(Acuses!$D$5:$D$3004,Acuses!$A$5:$A$3004,$A125,Acuses!$B$5:$B$3004,AP$4,Acuses!$C$5:$C$3004,AP$5),AP$8)&lt;Resumen!$C$4+30,"Caduca pronto","OK"))))))</f>
        <v/>
      </c>
      <c r="AQ125" s="26" t="str">
        <f aca="false">IF(OR($A125="",AQ$4=""),"",IF(NOT(OR(AQ$6="Toda la plantilla",ISNUMBER(SEARCH(";"&amp;SUBSTITUTE($C125," ","")&amp;";",";"&amp;SUBSTITUTE(AQ$7," ","")&amp;";")))),"—",IF(_xlfn.MAXIFS(Acuses!$C$5:$C$3004,Acuses!$A$5:$A$3004,$A125,Acuses!$B$5:$B$3004,AQ$4)&lt;AQ$5,"Pendiente",IF(AQ$8=0,"OK",IF(EDATE(_xlfn.MAXIFS(Acuses!$D$5:$D$3004,Acuses!$A$5:$A$3004,$A125,Acuses!$B$5:$B$3004,AQ$4,Acuses!$C$5:$C$3004,AQ$5),AQ$8)&lt;Resumen!$C$4,"Caducado",IF(EDATE(_xlfn.MAXIFS(Acuses!$D$5:$D$3004,Acuses!$A$5:$A$3004,$A125,Acuses!$B$5:$B$3004,AQ$4,Acuses!$C$5:$C$3004,AQ$5),AQ$8)&lt;Resumen!$C$4+30,"Caduca pronto","OK"))))))</f>
        <v/>
      </c>
    </row>
    <row r="126" customFormat="false" ht="15" hidden="false" customHeight="false" outlineLevel="0" collapsed="false">
      <c r="A126" s="25" t="str">
        <f aca="false">IF(AND(Trabajadores!$A$121&lt;&gt;"",Trabajadores!$G$121&lt;&gt;"No"),Trabajadores!$A$121,"")</f>
        <v/>
      </c>
      <c r="B126" s="25" t="str">
        <f aca="false">IF($A126="","",Trabajadores!$B$121)</f>
        <v/>
      </c>
      <c r="C126" s="25" t="str">
        <f aca="false">IF($A126="","",Trabajadores!$C$121)</f>
        <v/>
      </c>
      <c r="D126" s="26" t="str">
        <f aca="false">IF(OR($A126="",D$4=""),"",IF(NOT(OR(D$6="Toda la plantilla",ISNUMBER(SEARCH(";"&amp;SUBSTITUTE($C126," ","")&amp;";",";"&amp;SUBSTITUTE(D$7," ","")&amp;";")))),"—",IF(_xlfn.MAXIFS(Acuses!$C$5:$C$3004,Acuses!$A$5:$A$3004,$A126,Acuses!$B$5:$B$3004,D$4)&lt;D$5,"Pendiente",IF(D$8=0,"OK",IF(EDATE(_xlfn.MAXIFS(Acuses!$D$5:$D$3004,Acuses!$A$5:$A$3004,$A126,Acuses!$B$5:$B$3004,D$4,Acuses!$C$5:$C$3004,D$5),D$8)&lt;Resumen!$C$4,"Caducado",IF(EDATE(_xlfn.MAXIFS(Acuses!$D$5:$D$3004,Acuses!$A$5:$A$3004,$A126,Acuses!$B$5:$B$3004,D$4,Acuses!$C$5:$C$3004,D$5),D$8)&lt;Resumen!$C$4+30,"Caduca pronto","OK"))))))</f>
        <v/>
      </c>
      <c r="E126" s="26" t="str">
        <f aca="false">IF(OR($A126="",E$4=""),"",IF(NOT(OR(E$6="Toda la plantilla",ISNUMBER(SEARCH(";"&amp;SUBSTITUTE($C126," ","")&amp;";",";"&amp;SUBSTITUTE(E$7," ","")&amp;";")))),"—",IF(_xlfn.MAXIFS(Acuses!$C$5:$C$3004,Acuses!$A$5:$A$3004,$A126,Acuses!$B$5:$B$3004,E$4)&lt;E$5,"Pendiente",IF(E$8=0,"OK",IF(EDATE(_xlfn.MAXIFS(Acuses!$D$5:$D$3004,Acuses!$A$5:$A$3004,$A126,Acuses!$B$5:$B$3004,E$4,Acuses!$C$5:$C$3004,E$5),E$8)&lt;Resumen!$C$4,"Caducado",IF(EDATE(_xlfn.MAXIFS(Acuses!$D$5:$D$3004,Acuses!$A$5:$A$3004,$A126,Acuses!$B$5:$B$3004,E$4,Acuses!$C$5:$C$3004,E$5),E$8)&lt;Resumen!$C$4+30,"Caduca pronto","OK"))))))</f>
        <v/>
      </c>
      <c r="F126" s="26" t="str">
        <f aca="false">IF(OR($A126="",F$4=""),"",IF(NOT(OR(F$6="Toda la plantilla",ISNUMBER(SEARCH(";"&amp;SUBSTITUTE($C126," ","")&amp;";",";"&amp;SUBSTITUTE(F$7," ","")&amp;";")))),"—",IF(_xlfn.MAXIFS(Acuses!$C$5:$C$3004,Acuses!$A$5:$A$3004,$A126,Acuses!$B$5:$B$3004,F$4)&lt;F$5,"Pendiente",IF(F$8=0,"OK",IF(EDATE(_xlfn.MAXIFS(Acuses!$D$5:$D$3004,Acuses!$A$5:$A$3004,$A126,Acuses!$B$5:$B$3004,F$4,Acuses!$C$5:$C$3004,F$5),F$8)&lt;Resumen!$C$4,"Caducado",IF(EDATE(_xlfn.MAXIFS(Acuses!$D$5:$D$3004,Acuses!$A$5:$A$3004,$A126,Acuses!$B$5:$B$3004,F$4,Acuses!$C$5:$C$3004,F$5),F$8)&lt;Resumen!$C$4+30,"Caduca pronto","OK"))))))</f>
        <v/>
      </c>
      <c r="G126" s="26" t="str">
        <f aca="false">IF(OR($A126="",G$4=""),"",IF(NOT(OR(G$6="Toda la plantilla",ISNUMBER(SEARCH(";"&amp;SUBSTITUTE($C126," ","")&amp;";",";"&amp;SUBSTITUTE(G$7," ","")&amp;";")))),"—",IF(_xlfn.MAXIFS(Acuses!$C$5:$C$3004,Acuses!$A$5:$A$3004,$A126,Acuses!$B$5:$B$3004,G$4)&lt;G$5,"Pendiente",IF(G$8=0,"OK",IF(EDATE(_xlfn.MAXIFS(Acuses!$D$5:$D$3004,Acuses!$A$5:$A$3004,$A126,Acuses!$B$5:$B$3004,G$4,Acuses!$C$5:$C$3004,G$5),G$8)&lt;Resumen!$C$4,"Caducado",IF(EDATE(_xlfn.MAXIFS(Acuses!$D$5:$D$3004,Acuses!$A$5:$A$3004,$A126,Acuses!$B$5:$B$3004,G$4,Acuses!$C$5:$C$3004,G$5),G$8)&lt;Resumen!$C$4+30,"Caduca pronto","OK"))))))</f>
        <v/>
      </c>
      <c r="H126" s="26" t="str">
        <f aca="false">IF(OR($A126="",H$4=""),"",IF(NOT(OR(H$6="Toda la plantilla",ISNUMBER(SEARCH(";"&amp;SUBSTITUTE($C126," ","")&amp;";",";"&amp;SUBSTITUTE(H$7," ","")&amp;";")))),"—",IF(_xlfn.MAXIFS(Acuses!$C$5:$C$3004,Acuses!$A$5:$A$3004,$A126,Acuses!$B$5:$B$3004,H$4)&lt;H$5,"Pendiente",IF(H$8=0,"OK",IF(EDATE(_xlfn.MAXIFS(Acuses!$D$5:$D$3004,Acuses!$A$5:$A$3004,$A126,Acuses!$B$5:$B$3004,H$4,Acuses!$C$5:$C$3004,H$5),H$8)&lt;Resumen!$C$4,"Caducado",IF(EDATE(_xlfn.MAXIFS(Acuses!$D$5:$D$3004,Acuses!$A$5:$A$3004,$A126,Acuses!$B$5:$B$3004,H$4,Acuses!$C$5:$C$3004,H$5),H$8)&lt;Resumen!$C$4+30,"Caduca pronto","OK"))))))</f>
        <v/>
      </c>
      <c r="I126" s="26" t="str">
        <f aca="false">IF(OR($A126="",I$4=""),"",IF(NOT(OR(I$6="Toda la plantilla",ISNUMBER(SEARCH(";"&amp;SUBSTITUTE($C126," ","")&amp;";",";"&amp;SUBSTITUTE(I$7," ","")&amp;";")))),"—",IF(_xlfn.MAXIFS(Acuses!$C$5:$C$3004,Acuses!$A$5:$A$3004,$A126,Acuses!$B$5:$B$3004,I$4)&lt;I$5,"Pendiente",IF(I$8=0,"OK",IF(EDATE(_xlfn.MAXIFS(Acuses!$D$5:$D$3004,Acuses!$A$5:$A$3004,$A126,Acuses!$B$5:$B$3004,I$4,Acuses!$C$5:$C$3004,I$5),I$8)&lt;Resumen!$C$4,"Caducado",IF(EDATE(_xlfn.MAXIFS(Acuses!$D$5:$D$3004,Acuses!$A$5:$A$3004,$A126,Acuses!$B$5:$B$3004,I$4,Acuses!$C$5:$C$3004,I$5),I$8)&lt;Resumen!$C$4+30,"Caduca pronto","OK"))))))</f>
        <v/>
      </c>
      <c r="J126" s="26" t="str">
        <f aca="false">IF(OR($A126="",J$4=""),"",IF(NOT(OR(J$6="Toda la plantilla",ISNUMBER(SEARCH(";"&amp;SUBSTITUTE($C126," ","")&amp;";",";"&amp;SUBSTITUTE(J$7," ","")&amp;";")))),"—",IF(_xlfn.MAXIFS(Acuses!$C$5:$C$3004,Acuses!$A$5:$A$3004,$A126,Acuses!$B$5:$B$3004,J$4)&lt;J$5,"Pendiente",IF(J$8=0,"OK",IF(EDATE(_xlfn.MAXIFS(Acuses!$D$5:$D$3004,Acuses!$A$5:$A$3004,$A126,Acuses!$B$5:$B$3004,J$4,Acuses!$C$5:$C$3004,J$5),J$8)&lt;Resumen!$C$4,"Caducado",IF(EDATE(_xlfn.MAXIFS(Acuses!$D$5:$D$3004,Acuses!$A$5:$A$3004,$A126,Acuses!$B$5:$B$3004,J$4,Acuses!$C$5:$C$3004,J$5),J$8)&lt;Resumen!$C$4+30,"Caduca pronto","OK"))))))</f>
        <v/>
      </c>
      <c r="K126" s="26" t="str">
        <f aca="false">IF(OR($A126="",K$4=""),"",IF(NOT(OR(K$6="Toda la plantilla",ISNUMBER(SEARCH(";"&amp;SUBSTITUTE($C126," ","")&amp;";",";"&amp;SUBSTITUTE(K$7," ","")&amp;";")))),"—",IF(_xlfn.MAXIFS(Acuses!$C$5:$C$3004,Acuses!$A$5:$A$3004,$A126,Acuses!$B$5:$B$3004,K$4)&lt;K$5,"Pendiente",IF(K$8=0,"OK",IF(EDATE(_xlfn.MAXIFS(Acuses!$D$5:$D$3004,Acuses!$A$5:$A$3004,$A126,Acuses!$B$5:$B$3004,K$4,Acuses!$C$5:$C$3004,K$5),K$8)&lt;Resumen!$C$4,"Caducado",IF(EDATE(_xlfn.MAXIFS(Acuses!$D$5:$D$3004,Acuses!$A$5:$A$3004,$A126,Acuses!$B$5:$B$3004,K$4,Acuses!$C$5:$C$3004,K$5),K$8)&lt;Resumen!$C$4+30,"Caduca pronto","OK"))))))</f>
        <v/>
      </c>
      <c r="L126" s="26" t="str">
        <f aca="false">IF(OR($A126="",L$4=""),"",IF(NOT(OR(L$6="Toda la plantilla",ISNUMBER(SEARCH(";"&amp;SUBSTITUTE($C126," ","")&amp;";",";"&amp;SUBSTITUTE(L$7," ","")&amp;";")))),"—",IF(_xlfn.MAXIFS(Acuses!$C$5:$C$3004,Acuses!$A$5:$A$3004,$A126,Acuses!$B$5:$B$3004,L$4)&lt;L$5,"Pendiente",IF(L$8=0,"OK",IF(EDATE(_xlfn.MAXIFS(Acuses!$D$5:$D$3004,Acuses!$A$5:$A$3004,$A126,Acuses!$B$5:$B$3004,L$4,Acuses!$C$5:$C$3004,L$5),L$8)&lt;Resumen!$C$4,"Caducado",IF(EDATE(_xlfn.MAXIFS(Acuses!$D$5:$D$3004,Acuses!$A$5:$A$3004,$A126,Acuses!$B$5:$B$3004,L$4,Acuses!$C$5:$C$3004,L$5),L$8)&lt;Resumen!$C$4+30,"Caduca pronto","OK"))))))</f>
        <v/>
      </c>
      <c r="M126" s="26" t="str">
        <f aca="false">IF(OR($A126="",M$4=""),"",IF(NOT(OR(M$6="Toda la plantilla",ISNUMBER(SEARCH(";"&amp;SUBSTITUTE($C126," ","")&amp;";",";"&amp;SUBSTITUTE(M$7," ","")&amp;";")))),"—",IF(_xlfn.MAXIFS(Acuses!$C$5:$C$3004,Acuses!$A$5:$A$3004,$A126,Acuses!$B$5:$B$3004,M$4)&lt;M$5,"Pendiente",IF(M$8=0,"OK",IF(EDATE(_xlfn.MAXIFS(Acuses!$D$5:$D$3004,Acuses!$A$5:$A$3004,$A126,Acuses!$B$5:$B$3004,M$4,Acuses!$C$5:$C$3004,M$5),M$8)&lt;Resumen!$C$4,"Caducado",IF(EDATE(_xlfn.MAXIFS(Acuses!$D$5:$D$3004,Acuses!$A$5:$A$3004,$A126,Acuses!$B$5:$B$3004,M$4,Acuses!$C$5:$C$3004,M$5),M$8)&lt;Resumen!$C$4+30,"Caduca pronto","OK"))))))</f>
        <v/>
      </c>
      <c r="N126" s="26" t="str">
        <f aca="false">IF(OR($A126="",N$4=""),"",IF(NOT(OR(N$6="Toda la plantilla",ISNUMBER(SEARCH(";"&amp;SUBSTITUTE($C126," ","")&amp;";",";"&amp;SUBSTITUTE(N$7," ","")&amp;";")))),"—",IF(_xlfn.MAXIFS(Acuses!$C$5:$C$3004,Acuses!$A$5:$A$3004,$A126,Acuses!$B$5:$B$3004,N$4)&lt;N$5,"Pendiente",IF(N$8=0,"OK",IF(EDATE(_xlfn.MAXIFS(Acuses!$D$5:$D$3004,Acuses!$A$5:$A$3004,$A126,Acuses!$B$5:$B$3004,N$4,Acuses!$C$5:$C$3004,N$5),N$8)&lt;Resumen!$C$4,"Caducado",IF(EDATE(_xlfn.MAXIFS(Acuses!$D$5:$D$3004,Acuses!$A$5:$A$3004,$A126,Acuses!$B$5:$B$3004,N$4,Acuses!$C$5:$C$3004,N$5),N$8)&lt;Resumen!$C$4+30,"Caduca pronto","OK"))))))</f>
        <v/>
      </c>
      <c r="O126" s="26" t="str">
        <f aca="false">IF(OR($A126="",O$4=""),"",IF(NOT(OR(O$6="Toda la plantilla",ISNUMBER(SEARCH(";"&amp;SUBSTITUTE($C126," ","")&amp;";",";"&amp;SUBSTITUTE(O$7," ","")&amp;";")))),"—",IF(_xlfn.MAXIFS(Acuses!$C$5:$C$3004,Acuses!$A$5:$A$3004,$A126,Acuses!$B$5:$B$3004,O$4)&lt;O$5,"Pendiente",IF(O$8=0,"OK",IF(EDATE(_xlfn.MAXIFS(Acuses!$D$5:$D$3004,Acuses!$A$5:$A$3004,$A126,Acuses!$B$5:$B$3004,O$4,Acuses!$C$5:$C$3004,O$5),O$8)&lt;Resumen!$C$4,"Caducado",IF(EDATE(_xlfn.MAXIFS(Acuses!$D$5:$D$3004,Acuses!$A$5:$A$3004,$A126,Acuses!$B$5:$B$3004,O$4,Acuses!$C$5:$C$3004,O$5),O$8)&lt;Resumen!$C$4+30,"Caduca pronto","OK"))))))</f>
        <v/>
      </c>
      <c r="P126" s="26" t="str">
        <f aca="false">IF(OR($A126="",P$4=""),"",IF(NOT(OR(P$6="Toda la plantilla",ISNUMBER(SEARCH(";"&amp;SUBSTITUTE($C126," ","")&amp;";",";"&amp;SUBSTITUTE(P$7," ","")&amp;";")))),"—",IF(_xlfn.MAXIFS(Acuses!$C$5:$C$3004,Acuses!$A$5:$A$3004,$A126,Acuses!$B$5:$B$3004,P$4)&lt;P$5,"Pendiente",IF(P$8=0,"OK",IF(EDATE(_xlfn.MAXIFS(Acuses!$D$5:$D$3004,Acuses!$A$5:$A$3004,$A126,Acuses!$B$5:$B$3004,P$4,Acuses!$C$5:$C$3004,P$5),P$8)&lt;Resumen!$C$4,"Caducado",IF(EDATE(_xlfn.MAXIFS(Acuses!$D$5:$D$3004,Acuses!$A$5:$A$3004,$A126,Acuses!$B$5:$B$3004,P$4,Acuses!$C$5:$C$3004,P$5),P$8)&lt;Resumen!$C$4+30,"Caduca pronto","OK"))))))</f>
        <v/>
      </c>
      <c r="Q126" s="26" t="str">
        <f aca="false">IF(OR($A126="",Q$4=""),"",IF(NOT(OR(Q$6="Toda la plantilla",ISNUMBER(SEARCH(";"&amp;SUBSTITUTE($C126," ","")&amp;";",";"&amp;SUBSTITUTE(Q$7," ","")&amp;";")))),"—",IF(_xlfn.MAXIFS(Acuses!$C$5:$C$3004,Acuses!$A$5:$A$3004,$A126,Acuses!$B$5:$B$3004,Q$4)&lt;Q$5,"Pendiente",IF(Q$8=0,"OK",IF(EDATE(_xlfn.MAXIFS(Acuses!$D$5:$D$3004,Acuses!$A$5:$A$3004,$A126,Acuses!$B$5:$B$3004,Q$4,Acuses!$C$5:$C$3004,Q$5),Q$8)&lt;Resumen!$C$4,"Caducado",IF(EDATE(_xlfn.MAXIFS(Acuses!$D$5:$D$3004,Acuses!$A$5:$A$3004,$A126,Acuses!$B$5:$B$3004,Q$4,Acuses!$C$5:$C$3004,Q$5),Q$8)&lt;Resumen!$C$4+30,"Caduca pronto","OK"))))))</f>
        <v/>
      </c>
      <c r="R126" s="26" t="str">
        <f aca="false">IF(OR($A126="",R$4=""),"",IF(NOT(OR(R$6="Toda la plantilla",ISNUMBER(SEARCH(";"&amp;SUBSTITUTE($C126," ","")&amp;";",";"&amp;SUBSTITUTE(R$7," ","")&amp;";")))),"—",IF(_xlfn.MAXIFS(Acuses!$C$5:$C$3004,Acuses!$A$5:$A$3004,$A126,Acuses!$B$5:$B$3004,R$4)&lt;R$5,"Pendiente",IF(R$8=0,"OK",IF(EDATE(_xlfn.MAXIFS(Acuses!$D$5:$D$3004,Acuses!$A$5:$A$3004,$A126,Acuses!$B$5:$B$3004,R$4,Acuses!$C$5:$C$3004,R$5),R$8)&lt;Resumen!$C$4,"Caducado",IF(EDATE(_xlfn.MAXIFS(Acuses!$D$5:$D$3004,Acuses!$A$5:$A$3004,$A126,Acuses!$B$5:$B$3004,R$4,Acuses!$C$5:$C$3004,R$5),R$8)&lt;Resumen!$C$4+30,"Caduca pronto","OK"))))))</f>
        <v/>
      </c>
      <c r="S126" s="26" t="str">
        <f aca="false">IF(OR($A126="",S$4=""),"",IF(NOT(OR(S$6="Toda la plantilla",ISNUMBER(SEARCH(";"&amp;SUBSTITUTE($C126," ","")&amp;";",";"&amp;SUBSTITUTE(S$7," ","")&amp;";")))),"—",IF(_xlfn.MAXIFS(Acuses!$C$5:$C$3004,Acuses!$A$5:$A$3004,$A126,Acuses!$B$5:$B$3004,S$4)&lt;S$5,"Pendiente",IF(S$8=0,"OK",IF(EDATE(_xlfn.MAXIFS(Acuses!$D$5:$D$3004,Acuses!$A$5:$A$3004,$A126,Acuses!$B$5:$B$3004,S$4,Acuses!$C$5:$C$3004,S$5),S$8)&lt;Resumen!$C$4,"Caducado",IF(EDATE(_xlfn.MAXIFS(Acuses!$D$5:$D$3004,Acuses!$A$5:$A$3004,$A126,Acuses!$B$5:$B$3004,S$4,Acuses!$C$5:$C$3004,S$5),S$8)&lt;Resumen!$C$4+30,"Caduca pronto","OK"))))))</f>
        <v/>
      </c>
      <c r="T126" s="26" t="str">
        <f aca="false">IF(OR($A126="",T$4=""),"",IF(NOT(OR(T$6="Toda la plantilla",ISNUMBER(SEARCH(";"&amp;SUBSTITUTE($C126," ","")&amp;";",";"&amp;SUBSTITUTE(T$7," ","")&amp;";")))),"—",IF(_xlfn.MAXIFS(Acuses!$C$5:$C$3004,Acuses!$A$5:$A$3004,$A126,Acuses!$B$5:$B$3004,T$4)&lt;T$5,"Pendiente",IF(T$8=0,"OK",IF(EDATE(_xlfn.MAXIFS(Acuses!$D$5:$D$3004,Acuses!$A$5:$A$3004,$A126,Acuses!$B$5:$B$3004,T$4,Acuses!$C$5:$C$3004,T$5),T$8)&lt;Resumen!$C$4,"Caducado",IF(EDATE(_xlfn.MAXIFS(Acuses!$D$5:$D$3004,Acuses!$A$5:$A$3004,$A126,Acuses!$B$5:$B$3004,T$4,Acuses!$C$5:$C$3004,T$5),T$8)&lt;Resumen!$C$4+30,"Caduca pronto","OK"))))))</f>
        <v/>
      </c>
      <c r="U126" s="26" t="str">
        <f aca="false">IF(OR($A126="",U$4=""),"",IF(NOT(OR(U$6="Toda la plantilla",ISNUMBER(SEARCH(";"&amp;SUBSTITUTE($C126," ","")&amp;";",";"&amp;SUBSTITUTE(U$7," ","")&amp;";")))),"—",IF(_xlfn.MAXIFS(Acuses!$C$5:$C$3004,Acuses!$A$5:$A$3004,$A126,Acuses!$B$5:$B$3004,U$4)&lt;U$5,"Pendiente",IF(U$8=0,"OK",IF(EDATE(_xlfn.MAXIFS(Acuses!$D$5:$D$3004,Acuses!$A$5:$A$3004,$A126,Acuses!$B$5:$B$3004,U$4,Acuses!$C$5:$C$3004,U$5),U$8)&lt;Resumen!$C$4,"Caducado",IF(EDATE(_xlfn.MAXIFS(Acuses!$D$5:$D$3004,Acuses!$A$5:$A$3004,$A126,Acuses!$B$5:$B$3004,U$4,Acuses!$C$5:$C$3004,U$5),U$8)&lt;Resumen!$C$4+30,"Caduca pronto","OK"))))))</f>
        <v/>
      </c>
      <c r="V126" s="26" t="str">
        <f aca="false">IF(OR($A126="",V$4=""),"",IF(NOT(OR(V$6="Toda la plantilla",ISNUMBER(SEARCH(";"&amp;SUBSTITUTE($C126," ","")&amp;";",";"&amp;SUBSTITUTE(V$7," ","")&amp;";")))),"—",IF(_xlfn.MAXIFS(Acuses!$C$5:$C$3004,Acuses!$A$5:$A$3004,$A126,Acuses!$B$5:$B$3004,V$4)&lt;V$5,"Pendiente",IF(V$8=0,"OK",IF(EDATE(_xlfn.MAXIFS(Acuses!$D$5:$D$3004,Acuses!$A$5:$A$3004,$A126,Acuses!$B$5:$B$3004,V$4,Acuses!$C$5:$C$3004,V$5),V$8)&lt;Resumen!$C$4,"Caducado",IF(EDATE(_xlfn.MAXIFS(Acuses!$D$5:$D$3004,Acuses!$A$5:$A$3004,$A126,Acuses!$B$5:$B$3004,V$4,Acuses!$C$5:$C$3004,V$5),V$8)&lt;Resumen!$C$4+30,"Caduca pronto","OK"))))))</f>
        <v/>
      </c>
      <c r="W126" s="26" t="str">
        <f aca="false">IF(OR($A126="",W$4=""),"",IF(NOT(OR(W$6="Toda la plantilla",ISNUMBER(SEARCH(";"&amp;SUBSTITUTE($C126," ","")&amp;";",";"&amp;SUBSTITUTE(W$7," ","")&amp;";")))),"—",IF(_xlfn.MAXIFS(Acuses!$C$5:$C$3004,Acuses!$A$5:$A$3004,$A126,Acuses!$B$5:$B$3004,W$4)&lt;W$5,"Pendiente",IF(W$8=0,"OK",IF(EDATE(_xlfn.MAXIFS(Acuses!$D$5:$D$3004,Acuses!$A$5:$A$3004,$A126,Acuses!$B$5:$B$3004,W$4,Acuses!$C$5:$C$3004,W$5),W$8)&lt;Resumen!$C$4,"Caducado",IF(EDATE(_xlfn.MAXIFS(Acuses!$D$5:$D$3004,Acuses!$A$5:$A$3004,$A126,Acuses!$B$5:$B$3004,W$4,Acuses!$C$5:$C$3004,W$5),W$8)&lt;Resumen!$C$4+30,"Caduca pronto","OK"))))))</f>
        <v/>
      </c>
      <c r="X126" s="26" t="str">
        <f aca="false">IF(OR($A126="",X$4=""),"",IF(NOT(OR(X$6="Toda la plantilla",ISNUMBER(SEARCH(";"&amp;SUBSTITUTE($C126," ","")&amp;";",";"&amp;SUBSTITUTE(X$7," ","")&amp;";")))),"—",IF(_xlfn.MAXIFS(Acuses!$C$5:$C$3004,Acuses!$A$5:$A$3004,$A126,Acuses!$B$5:$B$3004,X$4)&lt;X$5,"Pendiente",IF(X$8=0,"OK",IF(EDATE(_xlfn.MAXIFS(Acuses!$D$5:$D$3004,Acuses!$A$5:$A$3004,$A126,Acuses!$B$5:$B$3004,X$4,Acuses!$C$5:$C$3004,X$5),X$8)&lt;Resumen!$C$4,"Caducado",IF(EDATE(_xlfn.MAXIFS(Acuses!$D$5:$D$3004,Acuses!$A$5:$A$3004,$A126,Acuses!$B$5:$B$3004,X$4,Acuses!$C$5:$C$3004,X$5),X$8)&lt;Resumen!$C$4+30,"Caduca pronto","OK"))))))</f>
        <v/>
      </c>
      <c r="Y126" s="26" t="str">
        <f aca="false">IF(OR($A126="",Y$4=""),"",IF(NOT(OR(Y$6="Toda la plantilla",ISNUMBER(SEARCH(";"&amp;SUBSTITUTE($C126," ","")&amp;";",";"&amp;SUBSTITUTE(Y$7," ","")&amp;";")))),"—",IF(_xlfn.MAXIFS(Acuses!$C$5:$C$3004,Acuses!$A$5:$A$3004,$A126,Acuses!$B$5:$B$3004,Y$4)&lt;Y$5,"Pendiente",IF(Y$8=0,"OK",IF(EDATE(_xlfn.MAXIFS(Acuses!$D$5:$D$3004,Acuses!$A$5:$A$3004,$A126,Acuses!$B$5:$B$3004,Y$4,Acuses!$C$5:$C$3004,Y$5),Y$8)&lt;Resumen!$C$4,"Caducado",IF(EDATE(_xlfn.MAXIFS(Acuses!$D$5:$D$3004,Acuses!$A$5:$A$3004,$A126,Acuses!$B$5:$B$3004,Y$4,Acuses!$C$5:$C$3004,Y$5),Y$8)&lt;Resumen!$C$4+30,"Caduca pronto","OK"))))))</f>
        <v/>
      </c>
      <c r="Z126" s="26" t="str">
        <f aca="false">IF(OR($A126="",Z$4=""),"",IF(NOT(OR(Z$6="Toda la plantilla",ISNUMBER(SEARCH(";"&amp;SUBSTITUTE($C126," ","")&amp;";",";"&amp;SUBSTITUTE(Z$7," ","")&amp;";")))),"—",IF(_xlfn.MAXIFS(Acuses!$C$5:$C$3004,Acuses!$A$5:$A$3004,$A126,Acuses!$B$5:$B$3004,Z$4)&lt;Z$5,"Pendiente",IF(Z$8=0,"OK",IF(EDATE(_xlfn.MAXIFS(Acuses!$D$5:$D$3004,Acuses!$A$5:$A$3004,$A126,Acuses!$B$5:$B$3004,Z$4,Acuses!$C$5:$C$3004,Z$5),Z$8)&lt;Resumen!$C$4,"Caducado",IF(EDATE(_xlfn.MAXIFS(Acuses!$D$5:$D$3004,Acuses!$A$5:$A$3004,$A126,Acuses!$B$5:$B$3004,Z$4,Acuses!$C$5:$C$3004,Z$5),Z$8)&lt;Resumen!$C$4+30,"Caduca pronto","OK"))))))</f>
        <v/>
      </c>
      <c r="AA126" s="26" t="str">
        <f aca="false">IF(OR($A126="",AA$4=""),"",IF(NOT(OR(AA$6="Toda la plantilla",ISNUMBER(SEARCH(";"&amp;SUBSTITUTE($C126," ","")&amp;";",";"&amp;SUBSTITUTE(AA$7," ","")&amp;";")))),"—",IF(_xlfn.MAXIFS(Acuses!$C$5:$C$3004,Acuses!$A$5:$A$3004,$A126,Acuses!$B$5:$B$3004,AA$4)&lt;AA$5,"Pendiente",IF(AA$8=0,"OK",IF(EDATE(_xlfn.MAXIFS(Acuses!$D$5:$D$3004,Acuses!$A$5:$A$3004,$A126,Acuses!$B$5:$B$3004,AA$4,Acuses!$C$5:$C$3004,AA$5),AA$8)&lt;Resumen!$C$4,"Caducado",IF(EDATE(_xlfn.MAXIFS(Acuses!$D$5:$D$3004,Acuses!$A$5:$A$3004,$A126,Acuses!$B$5:$B$3004,AA$4,Acuses!$C$5:$C$3004,AA$5),AA$8)&lt;Resumen!$C$4+30,"Caduca pronto","OK"))))))</f>
        <v/>
      </c>
      <c r="AB126" s="26" t="str">
        <f aca="false">IF(OR($A126="",AB$4=""),"",IF(NOT(OR(AB$6="Toda la plantilla",ISNUMBER(SEARCH(";"&amp;SUBSTITUTE($C126," ","")&amp;";",";"&amp;SUBSTITUTE(AB$7," ","")&amp;";")))),"—",IF(_xlfn.MAXIFS(Acuses!$C$5:$C$3004,Acuses!$A$5:$A$3004,$A126,Acuses!$B$5:$B$3004,AB$4)&lt;AB$5,"Pendiente",IF(AB$8=0,"OK",IF(EDATE(_xlfn.MAXIFS(Acuses!$D$5:$D$3004,Acuses!$A$5:$A$3004,$A126,Acuses!$B$5:$B$3004,AB$4,Acuses!$C$5:$C$3004,AB$5),AB$8)&lt;Resumen!$C$4,"Caducado",IF(EDATE(_xlfn.MAXIFS(Acuses!$D$5:$D$3004,Acuses!$A$5:$A$3004,$A126,Acuses!$B$5:$B$3004,AB$4,Acuses!$C$5:$C$3004,AB$5),AB$8)&lt;Resumen!$C$4+30,"Caduca pronto","OK"))))))</f>
        <v/>
      </c>
      <c r="AC126" s="26" t="str">
        <f aca="false">IF(OR($A126="",AC$4=""),"",IF(NOT(OR(AC$6="Toda la plantilla",ISNUMBER(SEARCH(";"&amp;SUBSTITUTE($C126," ","")&amp;";",";"&amp;SUBSTITUTE(AC$7," ","")&amp;";")))),"—",IF(_xlfn.MAXIFS(Acuses!$C$5:$C$3004,Acuses!$A$5:$A$3004,$A126,Acuses!$B$5:$B$3004,AC$4)&lt;AC$5,"Pendiente",IF(AC$8=0,"OK",IF(EDATE(_xlfn.MAXIFS(Acuses!$D$5:$D$3004,Acuses!$A$5:$A$3004,$A126,Acuses!$B$5:$B$3004,AC$4,Acuses!$C$5:$C$3004,AC$5),AC$8)&lt;Resumen!$C$4,"Caducado",IF(EDATE(_xlfn.MAXIFS(Acuses!$D$5:$D$3004,Acuses!$A$5:$A$3004,$A126,Acuses!$B$5:$B$3004,AC$4,Acuses!$C$5:$C$3004,AC$5),AC$8)&lt;Resumen!$C$4+30,"Caduca pronto","OK"))))))</f>
        <v/>
      </c>
      <c r="AD126" s="26" t="str">
        <f aca="false">IF(OR($A126="",AD$4=""),"",IF(NOT(OR(AD$6="Toda la plantilla",ISNUMBER(SEARCH(";"&amp;SUBSTITUTE($C126," ","")&amp;";",";"&amp;SUBSTITUTE(AD$7," ","")&amp;";")))),"—",IF(_xlfn.MAXIFS(Acuses!$C$5:$C$3004,Acuses!$A$5:$A$3004,$A126,Acuses!$B$5:$B$3004,AD$4)&lt;AD$5,"Pendiente",IF(AD$8=0,"OK",IF(EDATE(_xlfn.MAXIFS(Acuses!$D$5:$D$3004,Acuses!$A$5:$A$3004,$A126,Acuses!$B$5:$B$3004,AD$4,Acuses!$C$5:$C$3004,AD$5),AD$8)&lt;Resumen!$C$4,"Caducado",IF(EDATE(_xlfn.MAXIFS(Acuses!$D$5:$D$3004,Acuses!$A$5:$A$3004,$A126,Acuses!$B$5:$B$3004,AD$4,Acuses!$C$5:$C$3004,AD$5),AD$8)&lt;Resumen!$C$4+30,"Caduca pronto","OK"))))))</f>
        <v/>
      </c>
      <c r="AE126" s="26" t="str">
        <f aca="false">IF(OR($A126="",AE$4=""),"",IF(NOT(OR(AE$6="Toda la plantilla",ISNUMBER(SEARCH(";"&amp;SUBSTITUTE($C126," ","")&amp;";",";"&amp;SUBSTITUTE(AE$7," ","")&amp;";")))),"—",IF(_xlfn.MAXIFS(Acuses!$C$5:$C$3004,Acuses!$A$5:$A$3004,$A126,Acuses!$B$5:$B$3004,AE$4)&lt;AE$5,"Pendiente",IF(AE$8=0,"OK",IF(EDATE(_xlfn.MAXIFS(Acuses!$D$5:$D$3004,Acuses!$A$5:$A$3004,$A126,Acuses!$B$5:$B$3004,AE$4,Acuses!$C$5:$C$3004,AE$5),AE$8)&lt;Resumen!$C$4,"Caducado",IF(EDATE(_xlfn.MAXIFS(Acuses!$D$5:$D$3004,Acuses!$A$5:$A$3004,$A126,Acuses!$B$5:$B$3004,AE$4,Acuses!$C$5:$C$3004,AE$5),AE$8)&lt;Resumen!$C$4+30,"Caduca pronto","OK"))))))</f>
        <v/>
      </c>
      <c r="AF126" s="26" t="str">
        <f aca="false">IF(OR($A126="",AF$4=""),"",IF(NOT(OR(AF$6="Toda la plantilla",ISNUMBER(SEARCH(";"&amp;SUBSTITUTE($C126," ","")&amp;";",";"&amp;SUBSTITUTE(AF$7," ","")&amp;";")))),"—",IF(_xlfn.MAXIFS(Acuses!$C$5:$C$3004,Acuses!$A$5:$A$3004,$A126,Acuses!$B$5:$B$3004,AF$4)&lt;AF$5,"Pendiente",IF(AF$8=0,"OK",IF(EDATE(_xlfn.MAXIFS(Acuses!$D$5:$D$3004,Acuses!$A$5:$A$3004,$A126,Acuses!$B$5:$B$3004,AF$4,Acuses!$C$5:$C$3004,AF$5),AF$8)&lt;Resumen!$C$4,"Caducado",IF(EDATE(_xlfn.MAXIFS(Acuses!$D$5:$D$3004,Acuses!$A$5:$A$3004,$A126,Acuses!$B$5:$B$3004,AF$4,Acuses!$C$5:$C$3004,AF$5),AF$8)&lt;Resumen!$C$4+30,"Caduca pronto","OK"))))))</f>
        <v/>
      </c>
      <c r="AG126" s="26" t="str">
        <f aca="false">IF(OR($A126="",AG$4=""),"",IF(NOT(OR(AG$6="Toda la plantilla",ISNUMBER(SEARCH(";"&amp;SUBSTITUTE($C126," ","")&amp;";",";"&amp;SUBSTITUTE(AG$7," ","")&amp;";")))),"—",IF(_xlfn.MAXIFS(Acuses!$C$5:$C$3004,Acuses!$A$5:$A$3004,$A126,Acuses!$B$5:$B$3004,AG$4)&lt;AG$5,"Pendiente",IF(AG$8=0,"OK",IF(EDATE(_xlfn.MAXIFS(Acuses!$D$5:$D$3004,Acuses!$A$5:$A$3004,$A126,Acuses!$B$5:$B$3004,AG$4,Acuses!$C$5:$C$3004,AG$5),AG$8)&lt;Resumen!$C$4,"Caducado",IF(EDATE(_xlfn.MAXIFS(Acuses!$D$5:$D$3004,Acuses!$A$5:$A$3004,$A126,Acuses!$B$5:$B$3004,AG$4,Acuses!$C$5:$C$3004,AG$5),AG$8)&lt;Resumen!$C$4+30,"Caduca pronto","OK"))))))</f>
        <v/>
      </c>
      <c r="AH126" s="26" t="str">
        <f aca="false">IF(OR($A126="",AH$4=""),"",IF(NOT(OR(AH$6="Toda la plantilla",ISNUMBER(SEARCH(";"&amp;SUBSTITUTE($C126," ","")&amp;";",";"&amp;SUBSTITUTE(AH$7," ","")&amp;";")))),"—",IF(_xlfn.MAXIFS(Acuses!$C$5:$C$3004,Acuses!$A$5:$A$3004,$A126,Acuses!$B$5:$B$3004,AH$4)&lt;AH$5,"Pendiente",IF(AH$8=0,"OK",IF(EDATE(_xlfn.MAXIFS(Acuses!$D$5:$D$3004,Acuses!$A$5:$A$3004,$A126,Acuses!$B$5:$B$3004,AH$4,Acuses!$C$5:$C$3004,AH$5),AH$8)&lt;Resumen!$C$4,"Caducado",IF(EDATE(_xlfn.MAXIFS(Acuses!$D$5:$D$3004,Acuses!$A$5:$A$3004,$A126,Acuses!$B$5:$B$3004,AH$4,Acuses!$C$5:$C$3004,AH$5),AH$8)&lt;Resumen!$C$4+30,"Caduca pronto","OK"))))))</f>
        <v/>
      </c>
      <c r="AI126" s="26" t="str">
        <f aca="false">IF(OR($A126="",AI$4=""),"",IF(NOT(OR(AI$6="Toda la plantilla",ISNUMBER(SEARCH(";"&amp;SUBSTITUTE($C126," ","")&amp;";",";"&amp;SUBSTITUTE(AI$7," ","")&amp;";")))),"—",IF(_xlfn.MAXIFS(Acuses!$C$5:$C$3004,Acuses!$A$5:$A$3004,$A126,Acuses!$B$5:$B$3004,AI$4)&lt;AI$5,"Pendiente",IF(AI$8=0,"OK",IF(EDATE(_xlfn.MAXIFS(Acuses!$D$5:$D$3004,Acuses!$A$5:$A$3004,$A126,Acuses!$B$5:$B$3004,AI$4,Acuses!$C$5:$C$3004,AI$5),AI$8)&lt;Resumen!$C$4,"Caducado",IF(EDATE(_xlfn.MAXIFS(Acuses!$D$5:$D$3004,Acuses!$A$5:$A$3004,$A126,Acuses!$B$5:$B$3004,AI$4,Acuses!$C$5:$C$3004,AI$5),AI$8)&lt;Resumen!$C$4+30,"Caduca pronto","OK"))))))</f>
        <v/>
      </c>
      <c r="AJ126" s="26" t="str">
        <f aca="false">IF(OR($A126="",AJ$4=""),"",IF(NOT(OR(AJ$6="Toda la plantilla",ISNUMBER(SEARCH(";"&amp;SUBSTITUTE($C126," ","")&amp;";",";"&amp;SUBSTITUTE(AJ$7," ","")&amp;";")))),"—",IF(_xlfn.MAXIFS(Acuses!$C$5:$C$3004,Acuses!$A$5:$A$3004,$A126,Acuses!$B$5:$B$3004,AJ$4)&lt;AJ$5,"Pendiente",IF(AJ$8=0,"OK",IF(EDATE(_xlfn.MAXIFS(Acuses!$D$5:$D$3004,Acuses!$A$5:$A$3004,$A126,Acuses!$B$5:$B$3004,AJ$4,Acuses!$C$5:$C$3004,AJ$5),AJ$8)&lt;Resumen!$C$4,"Caducado",IF(EDATE(_xlfn.MAXIFS(Acuses!$D$5:$D$3004,Acuses!$A$5:$A$3004,$A126,Acuses!$B$5:$B$3004,AJ$4,Acuses!$C$5:$C$3004,AJ$5),AJ$8)&lt;Resumen!$C$4+30,"Caduca pronto","OK"))))))</f>
        <v/>
      </c>
      <c r="AK126" s="26" t="str">
        <f aca="false">IF(OR($A126="",AK$4=""),"",IF(NOT(OR(AK$6="Toda la plantilla",ISNUMBER(SEARCH(";"&amp;SUBSTITUTE($C126," ","")&amp;";",";"&amp;SUBSTITUTE(AK$7," ","")&amp;";")))),"—",IF(_xlfn.MAXIFS(Acuses!$C$5:$C$3004,Acuses!$A$5:$A$3004,$A126,Acuses!$B$5:$B$3004,AK$4)&lt;AK$5,"Pendiente",IF(AK$8=0,"OK",IF(EDATE(_xlfn.MAXIFS(Acuses!$D$5:$D$3004,Acuses!$A$5:$A$3004,$A126,Acuses!$B$5:$B$3004,AK$4,Acuses!$C$5:$C$3004,AK$5),AK$8)&lt;Resumen!$C$4,"Caducado",IF(EDATE(_xlfn.MAXIFS(Acuses!$D$5:$D$3004,Acuses!$A$5:$A$3004,$A126,Acuses!$B$5:$B$3004,AK$4,Acuses!$C$5:$C$3004,AK$5),AK$8)&lt;Resumen!$C$4+30,"Caduca pronto","OK"))))))</f>
        <v/>
      </c>
      <c r="AL126" s="26" t="str">
        <f aca="false">IF(OR($A126="",AL$4=""),"",IF(NOT(OR(AL$6="Toda la plantilla",ISNUMBER(SEARCH(";"&amp;SUBSTITUTE($C126," ","")&amp;";",";"&amp;SUBSTITUTE(AL$7," ","")&amp;";")))),"—",IF(_xlfn.MAXIFS(Acuses!$C$5:$C$3004,Acuses!$A$5:$A$3004,$A126,Acuses!$B$5:$B$3004,AL$4)&lt;AL$5,"Pendiente",IF(AL$8=0,"OK",IF(EDATE(_xlfn.MAXIFS(Acuses!$D$5:$D$3004,Acuses!$A$5:$A$3004,$A126,Acuses!$B$5:$B$3004,AL$4,Acuses!$C$5:$C$3004,AL$5),AL$8)&lt;Resumen!$C$4,"Caducado",IF(EDATE(_xlfn.MAXIFS(Acuses!$D$5:$D$3004,Acuses!$A$5:$A$3004,$A126,Acuses!$B$5:$B$3004,AL$4,Acuses!$C$5:$C$3004,AL$5),AL$8)&lt;Resumen!$C$4+30,"Caduca pronto","OK"))))))</f>
        <v/>
      </c>
      <c r="AM126" s="26" t="str">
        <f aca="false">IF(OR($A126="",AM$4=""),"",IF(NOT(OR(AM$6="Toda la plantilla",ISNUMBER(SEARCH(";"&amp;SUBSTITUTE($C126," ","")&amp;";",";"&amp;SUBSTITUTE(AM$7," ","")&amp;";")))),"—",IF(_xlfn.MAXIFS(Acuses!$C$5:$C$3004,Acuses!$A$5:$A$3004,$A126,Acuses!$B$5:$B$3004,AM$4)&lt;AM$5,"Pendiente",IF(AM$8=0,"OK",IF(EDATE(_xlfn.MAXIFS(Acuses!$D$5:$D$3004,Acuses!$A$5:$A$3004,$A126,Acuses!$B$5:$B$3004,AM$4,Acuses!$C$5:$C$3004,AM$5),AM$8)&lt;Resumen!$C$4,"Caducado",IF(EDATE(_xlfn.MAXIFS(Acuses!$D$5:$D$3004,Acuses!$A$5:$A$3004,$A126,Acuses!$B$5:$B$3004,AM$4,Acuses!$C$5:$C$3004,AM$5),AM$8)&lt;Resumen!$C$4+30,"Caduca pronto","OK"))))))</f>
        <v/>
      </c>
      <c r="AN126" s="26" t="str">
        <f aca="false">IF(OR($A126="",AN$4=""),"",IF(NOT(OR(AN$6="Toda la plantilla",ISNUMBER(SEARCH(";"&amp;SUBSTITUTE($C126," ","")&amp;";",";"&amp;SUBSTITUTE(AN$7," ","")&amp;";")))),"—",IF(_xlfn.MAXIFS(Acuses!$C$5:$C$3004,Acuses!$A$5:$A$3004,$A126,Acuses!$B$5:$B$3004,AN$4)&lt;AN$5,"Pendiente",IF(AN$8=0,"OK",IF(EDATE(_xlfn.MAXIFS(Acuses!$D$5:$D$3004,Acuses!$A$5:$A$3004,$A126,Acuses!$B$5:$B$3004,AN$4,Acuses!$C$5:$C$3004,AN$5),AN$8)&lt;Resumen!$C$4,"Caducado",IF(EDATE(_xlfn.MAXIFS(Acuses!$D$5:$D$3004,Acuses!$A$5:$A$3004,$A126,Acuses!$B$5:$B$3004,AN$4,Acuses!$C$5:$C$3004,AN$5),AN$8)&lt;Resumen!$C$4+30,"Caduca pronto","OK"))))))</f>
        <v/>
      </c>
      <c r="AO126" s="26" t="str">
        <f aca="false">IF(OR($A126="",AO$4=""),"",IF(NOT(OR(AO$6="Toda la plantilla",ISNUMBER(SEARCH(";"&amp;SUBSTITUTE($C126," ","")&amp;";",";"&amp;SUBSTITUTE(AO$7," ","")&amp;";")))),"—",IF(_xlfn.MAXIFS(Acuses!$C$5:$C$3004,Acuses!$A$5:$A$3004,$A126,Acuses!$B$5:$B$3004,AO$4)&lt;AO$5,"Pendiente",IF(AO$8=0,"OK",IF(EDATE(_xlfn.MAXIFS(Acuses!$D$5:$D$3004,Acuses!$A$5:$A$3004,$A126,Acuses!$B$5:$B$3004,AO$4,Acuses!$C$5:$C$3004,AO$5),AO$8)&lt;Resumen!$C$4,"Caducado",IF(EDATE(_xlfn.MAXIFS(Acuses!$D$5:$D$3004,Acuses!$A$5:$A$3004,$A126,Acuses!$B$5:$B$3004,AO$4,Acuses!$C$5:$C$3004,AO$5),AO$8)&lt;Resumen!$C$4+30,"Caduca pronto","OK"))))))</f>
        <v/>
      </c>
      <c r="AP126" s="26" t="str">
        <f aca="false">IF(OR($A126="",AP$4=""),"",IF(NOT(OR(AP$6="Toda la plantilla",ISNUMBER(SEARCH(";"&amp;SUBSTITUTE($C126," ","")&amp;";",";"&amp;SUBSTITUTE(AP$7," ","")&amp;";")))),"—",IF(_xlfn.MAXIFS(Acuses!$C$5:$C$3004,Acuses!$A$5:$A$3004,$A126,Acuses!$B$5:$B$3004,AP$4)&lt;AP$5,"Pendiente",IF(AP$8=0,"OK",IF(EDATE(_xlfn.MAXIFS(Acuses!$D$5:$D$3004,Acuses!$A$5:$A$3004,$A126,Acuses!$B$5:$B$3004,AP$4,Acuses!$C$5:$C$3004,AP$5),AP$8)&lt;Resumen!$C$4,"Caducado",IF(EDATE(_xlfn.MAXIFS(Acuses!$D$5:$D$3004,Acuses!$A$5:$A$3004,$A126,Acuses!$B$5:$B$3004,AP$4,Acuses!$C$5:$C$3004,AP$5),AP$8)&lt;Resumen!$C$4+30,"Caduca pronto","OK"))))))</f>
        <v/>
      </c>
      <c r="AQ126" s="26" t="str">
        <f aca="false">IF(OR($A126="",AQ$4=""),"",IF(NOT(OR(AQ$6="Toda la plantilla",ISNUMBER(SEARCH(";"&amp;SUBSTITUTE($C126," ","")&amp;";",";"&amp;SUBSTITUTE(AQ$7," ","")&amp;";")))),"—",IF(_xlfn.MAXIFS(Acuses!$C$5:$C$3004,Acuses!$A$5:$A$3004,$A126,Acuses!$B$5:$B$3004,AQ$4)&lt;AQ$5,"Pendiente",IF(AQ$8=0,"OK",IF(EDATE(_xlfn.MAXIFS(Acuses!$D$5:$D$3004,Acuses!$A$5:$A$3004,$A126,Acuses!$B$5:$B$3004,AQ$4,Acuses!$C$5:$C$3004,AQ$5),AQ$8)&lt;Resumen!$C$4,"Caducado",IF(EDATE(_xlfn.MAXIFS(Acuses!$D$5:$D$3004,Acuses!$A$5:$A$3004,$A126,Acuses!$B$5:$B$3004,AQ$4,Acuses!$C$5:$C$3004,AQ$5),AQ$8)&lt;Resumen!$C$4+30,"Caduca pronto","OK"))))))</f>
        <v/>
      </c>
    </row>
    <row r="127" customFormat="false" ht="15" hidden="false" customHeight="false" outlineLevel="0" collapsed="false">
      <c r="A127" s="25" t="str">
        <f aca="false">IF(AND(Trabajadores!$A$122&lt;&gt;"",Trabajadores!$G$122&lt;&gt;"No"),Trabajadores!$A$122,"")</f>
        <v/>
      </c>
      <c r="B127" s="25" t="str">
        <f aca="false">IF($A127="","",Trabajadores!$B$122)</f>
        <v/>
      </c>
      <c r="C127" s="25" t="str">
        <f aca="false">IF($A127="","",Trabajadores!$C$122)</f>
        <v/>
      </c>
      <c r="D127" s="26" t="str">
        <f aca="false">IF(OR($A127="",D$4=""),"",IF(NOT(OR(D$6="Toda la plantilla",ISNUMBER(SEARCH(";"&amp;SUBSTITUTE($C127," ","")&amp;";",";"&amp;SUBSTITUTE(D$7," ","")&amp;";")))),"—",IF(_xlfn.MAXIFS(Acuses!$C$5:$C$3004,Acuses!$A$5:$A$3004,$A127,Acuses!$B$5:$B$3004,D$4)&lt;D$5,"Pendiente",IF(D$8=0,"OK",IF(EDATE(_xlfn.MAXIFS(Acuses!$D$5:$D$3004,Acuses!$A$5:$A$3004,$A127,Acuses!$B$5:$B$3004,D$4,Acuses!$C$5:$C$3004,D$5),D$8)&lt;Resumen!$C$4,"Caducado",IF(EDATE(_xlfn.MAXIFS(Acuses!$D$5:$D$3004,Acuses!$A$5:$A$3004,$A127,Acuses!$B$5:$B$3004,D$4,Acuses!$C$5:$C$3004,D$5),D$8)&lt;Resumen!$C$4+30,"Caduca pronto","OK"))))))</f>
        <v/>
      </c>
      <c r="E127" s="26" t="str">
        <f aca="false">IF(OR($A127="",E$4=""),"",IF(NOT(OR(E$6="Toda la plantilla",ISNUMBER(SEARCH(";"&amp;SUBSTITUTE($C127," ","")&amp;";",";"&amp;SUBSTITUTE(E$7," ","")&amp;";")))),"—",IF(_xlfn.MAXIFS(Acuses!$C$5:$C$3004,Acuses!$A$5:$A$3004,$A127,Acuses!$B$5:$B$3004,E$4)&lt;E$5,"Pendiente",IF(E$8=0,"OK",IF(EDATE(_xlfn.MAXIFS(Acuses!$D$5:$D$3004,Acuses!$A$5:$A$3004,$A127,Acuses!$B$5:$B$3004,E$4,Acuses!$C$5:$C$3004,E$5),E$8)&lt;Resumen!$C$4,"Caducado",IF(EDATE(_xlfn.MAXIFS(Acuses!$D$5:$D$3004,Acuses!$A$5:$A$3004,$A127,Acuses!$B$5:$B$3004,E$4,Acuses!$C$5:$C$3004,E$5),E$8)&lt;Resumen!$C$4+30,"Caduca pronto","OK"))))))</f>
        <v/>
      </c>
      <c r="F127" s="26" t="str">
        <f aca="false">IF(OR($A127="",F$4=""),"",IF(NOT(OR(F$6="Toda la plantilla",ISNUMBER(SEARCH(";"&amp;SUBSTITUTE($C127," ","")&amp;";",";"&amp;SUBSTITUTE(F$7," ","")&amp;";")))),"—",IF(_xlfn.MAXIFS(Acuses!$C$5:$C$3004,Acuses!$A$5:$A$3004,$A127,Acuses!$B$5:$B$3004,F$4)&lt;F$5,"Pendiente",IF(F$8=0,"OK",IF(EDATE(_xlfn.MAXIFS(Acuses!$D$5:$D$3004,Acuses!$A$5:$A$3004,$A127,Acuses!$B$5:$B$3004,F$4,Acuses!$C$5:$C$3004,F$5),F$8)&lt;Resumen!$C$4,"Caducado",IF(EDATE(_xlfn.MAXIFS(Acuses!$D$5:$D$3004,Acuses!$A$5:$A$3004,$A127,Acuses!$B$5:$B$3004,F$4,Acuses!$C$5:$C$3004,F$5),F$8)&lt;Resumen!$C$4+30,"Caduca pronto","OK"))))))</f>
        <v/>
      </c>
      <c r="G127" s="26" t="str">
        <f aca="false">IF(OR($A127="",G$4=""),"",IF(NOT(OR(G$6="Toda la plantilla",ISNUMBER(SEARCH(";"&amp;SUBSTITUTE($C127," ","")&amp;";",";"&amp;SUBSTITUTE(G$7," ","")&amp;";")))),"—",IF(_xlfn.MAXIFS(Acuses!$C$5:$C$3004,Acuses!$A$5:$A$3004,$A127,Acuses!$B$5:$B$3004,G$4)&lt;G$5,"Pendiente",IF(G$8=0,"OK",IF(EDATE(_xlfn.MAXIFS(Acuses!$D$5:$D$3004,Acuses!$A$5:$A$3004,$A127,Acuses!$B$5:$B$3004,G$4,Acuses!$C$5:$C$3004,G$5),G$8)&lt;Resumen!$C$4,"Caducado",IF(EDATE(_xlfn.MAXIFS(Acuses!$D$5:$D$3004,Acuses!$A$5:$A$3004,$A127,Acuses!$B$5:$B$3004,G$4,Acuses!$C$5:$C$3004,G$5),G$8)&lt;Resumen!$C$4+30,"Caduca pronto","OK"))))))</f>
        <v/>
      </c>
      <c r="H127" s="26" t="str">
        <f aca="false">IF(OR($A127="",H$4=""),"",IF(NOT(OR(H$6="Toda la plantilla",ISNUMBER(SEARCH(";"&amp;SUBSTITUTE($C127," ","")&amp;";",";"&amp;SUBSTITUTE(H$7," ","")&amp;";")))),"—",IF(_xlfn.MAXIFS(Acuses!$C$5:$C$3004,Acuses!$A$5:$A$3004,$A127,Acuses!$B$5:$B$3004,H$4)&lt;H$5,"Pendiente",IF(H$8=0,"OK",IF(EDATE(_xlfn.MAXIFS(Acuses!$D$5:$D$3004,Acuses!$A$5:$A$3004,$A127,Acuses!$B$5:$B$3004,H$4,Acuses!$C$5:$C$3004,H$5),H$8)&lt;Resumen!$C$4,"Caducado",IF(EDATE(_xlfn.MAXIFS(Acuses!$D$5:$D$3004,Acuses!$A$5:$A$3004,$A127,Acuses!$B$5:$B$3004,H$4,Acuses!$C$5:$C$3004,H$5),H$8)&lt;Resumen!$C$4+30,"Caduca pronto","OK"))))))</f>
        <v/>
      </c>
      <c r="I127" s="26" t="str">
        <f aca="false">IF(OR($A127="",I$4=""),"",IF(NOT(OR(I$6="Toda la plantilla",ISNUMBER(SEARCH(";"&amp;SUBSTITUTE($C127," ","")&amp;";",";"&amp;SUBSTITUTE(I$7," ","")&amp;";")))),"—",IF(_xlfn.MAXIFS(Acuses!$C$5:$C$3004,Acuses!$A$5:$A$3004,$A127,Acuses!$B$5:$B$3004,I$4)&lt;I$5,"Pendiente",IF(I$8=0,"OK",IF(EDATE(_xlfn.MAXIFS(Acuses!$D$5:$D$3004,Acuses!$A$5:$A$3004,$A127,Acuses!$B$5:$B$3004,I$4,Acuses!$C$5:$C$3004,I$5),I$8)&lt;Resumen!$C$4,"Caducado",IF(EDATE(_xlfn.MAXIFS(Acuses!$D$5:$D$3004,Acuses!$A$5:$A$3004,$A127,Acuses!$B$5:$B$3004,I$4,Acuses!$C$5:$C$3004,I$5),I$8)&lt;Resumen!$C$4+30,"Caduca pronto","OK"))))))</f>
        <v/>
      </c>
      <c r="J127" s="26" t="str">
        <f aca="false">IF(OR($A127="",J$4=""),"",IF(NOT(OR(J$6="Toda la plantilla",ISNUMBER(SEARCH(";"&amp;SUBSTITUTE($C127," ","")&amp;";",";"&amp;SUBSTITUTE(J$7," ","")&amp;";")))),"—",IF(_xlfn.MAXIFS(Acuses!$C$5:$C$3004,Acuses!$A$5:$A$3004,$A127,Acuses!$B$5:$B$3004,J$4)&lt;J$5,"Pendiente",IF(J$8=0,"OK",IF(EDATE(_xlfn.MAXIFS(Acuses!$D$5:$D$3004,Acuses!$A$5:$A$3004,$A127,Acuses!$B$5:$B$3004,J$4,Acuses!$C$5:$C$3004,J$5),J$8)&lt;Resumen!$C$4,"Caducado",IF(EDATE(_xlfn.MAXIFS(Acuses!$D$5:$D$3004,Acuses!$A$5:$A$3004,$A127,Acuses!$B$5:$B$3004,J$4,Acuses!$C$5:$C$3004,J$5),J$8)&lt;Resumen!$C$4+30,"Caduca pronto","OK"))))))</f>
        <v/>
      </c>
      <c r="K127" s="26" t="str">
        <f aca="false">IF(OR($A127="",K$4=""),"",IF(NOT(OR(K$6="Toda la plantilla",ISNUMBER(SEARCH(";"&amp;SUBSTITUTE($C127," ","")&amp;";",";"&amp;SUBSTITUTE(K$7," ","")&amp;";")))),"—",IF(_xlfn.MAXIFS(Acuses!$C$5:$C$3004,Acuses!$A$5:$A$3004,$A127,Acuses!$B$5:$B$3004,K$4)&lt;K$5,"Pendiente",IF(K$8=0,"OK",IF(EDATE(_xlfn.MAXIFS(Acuses!$D$5:$D$3004,Acuses!$A$5:$A$3004,$A127,Acuses!$B$5:$B$3004,K$4,Acuses!$C$5:$C$3004,K$5),K$8)&lt;Resumen!$C$4,"Caducado",IF(EDATE(_xlfn.MAXIFS(Acuses!$D$5:$D$3004,Acuses!$A$5:$A$3004,$A127,Acuses!$B$5:$B$3004,K$4,Acuses!$C$5:$C$3004,K$5),K$8)&lt;Resumen!$C$4+30,"Caduca pronto","OK"))))))</f>
        <v/>
      </c>
      <c r="L127" s="26" t="str">
        <f aca="false">IF(OR($A127="",L$4=""),"",IF(NOT(OR(L$6="Toda la plantilla",ISNUMBER(SEARCH(";"&amp;SUBSTITUTE($C127," ","")&amp;";",";"&amp;SUBSTITUTE(L$7," ","")&amp;";")))),"—",IF(_xlfn.MAXIFS(Acuses!$C$5:$C$3004,Acuses!$A$5:$A$3004,$A127,Acuses!$B$5:$B$3004,L$4)&lt;L$5,"Pendiente",IF(L$8=0,"OK",IF(EDATE(_xlfn.MAXIFS(Acuses!$D$5:$D$3004,Acuses!$A$5:$A$3004,$A127,Acuses!$B$5:$B$3004,L$4,Acuses!$C$5:$C$3004,L$5),L$8)&lt;Resumen!$C$4,"Caducado",IF(EDATE(_xlfn.MAXIFS(Acuses!$D$5:$D$3004,Acuses!$A$5:$A$3004,$A127,Acuses!$B$5:$B$3004,L$4,Acuses!$C$5:$C$3004,L$5),L$8)&lt;Resumen!$C$4+30,"Caduca pronto","OK"))))))</f>
        <v/>
      </c>
      <c r="M127" s="26" t="str">
        <f aca="false">IF(OR($A127="",M$4=""),"",IF(NOT(OR(M$6="Toda la plantilla",ISNUMBER(SEARCH(";"&amp;SUBSTITUTE($C127," ","")&amp;";",";"&amp;SUBSTITUTE(M$7," ","")&amp;";")))),"—",IF(_xlfn.MAXIFS(Acuses!$C$5:$C$3004,Acuses!$A$5:$A$3004,$A127,Acuses!$B$5:$B$3004,M$4)&lt;M$5,"Pendiente",IF(M$8=0,"OK",IF(EDATE(_xlfn.MAXIFS(Acuses!$D$5:$D$3004,Acuses!$A$5:$A$3004,$A127,Acuses!$B$5:$B$3004,M$4,Acuses!$C$5:$C$3004,M$5),M$8)&lt;Resumen!$C$4,"Caducado",IF(EDATE(_xlfn.MAXIFS(Acuses!$D$5:$D$3004,Acuses!$A$5:$A$3004,$A127,Acuses!$B$5:$B$3004,M$4,Acuses!$C$5:$C$3004,M$5),M$8)&lt;Resumen!$C$4+30,"Caduca pronto","OK"))))))</f>
        <v/>
      </c>
      <c r="N127" s="26" t="str">
        <f aca="false">IF(OR($A127="",N$4=""),"",IF(NOT(OR(N$6="Toda la plantilla",ISNUMBER(SEARCH(";"&amp;SUBSTITUTE($C127," ","")&amp;";",";"&amp;SUBSTITUTE(N$7," ","")&amp;";")))),"—",IF(_xlfn.MAXIFS(Acuses!$C$5:$C$3004,Acuses!$A$5:$A$3004,$A127,Acuses!$B$5:$B$3004,N$4)&lt;N$5,"Pendiente",IF(N$8=0,"OK",IF(EDATE(_xlfn.MAXIFS(Acuses!$D$5:$D$3004,Acuses!$A$5:$A$3004,$A127,Acuses!$B$5:$B$3004,N$4,Acuses!$C$5:$C$3004,N$5),N$8)&lt;Resumen!$C$4,"Caducado",IF(EDATE(_xlfn.MAXIFS(Acuses!$D$5:$D$3004,Acuses!$A$5:$A$3004,$A127,Acuses!$B$5:$B$3004,N$4,Acuses!$C$5:$C$3004,N$5),N$8)&lt;Resumen!$C$4+30,"Caduca pronto","OK"))))))</f>
        <v/>
      </c>
      <c r="O127" s="26" t="str">
        <f aca="false">IF(OR($A127="",O$4=""),"",IF(NOT(OR(O$6="Toda la plantilla",ISNUMBER(SEARCH(";"&amp;SUBSTITUTE($C127," ","")&amp;";",";"&amp;SUBSTITUTE(O$7," ","")&amp;";")))),"—",IF(_xlfn.MAXIFS(Acuses!$C$5:$C$3004,Acuses!$A$5:$A$3004,$A127,Acuses!$B$5:$B$3004,O$4)&lt;O$5,"Pendiente",IF(O$8=0,"OK",IF(EDATE(_xlfn.MAXIFS(Acuses!$D$5:$D$3004,Acuses!$A$5:$A$3004,$A127,Acuses!$B$5:$B$3004,O$4,Acuses!$C$5:$C$3004,O$5),O$8)&lt;Resumen!$C$4,"Caducado",IF(EDATE(_xlfn.MAXIFS(Acuses!$D$5:$D$3004,Acuses!$A$5:$A$3004,$A127,Acuses!$B$5:$B$3004,O$4,Acuses!$C$5:$C$3004,O$5),O$8)&lt;Resumen!$C$4+30,"Caduca pronto","OK"))))))</f>
        <v/>
      </c>
      <c r="P127" s="26" t="str">
        <f aca="false">IF(OR($A127="",P$4=""),"",IF(NOT(OR(P$6="Toda la plantilla",ISNUMBER(SEARCH(";"&amp;SUBSTITUTE($C127," ","")&amp;";",";"&amp;SUBSTITUTE(P$7," ","")&amp;";")))),"—",IF(_xlfn.MAXIFS(Acuses!$C$5:$C$3004,Acuses!$A$5:$A$3004,$A127,Acuses!$B$5:$B$3004,P$4)&lt;P$5,"Pendiente",IF(P$8=0,"OK",IF(EDATE(_xlfn.MAXIFS(Acuses!$D$5:$D$3004,Acuses!$A$5:$A$3004,$A127,Acuses!$B$5:$B$3004,P$4,Acuses!$C$5:$C$3004,P$5),P$8)&lt;Resumen!$C$4,"Caducado",IF(EDATE(_xlfn.MAXIFS(Acuses!$D$5:$D$3004,Acuses!$A$5:$A$3004,$A127,Acuses!$B$5:$B$3004,P$4,Acuses!$C$5:$C$3004,P$5),P$8)&lt;Resumen!$C$4+30,"Caduca pronto","OK"))))))</f>
        <v/>
      </c>
      <c r="Q127" s="26" t="str">
        <f aca="false">IF(OR($A127="",Q$4=""),"",IF(NOT(OR(Q$6="Toda la plantilla",ISNUMBER(SEARCH(";"&amp;SUBSTITUTE($C127," ","")&amp;";",";"&amp;SUBSTITUTE(Q$7," ","")&amp;";")))),"—",IF(_xlfn.MAXIFS(Acuses!$C$5:$C$3004,Acuses!$A$5:$A$3004,$A127,Acuses!$B$5:$B$3004,Q$4)&lt;Q$5,"Pendiente",IF(Q$8=0,"OK",IF(EDATE(_xlfn.MAXIFS(Acuses!$D$5:$D$3004,Acuses!$A$5:$A$3004,$A127,Acuses!$B$5:$B$3004,Q$4,Acuses!$C$5:$C$3004,Q$5),Q$8)&lt;Resumen!$C$4,"Caducado",IF(EDATE(_xlfn.MAXIFS(Acuses!$D$5:$D$3004,Acuses!$A$5:$A$3004,$A127,Acuses!$B$5:$B$3004,Q$4,Acuses!$C$5:$C$3004,Q$5),Q$8)&lt;Resumen!$C$4+30,"Caduca pronto","OK"))))))</f>
        <v/>
      </c>
      <c r="R127" s="26" t="str">
        <f aca="false">IF(OR($A127="",R$4=""),"",IF(NOT(OR(R$6="Toda la plantilla",ISNUMBER(SEARCH(";"&amp;SUBSTITUTE($C127," ","")&amp;";",";"&amp;SUBSTITUTE(R$7," ","")&amp;";")))),"—",IF(_xlfn.MAXIFS(Acuses!$C$5:$C$3004,Acuses!$A$5:$A$3004,$A127,Acuses!$B$5:$B$3004,R$4)&lt;R$5,"Pendiente",IF(R$8=0,"OK",IF(EDATE(_xlfn.MAXIFS(Acuses!$D$5:$D$3004,Acuses!$A$5:$A$3004,$A127,Acuses!$B$5:$B$3004,R$4,Acuses!$C$5:$C$3004,R$5),R$8)&lt;Resumen!$C$4,"Caducado",IF(EDATE(_xlfn.MAXIFS(Acuses!$D$5:$D$3004,Acuses!$A$5:$A$3004,$A127,Acuses!$B$5:$B$3004,R$4,Acuses!$C$5:$C$3004,R$5),R$8)&lt;Resumen!$C$4+30,"Caduca pronto","OK"))))))</f>
        <v/>
      </c>
      <c r="S127" s="26" t="str">
        <f aca="false">IF(OR($A127="",S$4=""),"",IF(NOT(OR(S$6="Toda la plantilla",ISNUMBER(SEARCH(";"&amp;SUBSTITUTE($C127," ","")&amp;";",";"&amp;SUBSTITUTE(S$7," ","")&amp;";")))),"—",IF(_xlfn.MAXIFS(Acuses!$C$5:$C$3004,Acuses!$A$5:$A$3004,$A127,Acuses!$B$5:$B$3004,S$4)&lt;S$5,"Pendiente",IF(S$8=0,"OK",IF(EDATE(_xlfn.MAXIFS(Acuses!$D$5:$D$3004,Acuses!$A$5:$A$3004,$A127,Acuses!$B$5:$B$3004,S$4,Acuses!$C$5:$C$3004,S$5),S$8)&lt;Resumen!$C$4,"Caducado",IF(EDATE(_xlfn.MAXIFS(Acuses!$D$5:$D$3004,Acuses!$A$5:$A$3004,$A127,Acuses!$B$5:$B$3004,S$4,Acuses!$C$5:$C$3004,S$5),S$8)&lt;Resumen!$C$4+30,"Caduca pronto","OK"))))))</f>
        <v/>
      </c>
      <c r="T127" s="26" t="str">
        <f aca="false">IF(OR($A127="",T$4=""),"",IF(NOT(OR(T$6="Toda la plantilla",ISNUMBER(SEARCH(";"&amp;SUBSTITUTE($C127," ","")&amp;";",";"&amp;SUBSTITUTE(T$7," ","")&amp;";")))),"—",IF(_xlfn.MAXIFS(Acuses!$C$5:$C$3004,Acuses!$A$5:$A$3004,$A127,Acuses!$B$5:$B$3004,T$4)&lt;T$5,"Pendiente",IF(T$8=0,"OK",IF(EDATE(_xlfn.MAXIFS(Acuses!$D$5:$D$3004,Acuses!$A$5:$A$3004,$A127,Acuses!$B$5:$B$3004,T$4,Acuses!$C$5:$C$3004,T$5),T$8)&lt;Resumen!$C$4,"Caducado",IF(EDATE(_xlfn.MAXIFS(Acuses!$D$5:$D$3004,Acuses!$A$5:$A$3004,$A127,Acuses!$B$5:$B$3004,T$4,Acuses!$C$5:$C$3004,T$5),T$8)&lt;Resumen!$C$4+30,"Caduca pronto","OK"))))))</f>
        <v/>
      </c>
      <c r="U127" s="26" t="str">
        <f aca="false">IF(OR($A127="",U$4=""),"",IF(NOT(OR(U$6="Toda la plantilla",ISNUMBER(SEARCH(";"&amp;SUBSTITUTE($C127," ","")&amp;";",";"&amp;SUBSTITUTE(U$7," ","")&amp;";")))),"—",IF(_xlfn.MAXIFS(Acuses!$C$5:$C$3004,Acuses!$A$5:$A$3004,$A127,Acuses!$B$5:$B$3004,U$4)&lt;U$5,"Pendiente",IF(U$8=0,"OK",IF(EDATE(_xlfn.MAXIFS(Acuses!$D$5:$D$3004,Acuses!$A$5:$A$3004,$A127,Acuses!$B$5:$B$3004,U$4,Acuses!$C$5:$C$3004,U$5),U$8)&lt;Resumen!$C$4,"Caducado",IF(EDATE(_xlfn.MAXIFS(Acuses!$D$5:$D$3004,Acuses!$A$5:$A$3004,$A127,Acuses!$B$5:$B$3004,U$4,Acuses!$C$5:$C$3004,U$5),U$8)&lt;Resumen!$C$4+30,"Caduca pronto","OK"))))))</f>
        <v/>
      </c>
      <c r="V127" s="26" t="str">
        <f aca="false">IF(OR($A127="",V$4=""),"",IF(NOT(OR(V$6="Toda la plantilla",ISNUMBER(SEARCH(";"&amp;SUBSTITUTE($C127," ","")&amp;";",";"&amp;SUBSTITUTE(V$7," ","")&amp;";")))),"—",IF(_xlfn.MAXIFS(Acuses!$C$5:$C$3004,Acuses!$A$5:$A$3004,$A127,Acuses!$B$5:$B$3004,V$4)&lt;V$5,"Pendiente",IF(V$8=0,"OK",IF(EDATE(_xlfn.MAXIFS(Acuses!$D$5:$D$3004,Acuses!$A$5:$A$3004,$A127,Acuses!$B$5:$B$3004,V$4,Acuses!$C$5:$C$3004,V$5),V$8)&lt;Resumen!$C$4,"Caducado",IF(EDATE(_xlfn.MAXIFS(Acuses!$D$5:$D$3004,Acuses!$A$5:$A$3004,$A127,Acuses!$B$5:$B$3004,V$4,Acuses!$C$5:$C$3004,V$5),V$8)&lt;Resumen!$C$4+30,"Caduca pronto","OK"))))))</f>
        <v/>
      </c>
      <c r="W127" s="26" t="str">
        <f aca="false">IF(OR($A127="",W$4=""),"",IF(NOT(OR(W$6="Toda la plantilla",ISNUMBER(SEARCH(";"&amp;SUBSTITUTE($C127," ","")&amp;";",";"&amp;SUBSTITUTE(W$7," ","")&amp;";")))),"—",IF(_xlfn.MAXIFS(Acuses!$C$5:$C$3004,Acuses!$A$5:$A$3004,$A127,Acuses!$B$5:$B$3004,W$4)&lt;W$5,"Pendiente",IF(W$8=0,"OK",IF(EDATE(_xlfn.MAXIFS(Acuses!$D$5:$D$3004,Acuses!$A$5:$A$3004,$A127,Acuses!$B$5:$B$3004,W$4,Acuses!$C$5:$C$3004,W$5),W$8)&lt;Resumen!$C$4,"Caducado",IF(EDATE(_xlfn.MAXIFS(Acuses!$D$5:$D$3004,Acuses!$A$5:$A$3004,$A127,Acuses!$B$5:$B$3004,W$4,Acuses!$C$5:$C$3004,W$5),W$8)&lt;Resumen!$C$4+30,"Caduca pronto","OK"))))))</f>
        <v/>
      </c>
      <c r="X127" s="26" t="str">
        <f aca="false">IF(OR($A127="",X$4=""),"",IF(NOT(OR(X$6="Toda la plantilla",ISNUMBER(SEARCH(";"&amp;SUBSTITUTE($C127," ","")&amp;";",";"&amp;SUBSTITUTE(X$7," ","")&amp;";")))),"—",IF(_xlfn.MAXIFS(Acuses!$C$5:$C$3004,Acuses!$A$5:$A$3004,$A127,Acuses!$B$5:$B$3004,X$4)&lt;X$5,"Pendiente",IF(X$8=0,"OK",IF(EDATE(_xlfn.MAXIFS(Acuses!$D$5:$D$3004,Acuses!$A$5:$A$3004,$A127,Acuses!$B$5:$B$3004,X$4,Acuses!$C$5:$C$3004,X$5),X$8)&lt;Resumen!$C$4,"Caducado",IF(EDATE(_xlfn.MAXIFS(Acuses!$D$5:$D$3004,Acuses!$A$5:$A$3004,$A127,Acuses!$B$5:$B$3004,X$4,Acuses!$C$5:$C$3004,X$5),X$8)&lt;Resumen!$C$4+30,"Caduca pronto","OK"))))))</f>
        <v/>
      </c>
      <c r="Y127" s="26" t="str">
        <f aca="false">IF(OR($A127="",Y$4=""),"",IF(NOT(OR(Y$6="Toda la plantilla",ISNUMBER(SEARCH(";"&amp;SUBSTITUTE($C127," ","")&amp;";",";"&amp;SUBSTITUTE(Y$7," ","")&amp;";")))),"—",IF(_xlfn.MAXIFS(Acuses!$C$5:$C$3004,Acuses!$A$5:$A$3004,$A127,Acuses!$B$5:$B$3004,Y$4)&lt;Y$5,"Pendiente",IF(Y$8=0,"OK",IF(EDATE(_xlfn.MAXIFS(Acuses!$D$5:$D$3004,Acuses!$A$5:$A$3004,$A127,Acuses!$B$5:$B$3004,Y$4,Acuses!$C$5:$C$3004,Y$5),Y$8)&lt;Resumen!$C$4,"Caducado",IF(EDATE(_xlfn.MAXIFS(Acuses!$D$5:$D$3004,Acuses!$A$5:$A$3004,$A127,Acuses!$B$5:$B$3004,Y$4,Acuses!$C$5:$C$3004,Y$5),Y$8)&lt;Resumen!$C$4+30,"Caduca pronto","OK"))))))</f>
        <v/>
      </c>
      <c r="Z127" s="26" t="str">
        <f aca="false">IF(OR($A127="",Z$4=""),"",IF(NOT(OR(Z$6="Toda la plantilla",ISNUMBER(SEARCH(";"&amp;SUBSTITUTE($C127," ","")&amp;";",";"&amp;SUBSTITUTE(Z$7," ","")&amp;";")))),"—",IF(_xlfn.MAXIFS(Acuses!$C$5:$C$3004,Acuses!$A$5:$A$3004,$A127,Acuses!$B$5:$B$3004,Z$4)&lt;Z$5,"Pendiente",IF(Z$8=0,"OK",IF(EDATE(_xlfn.MAXIFS(Acuses!$D$5:$D$3004,Acuses!$A$5:$A$3004,$A127,Acuses!$B$5:$B$3004,Z$4,Acuses!$C$5:$C$3004,Z$5),Z$8)&lt;Resumen!$C$4,"Caducado",IF(EDATE(_xlfn.MAXIFS(Acuses!$D$5:$D$3004,Acuses!$A$5:$A$3004,$A127,Acuses!$B$5:$B$3004,Z$4,Acuses!$C$5:$C$3004,Z$5),Z$8)&lt;Resumen!$C$4+30,"Caduca pronto","OK"))))))</f>
        <v/>
      </c>
      <c r="AA127" s="26" t="str">
        <f aca="false">IF(OR($A127="",AA$4=""),"",IF(NOT(OR(AA$6="Toda la plantilla",ISNUMBER(SEARCH(";"&amp;SUBSTITUTE($C127," ","")&amp;";",";"&amp;SUBSTITUTE(AA$7," ","")&amp;";")))),"—",IF(_xlfn.MAXIFS(Acuses!$C$5:$C$3004,Acuses!$A$5:$A$3004,$A127,Acuses!$B$5:$B$3004,AA$4)&lt;AA$5,"Pendiente",IF(AA$8=0,"OK",IF(EDATE(_xlfn.MAXIFS(Acuses!$D$5:$D$3004,Acuses!$A$5:$A$3004,$A127,Acuses!$B$5:$B$3004,AA$4,Acuses!$C$5:$C$3004,AA$5),AA$8)&lt;Resumen!$C$4,"Caducado",IF(EDATE(_xlfn.MAXIFS(Acuses!$D$5:$D$3004,Acuses!$A$5:$A$3004,$A127,Acuses!$B$5:$B$3004,AA$4,Acuses!$C$5:$C$3004,AA$5),AA$8)&lt;Resumen!$C$4+30,"Caduca pronto","OK"))))))</f>
        <v/>
      </c>
      <c r="AB127" s="26" t="str">
        <f aca="false">IF(OR($A127="",AB$4=""),"",IF(NOT(OR(AB$6="Toda la plantilla",ISNUMBER(SEARCH(";"&amp;SUBSTITUTE($C127," ","")&amp;";",";"&amp;SUBSTITUTE(AB$7," ","")&amp;";")))),"—",IF(_xlfn.MAXIFS(Acuses!$C$5:$C$3004,Acuses!$A$5:$A$3004,$A127,Acuses!$B$5:$B$3004,AB$4)&lt;AB$5,"Pendiente",IF(AB$8=0,"OK",IF(EDATE(_xlfn.MAXIFS(Acuses!$D$5:$D$3004,Acuses!$A$5:$A$3004,$A127,Acuses!$B$5:$B$3004,AB$4,Acuses!$C$5:$C$3004,AB$5),AB$8)&lt;Resumen!$C$4,"Caducado",IF(EDATE(_xlfn.MAXIFS(Acuses!$D$5:$D$3004,Acuses!$A$5:$A$3004,$A127,Acuses!$B$5:$B$3004,AB$4,Acuses!$C$5:$C$3004,AB$5),AB$8)&lt;Resumen!$C$4+30,"Caduca pronto","OK"))))))</f>
        <v/>
      </c>
      <c r="AC127" s="26" t="str">
        <f aca="false">IF(OR($A127="",AC$4=""),"",IF(NOT(OR(AC$6="Toda la plantilla",ISNUMBER(SEARCH(";"&amp;SUBSTITUTE($C127," ","")&amp;";",";"&amp;SUBSTITUTE(AC$7," ","")&amp;";")))),"—",IF(_xlfn.MAXIFS(Acuses!$C$5:$C$3004,Acuses!$A$5:$A$3004,$A127,Acuses!$B$5:$B$3004,AC$4)&lt;AC$5,"Pendiente",IF(AC$8=0,"OK",IF(EDATE(_xlfn.MAXIFS(Acuses!$D$5:$D$3004,Acuses!$A$5:$A$3004,$A127,Acuses!$B$5:$B$3004,AC$4,Acuses!$C$5:$C$3004,AC$5),AC$8)&lt;Resumen!$C$4,"Caducado",IF(EDATE(_xlfn.MAXIFS(Acuses!$D$5:$D$3004,Acuses!$A$5:$A$3004,$A127,Acuses!$B$5:$B$3004,AC$4,Acuses!$C$5:$C$3004,AC$5),AC$8)&lt;Resumen!$C$4+30,"Caduca pronto","OK"))))))</f>
        <v/>
      </c>
      <c r="AD127" s="26" t="str">
        <f aca="false">IF(OR($A127="",AD$4=""),"",IF(NOT(OR(AD$6="Toda la plantilla",ISNUMBER(SEARCH(";"&amp;SUBSTITUTE($C127," ","")&amp;";",";"&amp;SUBSTITUTE(AD$7," ","")&amp;";")))),"—",IF(_xlfn.MAXIFS(Acuses!$C$5:$C$3004,Acuses!$A$5:$A$3004,$A127,Acuses!$B$5:$B$3004,AD$4)&lt;AD$5,"Pendiente",IF(AD$8=0,"OK",IF(EDATE(_xlfn.MAXIFS(Acuses!$D$5:$D$3004,Acuses!$A$5:$A$3004,$A127,Acuses!$B$5:$B$3004,AD$4,Acuses!$C$5:$C$3004,AD$5),AD$8)&lt;Resumen!$C$4,"Caducado",IF(EDATE(_xlfn.MAXIFS(Acuses!$D$5:$D$3004,Acuses!$A$5:$A$3004,$A127,Acuses!$B$5:$B$3004,AD$4,Acuses!$C$5:$C$3004,AD$5),AD$8)&lt;Resumen!$C$4+30,"Caduca pronto","OK"))))))</f>
        <v/>
      </c>
      <c r="AE127" s="26" t="str">
        <f aca="false">IF(OR($A127="",AE$4=""),"",IF(NOT(OR(AE$6="Toda la plantilla",ISNUMBER(SEARCH(";"&amp;SUBSTITUTE($C127," ","")&amp;";",";"&amp;SUBSTITUTE(AE$7," ","")&amp;";")))),"—",IF(_xlfn.MAXIFS(Acuses!$C$5:$C$3004,Acuses!$A$5:$A$3004,$A127,Acuses!$B$5:$B$3004,AE$4)&lt;AE$5,"Pendiente",IF(AE$8=0,"OK",IF(EDATE(_xlfn.MAXIFS(Acuses!$D$5:$D$3004,Acuses!$A$5:$A$3004,$A127,Acuses!$B$5:$B$3004,AE$4,Acuses!$C$5:$C$3004,AE$5),AE$8)&lt;Resumen!$C$4,"Caducado",IF(EDATE(_xlfn.MAXIFS(Acuses!$D$5:$D$3004,Acuses!$A$5:$A$3004,$A127,Acuses!$B$5:$B$3004,AE$4,Acuses!$C$5:$C$3004,AE$5),AE$8)&lt;Resumen!$C$4+30,"Caduca pronto","OK"))))))</f>
        <v/>
      </c>
      <c r="AF127" s="26" t="str">
        <f aca="false">IF(OR($A127="",AF$4=""),"",IF(NOT(OR(AF$6="Toda la plantilla",ISNUMBER(SEARCH(";"&amp;SUBSTITUTE($C127," ","")&amp;";",";"&amp;SUBSTITUTE(AF$7," ","")&amp;";")))),"—",IF(_xlfn.MAXIFS(Acuses!$C$5:$C$3004,Acuses!$A$5:$A$3004,$A127,Acuses!$B$5:$B$3004,AF$4)&lt;AF$5,"Pendiente",IF(AF$8=0,"OK",IF(EDATE(_xlfn.MAXIFS(Acuses!$D$5:$D$3004,Acuses!$A$5:$A$3004,$A127,Acuses!$B$5:$B$3004,AF$4,Acuses!$C$5:$C$3004,AF$5),AF$8)&lt;Resumen!$C$4,"Caducado",IF(EDATE(_xlfn.MAXIFS(Acuses!$D$5:$D$3004,Acuses!$A$5:$A$3004,$A127,Acuses!$B$5:$B$3004,AF$4,Acuses!$C$5:$C$3004,AF$5),AF$8)&lt;Resumen!$C$4+30,"Caduca pronto","OK"))))))</f>
        <v/>
      </c>
      <c r="AG127" s="26" t="str">
        <f aca="false">IF(OR($A127="",AG$4=""),"",IF(NOT(OR(AG$6="Toda la plantilla",ISNUMBER(SEARCH(";"&amp;SUBSTITUTE($C127," ","")&amp;";",";"&amp;SUBSTITUTE(AG$7," ","")&amp;";")))),"—",IF(_xlfn.MAXIFS(Acuses!$C$5:$C$3004,Acuses!$A$5:$A$3004,$A127,Acuses!$B$5:$B$3004,AG$4)&lt;AG$5,"Pendiente",IF(AG$8=0,"OK",IF(EDATE(_xlfn.MAXIFS(Acuses!$D$5:$D$3004,Acuses!$A$5:$A$3004,$A127,Acuses!$B$5:$B$3004,AG$4,Acuses!$C$5:$C$3004,AG$5),AG$8)&lt;Resumen!$C$4,"Caducado",IF(EDATE(_xlfn.MAXIFS(Acuses!$D$5:$D$3004,Acuses!$A$5:$A$3004,$A127,Acuses!$B$5:$B$3004,AG$4,Acuses!$C$5:$C$3004,AG$5),AG$8)&lt;Resumen!$C$4+30,"Caduca pronto","OK"))))))</f>
        <v/>
      </c>
      <c r="AH127" s="26" t="str">
        <f aca="false">IF(OR($A127="",AH$4=""),"",IF(NOT(OR(AH$6="Toda la plantilla",ISNUMBER(SEARCH(";"&amp;SUBSTITUTE($C127," ","")&amp;";",";"&amp;SUBSTITUTE(AH$7," ","")&amp;";")))),"—",IF(_xlfn.MAXIFS(Acuses!$C$5:$C$3004,Acuses!$A$5:$A$3004,$A127,Acuses!$B$5:$B$3004,AH$4)&lt;AH$5,"Pendiente",IF(AH$8=0,"OK",IF(EDATE(_xlfn.MAXIFS(Acuses!$D$5:$D$3004,Acuses!$A$5:$A$3004,$A127,Acuses!$B$5:$B$3004,AH$4,Acuses!$C$5:$C$3004,AH$5),AH$8)&lt;Resumen!$C$4,"Caducado",IF(EDATE(_xlfn.MAXIFS(Acuses!$D$5:$D$3004,Acuses!$A$5:$A$3004,$A127,Acuses!$B$5:$B$3004,AH$4,Acuses!$C$5:$C$3004,AH$5),AH$8)&lt;Resumen!$C$4+30,"Caduca pronto","OK"))))))</f>
        <v/>
      </c>
      <c r="AI127" s="26" t="str">
        <f aca="false">IF(OR($A127="",AI$4=""),"",IF(NOT(OR(AI$6="Toda la plantilla",ISNUMBER(SEARCH(";"&amp;SUBSTITUTE($C127," ","")&amp;";",";"&amp;SUBSTITUTE(AI$7," ","")&amp;";")))),"—",IF(_xlfn.MAXIFS(Acuses!$C$5:$C$3004,Acuses!$A$5:$A$3004,$A127,Acuses!$B$5:$B$3004,AI$4)&lt;AI$5,"Pendiente",IF(AI$8=0,"OK",IF(EDATE(_xlfn.MAXIFS(Acuses!$D$5:$D$3004,Acuses!$A$5:$A$3004,$A127,Acuses!$B$5:$B$3004,AI$4,Acuses!$C$5:$C$3004,AI$5),AI$8)&lt;Resumen!$C$4,"Caducado",IF(EDATE(_xlfn.MAXIFS(Acuses!$D$5:$D$3004,Acuses!$A$5:$A$3004,$A127,Acuses!$B$5:$B$3004,AI$4,Acuses!$C$5:$C$3004,AI$5),AI$8)&lt;Resumen!$C$4+30,"Caduca pronto","OK"))))))</f>
        <v/>
      </c>
      <c r="AJ127" s="26" t="str">
        <f aca="false">IF(OR($A127="",AJ$4=""),"",IF(NOT(OR(AJ$6="Toda la plantilla",ISNUMBER(SEARCH(";"&amp;SUBSTITUTE($C127," ","")&amp;";",";"&amp;SUBSTITUTE(AJ$7," ","")&amp;";")))),"—",IF(_xlfn.MAXIFS(Acuses!$C$5:$C$3004,Acuses!$A$5:$A$3004,$A127,Acuses!$B$5:$B$3004,AJ$4)&lt;AJ$5,"Pendiente",IF(AJ$8=0,"OK",IF(EDATE(_xlfn.MAXIFS(Acuses!$D$5:$D$3004,Acuses!$A$5:$A$3004,$A127,Acuses!$B$5:$B$3004,AJ$4,Acuses!$C$5:$C$3004,AJ$5),AJ$8)&lt;Resumen!$C$4,"Caducado",IF(EDATE(_xlfn.MAXIFS(Acuses!$D$5:$D$3004,Acuses!$A$5:$A$3004,$A127,Acuses!$B$5:$B$3004,AJ$4,Acuses!$C$5:$C$3004,AJ$5),AJ$8)&lt;Resumen!$C$4+30,"Caduca pronto","OK"))))))</f>
        <v/>
      </c>
      <c r="AK127" s="26" t="str">
        <f aca="false">IF(OR($A127="",AK$4=""),"",IF(NOT(OR(AK$6="Toda la plantilla",ISNUMBER(SEARCH(";"&amp;SUBSTITUTE($C127," ","")&amp;";",";"&amp;SUBSTITUTE(AK$7," ","")&amp;";")))),"—",IF(_xlfn.MAXIFS(Acuses!$C$5:$C$3004,Acuses!$A$5:$A$3004,$A127,Acuses!$B$5:$B$3004,AK$4)&lt;AK$5,"Pendiente",IF(AK$8=0,"OK",IF(EDATE(_xlfn.MAXIFS(Acuses!$D$5:$D$3004,Acuses!$A$5:$A$3004,$A127,Acuses!$B$5:$B$3004,AK$4,Acuses!$C$5:$C$3004,AK$5),AK$8)&lt;Resumen!$C$4,"Caducado",IF(EDATE(_xlfn.MAXIFS(Acuses!$D$5:$D$3004,Acuses!$A$5:$A$3004,$A127,Acuses!$B$5:$B$3004,AK$4,Acuses!$C$5:$C$3004,AK$5),AK$8)&lt;Resumen!$C$4+30,"Caduca pronto","OK"))))))</f>
        <v/>
      </c>
      <c r="AL127" s="26" t="str">
        <f aca="false">IF(OR($A127="",AL$4=""),"",IF(NOT(OR(AL$6="Toda la plantilla",ISNUMBER(SEARCH(";"&amp;SUBSTITUTE($C127," ","")&amp;";",";"&amp;SUBSTITUTE(AL$7," ","")&amp;";")))),"—",IF(_xlfn.MAXIFS(Acuses!$C$5:$C$3004,Acuses!$A$5:$A$3004,$A127,Acuses!$B$5:$B$3004,AL$4)&lt;AL$5,"Pendiente",IF(AL$8=0,"OK",IF(EDATE(_xlfn.MAXIFS(Acuses!$D$5:$D$3004,Acuses!$A$5:$A$3004,$A127,Acuses!$B$5:$B$3004,AL$4,Acuses!$C$5:$C$3004,AL$5),AL$8)&lt;Resumen!$C$4,"Caducado",IF(EDATE(_xlfn.MAXIFS(Acuses!$D$5:$D$3004,Acuses!$A$5:$A$3004,$A127,Acuses!$B$5:$B$3004,AL$4,Acuses!$C$5:$C$3004,AL$5),AL$8)&lt;Resumen!$C$4+30,"Caduca pronto","OK"))))))</f>
        <v/>
      </c>
      <c r="AM127" s="26" t="str">
        <f aca="false">IF(OR($A127="",AM$4=""),"",IF(NOT(OR(AM$6="Toda la plantilla",ISNUMBER(SEARCH(";"&amp;SUBSTITUTE($C127," ","")&amp;";",";"&amp;SUBSTITUTE(AM$7," ","")&amp;";")))),"—",IF(_xlfn.MAXIFS(Acuses!$C$5:$C$3004,Acuses!$A$5:$A$3004,$A127,Acuses!$B$5:$B$3004,AM$4)&lt;AM$5,"Pendiente",IF(AM$8=0,"OK",IF(EDATE(_xlfn.MAXIFS(Acuses!$D$5:$D$3004,Acuses!$A$5:$A$3004,$A127,Acuses!$B$5:$B$3004,AM$4,Acuses!$C$5:$C$3004,AM$5),AM$8)&lt;Resumen!$C$4,"Caducado",IF(EDATE(_xlfn.MAXIFS(Acuses!$D$5:$D$3004,Acuses!$A$5:$A$3004,$A127,Acuses!$B$5:$B$3004,AM$4,Acuses!$C$5:$C$3004,AM$5),AM$8)&lt;Resumen!$C$4+30,"Caduca pronto","OK"))))))</f>
        <v/>
      </c>
      <c r="AN127" s="26" t="str">
        <f aca="false">IF(OR($A127="",AN$4=""),"",IF(NOT(OR(AN$6="Toda la plantilla",ISNUMBER(SEARCH(";"&amp;SUBSTITUTE($C127," ","")&amp;";",";"&amp;SUBSTITUTE(AN$7," ","")&amp;";")))),"—",IF(_xlfn.MAXIFS(Acuses!$C$5:$C$3004,Acuses!$A$5:$A$3004,$A127,Acuses!$B$5:$B$3004,AN$4)&lt;AN$5,"Pendiente",IF(AN$8=0,"OK",IF(EDATE(_xlfn.MAXIFS(Acuses!$D$5:$D$3004,Acuses!$A$5:$A$3004,$A127,Acuses!$B$5:$B$3004,AN$4,Acuses!$C$5:$C$3004,AN$5),AN$8)&lt;Resumen!$C$4,"Caducado",IF(EDATE(_xlfn.MAXIFS(Acuses!$D$5:$D$3004,Acuses!$A$5:$A$3004,$A127,Acuses!$B$5:$B$3004,AN$4,Acuses!$C$5:$C$3004,AN$5),AN$8)&lt;Resumen!$C$4+30,"Caduca pronto","OK"))))))</f>
        <v/>
      </c>
      <c r="AO127" s="26" t="str">
        <f aca="false">IF(OR($A127="",AO$4=""),"",IF(NOT(OR(AO$6="Toda la plantilla",ISNUMBER(SEARCH(";"&amp;SUBSTITUTE($C127," ","")&amp;";",";"&amp;SUBSTITUTE(AO$7," ","")&amp;";")))),"—",IF(_xlfn.MAXIFS(Acuses!$C$5:$C$3004,Acuses!$A$5:$A$3004,$A127,Acuses!$B$5:$B$3004,AO$4)&lt;AO$5,"Pendiente",IF(AO$8=0,"OK",IF(EDATE(_xlfn.MAXIFS(Acuses!$D$5:$D$3004,Acuses!$A$5:$A$3004,$A127,Acuses!$B$5:$B$3004,AO$4,Acuses!$C$5:$C$3004,AO$5),AO$8)&lt;Resumen!$C$4,"Caducado",IF(EDATE(_xlfn.MAXIFS(Acuses!$D$5:$D$3004,Acuses!$A$5:$A$3004,$A127,Acuses!$B$5:$B$3004,AO$4,Acuses!$C$5:$C$3004,AO$5),AO$8)&lt;Resumen!$C$4+30,"Caduca pronto","OK"))))))</f>
        <v/>
      </c>
      <c r="AP127" s="26" t="str">
        <f aca="false">IF(OR($A127="",AP$4=""),"",IF(NOT(OR(AP$6="Toda la plantilla",ISNUMBER(SEARCH(";"&amp;SUBSTITUTE($C127," ","")&amp;";",";"&amp;SUBSTITUTE(AP$7," ","")&amp;";")))),"—",IF(_xlfn.MAXIFS(Acuses!$C$5:$C$3004,Acuses!$A$5:$A$3004,$A127,Acuses!$B$5:$B$3004,AP$4)&lt;AP$5,"Pendiente",IF(AP$8=0,"OK",IF(EDATE(_xlfn.MAXIFS(Acuses!$D$5:$D$3004,Acuses!$A$5:$A$3004,$A127,Acuses!$B$5:$B$3004,AP$4,Acuses!$C$5:$C$3004,AP$5),AP$8)&lt;Resumen!$C$4,"Caducado",IF(EDATE(_xlfn.MAXIFS(Acuses!$D$5:$D$3004,Acuses!$A$5:$A$3004,$A127,Acuses!$B$5:$B$3004,AP$4,Acuses!$C$5:$C$3004,AP$5),AP$8)&lt;Resumen!$C$4+30,"Caduca pronto","OK"))))))</f>
        <v/>
      </c>
      <c r="AQ127" s="26" t="str">
        <f aca="false">IF(OR($A127="",AQ$4=""),"",IF(NOT(OR(AQ$6="Toda la plantilla",ISNUMBER(SEARCH(";"&amp;SUBSTITUTE($C127," ","")&amp;";",";"&amp;SUBSTITUTE(AQ$7," ","")&amp;";")))),"—",IF(_xlfn.MAXIFS(Acuses!$C$5:$C$3004,Acuses!$A$5:$A$3004,$A127,Acuses!$B$5:$B$3004,AQ$4)&lt;AQ$5,"Pendiente",IF(AQ$8=0,"OK",IF(EDATE(_xlfn.MAXIFS(Acuses!$D$5:$D$3004,Acuses!$A$5:$A$3004,$A127,Acuses!$B$5:$B$3004,AQ$4,Acuses!$C$5:$C$3004,AQ$5),AQ$8)&lt;Resumen!$C$4,"Caducado",IF(EDATE(_xlfn.MAXIFS(Acuses!$D$5:$D$3004,Acuses!$A$5:$A$3004,$A127,Acuses!$B$5:$B$3004,AQ$4,Acuses!$C$5:$C$3004,AQ$5),AQ$8)&lt;Resumen!$C$4+30,"Caduca pronto","OK"))))))</f>
        <v/>
      </c>
    </row>
    <row r="128" customFormat="false" ht="15" hidden="false" customHeight="false" outlineLevel="0" collapsed="false">
      <c r="A128" s="25" t="str">
        <f aca="false">IF(AND(Trabajadores!$A$123&lt;&gt;"",Trabajadores!$G$123&lt;&gt;"No"),Trabajadores!$A$123,"")</f>
        <v/>
      </c>
      <c r="B128" s="25" t="str">
        <f aca="false">IF($A128="","",Trabajadores!$B$123)</f>
        <v/>
      </c>
      <c r="C128" s="25" t="str">
        <f aca="false">IF($A128="","",Trabajadores!$C$123)</f>
        <v/>
      </c>
      <c r="D128" s="26" t="str">
        <f aca="false">IF(OR($A128="",D$4=""),"",IF(NOT(OR(D$6="Toda la plantilla",ISNUMBER(SEARCH(";"&amp;SUBSTITUTE($C128," ","")&amp;";",";"&amp;SUBSTITUTE(D$7," ","")&amp;";")))),"—",IF(_xlfn.MAXIFS(Acuses!$C$5:$C$3004,Acuses!$A$5:$A$3004,$A128,Acuses!$B$5:$B$3004,D$4)&lt;D$5,"Pendiente",IF(D$8=0,"OK",IF(EDATE(_xlfn.MAXIFS(Acuses!$D$5:$D$3004,Acuses!$A$5:$A$3004,$A128,Acuses!$B$5:$B$3004,D$4,Acuses!$C$5:$C$3004,D$5),D$8)&lt;Resumen!$C$4,"Caducado",IF(EDATE(_xlfn.MAXIFS(Acuses!$D$5:$D$3004,Acuses!$A$5:$A$3004,$A128,Acuses!$B$5:$B$3004,D$4,Acuses!$C$5:$C$3004,D$5),D$8)&lt;Resumen!$C$4+30,"Caduca pronto","OK"))))))</f>
        <v/>
      </c>
      <c r="E128" s="26" t="str">
        <f aca="false">IF(OR($A128="",E$4=""),"",IF(NOT(OR(E$6="Toda la plantilla",ISNUMBER(SEARCH(";"&amp;SUBSTITUTE($C128," ","")&amp;";",";"&amp;SUBSTITUTE(E$7," ","")&amp;";")))),"—",IF(_xlfn.MAXIFS(Acuses!$C$5:$C$3004,Acuses!$A$5:$A$3004,$A128,Acuses!$B$5:$B$3004,E$4)&lt;E$5,"Pendiente",IF(E$8=0,"OK",IF(EDATE(_xlfn.MAXIFS(Acuses!$D$5:$D$3004,Acuses!$A$5:$A$3004,$A128,Acuses!$B$5:$B$3004,E$4,Acuses!$C$5:$C$3004,E$5),E$8)&lt;Resumen!$C$4,"Caducado",IF(EDATE(_xlfn.MAXIFS(Acuses!$D$5:$D$3004,Acuses!$A$5:$A$3004,$A128,Acuses!$B$5:$B$3004,E$4,Acuses!$C$5:$C$3004,E$5),E$8)&lt;Resumen!$C$4+30,"Caduca pronto","OK"))))))</f>
        <v/>
      </c>
      <c r="F128" s="26" t="str">
        <f aca="false">IF(OR($A128="",F$4=""),"",IF(NOT(OR(F$6="Toda la plantilla",ISNUMBER(SEARCH(";"&amp;SUBSTITUTE($C128," ","")&amp;";",";"&amp;SUBSTITUTE(F$7," ","")&amp;";")))),"—",IF(_xlfn.MAXIFS(Acuses!$C$5:$C$3004,Acuses!$A$5:$A$3004,$A128,Acuses!$B$5:$B$3004,F$4)&lt;F$5,"Pendiente",IF(F$8=0,"OK",IF(EDATE(_xlfn.MAXIFS(Acuses!$D$5:$D$3004,Acuses!$A$5:$A$3004,$A128,Acuses!$B$5:$B$3004,F$4,Acuses!$C$5:$C$3004,F$5),F$8)&lt;Resumen!$C$4,"Caducado",IF(EDATE(_xlfn.MAXIFS(Acuses!$D$5:$D$3004,Acuses!$A$5:$A$3004,$A128,Acuses!$B$5:$B$3004,F$4,Acuses!$C$5:$C$3004,F$5),F$8)&lt;Resumen!$C$4+30,"Caduca pronto","OK"))))))</f>
        <v/>
      </c>
      <c r="G128" s="26" t="str">
        <f aca="false">IF(OR($A128="",G$4=""),"",IF(NOT(OR(G$6="Toda la plantilla",ISNUMBER(SEARCH(";"&amp;SUBSTITUTE($C128," ","")&amp;";",";"&amp;SUBSTITUTE(G$7," ","")&amp;";")))),"—",IF(_xlfn.MAXIFS(Acuses!$C$5:$C$3004,Acuses!$A$5:$A$3004,$A128,Acuses!$B$5:$B$3004,G$4)&lt;G$5,"Pendiente",IF(G$8=0,"OK",IF(EDATE(_xlfn.MAXIFS(Acuses!$D$5:$D$3004,Acuses!$A$5:$A$3004,$A128,Acuses!$B$5:$B$3004,G$4,Acuses!$C$5:$C$3004,G$5),G$8)&lt;Resumen!$C$4,"Caducado",IF(EDATE(_xlfn.MAXIFS(Acuses!$D$5:$D$3004,Acuses!$A$5:$A$3004,$A128,Acuses!$B$5:$B$3004,G$4,Acuses!$C$5:$C$3004,G$5),G$8)&lt;Resumen!$C$4+30,"Caduca pronto","OK"))))))</f>
        <v/>
      </c>
      <c r="H128" s="26" t="str">
        <f aca="false">IF(OR($A128="",H$4=""),"",IF(NOT(OR(H$6="Toda la plantilla",ISNUMBER(SEARCH(";"&amp;SUBSTITUTE($C128," ","")&amp;";",";"&amp;SUBSTITUTE(H$7," ","")&amp;";")))),"—",IF(_xlfn.MAXIFS(Acuses!$C$5:$C$3004,Acuses!$A$5:$A$3004,$A128,Acuses!$B$5:$B$3004,H$4)&lt;H$5,"Pendiente",IF(H$8=0,"OK",IF(EDATE(_xlfn.MAXIFS(Acuses!$D$5:$D$3004,Acuses!$A$5:$A$3004,$A128,Acuses!$B$5:$B$3004,H$4,Acuses!$C$5:$C$3004,H$5),H$8)&lt;Resumen!$C$4,"Caducado",IF(EDATE(_xlfn.MAXIFS(Acuses!$D$5:$D$3004,Acuses!$A$5:$A$3004,$A128,Acuses!$B$5:$B$3004,H$4,Acuses!$C$5:$C$3004,H$5),H$8)&lt;Resumen!$C$4+30,"Caduca pronto","OK"))))))</f>
        <v/>
      </c>
      <c r="I128" s="26" t="str">
        <f aca="false">IF(OR($A128="",I$4=""),"",IF(NOT(OR(I$6="Toda la plantilla",ISNUMBER(SEARCH(";"&amp;SUBSTITUTE($C128," ","")&amp;";",";"&amp;SUBSTITUTE(I$7," ","")&amp;";")))),"—",IF(_xlfn.MAXIFS(Acuses!$C$5:$C$3004,Acuses!$A$5:$A$3004,$A128,Acuses!$B$5:$B$3004,I$4)&lt;I$5,"Pendiente",IF(I$8=0,"OK",IF(EDATE(_xlfn.MAXIFS(Acuses!$D$5:$D$3004,Acuses!$A$5:$A$3004,$A128,Acuses!$B$5:$B$3004,I$4,Acuses!$C$5:$C$3004,I$5),I$8)&lt;Resumen!$C$4,"Caducado",IF(EDATE(_xlfn.MAXIFS(Acuses!$D$5:$D$3004,Acuses!$A$5:$A$3004,$A128,Acuses!$B$5:$B$3004,I$4,Acuses!$C$5:$C$3004,I$5),I$8)&lt;Resumen!$C$4+30,"Caduca pronto","OK"))))))</f>
        <v/>
      </c>
      <c r="J128" s="26" t="str">
        <f aca="false">IF(OR($A128="",J$4=""),"",IF(NOT(OR(J$6="Toda la plantilla",ISNUMBER(SEARCH(";"&amp;SUBSTITUTE($C128," ","")&amp;";",";"&amp;SUBSTITUTE(J$7," ","")&amp;";")))),"—",IF(_xlfn.MAXIFS(Acuses!$C$5:$C$3004,Acuses!$A$5:$A$3004,$A128,Acuses!$B$5:$B$3004,J$4)&lt;J$5,"Pendiente",IF(J$8=0,"OK",IF(EDATE(_xlfn.MAXIFS(Acuses!$D$5:$D$3004,Acuses!$A$5:$A$3004,$A128,Acuses!$B$5:$B$3004,J$4,Acuses!$C$5:$C$3004,J$5),J$8)&lt;Resumen!$C$4,"Caducado",IF(EDATE(_xlfn.MAXIFS(Acuses!$D$5:$D$3004,Acuses!$A$5:$A$3004,$A128,Acuses!$B$5:$B$3004,J$4,Acuses!$C$5:$C$3004,J$5),J$8)&lt;Resumen!$C$4+30,"Caduca pronto","OK"))))))</f>
        <v/>
      </c>
      <c r="K128" s="26" t="str">
        <f aca="false">IF(OR($A128="",K$4=""),"",IF(NOT(OR(K$6="Toda la plantilla",ISNUMBER(SEARCH(";"&amp;SUBSTITUTE($C128," ","")&amp;";",";"&amp;SUBSTITUTE(K$7," ","")&amp;";")))),"—",IF(_xlfn.MAXIFS(Acuses!$C$5:$C$3004,Acuses!$A$5:$A$3004,$A128,Acuses!$B$5:$B$3004,K$4)&lt;K$5,"Pendiente",IF(K$8=0,"OK",IF(EDATE(_xlfn.MAXIFS(Acuses!$D$5:$D$3004,Acuses!$A$5:$A$3004,$A128,Acuses!$B$5:$B$3004,K$4,Acuses!$C$5:$C$3004,K$5),K$8)&lt;Resumen!$C$4,"Caducado",IF(EDATE(_xlfn.MAXIFS(Acuses!$D$5:$D$3004,Acuses!$A$5:$A$3004,$A128,Acuses!$B$5:$B$3004,K$4,Acuses!$C$5:$C$3004,K$5),K$8)&lt;Resumen!$C$4+30,"Caduca pronto","OK"))))))</f>
        <v/>
      </c>
      <c r="L128" s="26" t="str">
        <f aca="false">IF(OR($A128="",L$4=""),"",IF(NOT(OR(L$6="Toda la plantilla",ISNUMBER(SEARCH(";"&amp;SUBSTITUTE($C128," ","")&amp;";",";"&amp;SUBSTITUTE(L$7," ","")&amp;";")))),"—",IF(_xlfn.MAXIFS(Acuses!$C$5:$C$3004,Acuses!$A$5:$A$3004,$A128,Acuses!$B$5:$B$3004,L$4)&lt;L$5,"Pendiente",IF(L$8=0,"OK",IF(EDATE(_xlfn.MAXIFS(Acuses!$D$5:$D$3004,Acuses!$A$5:$A$3004,$A128,Acuses!$B$5:$B$3004,L$4,Acuses!$C$5:$C$3004,L$5),L$8)&lt;Resumen!$C$4,"Caducado",IF(EDATE(_xlfn.MAXIFS(Acuses!$D$5:$D$3004,Acuses!$A$5:$A$3004,$A128,Acuses!$B$5:$B$3004,L$4,Acuses!$C$5:$C$3004,L$5),L$8)&lt;Resumen!$C$4+30,"Caduca pronto","OK"))))))</f>
        <v/>
      </c>
      <c r="M128" s="26" t="str">
        <f aca="false">IF(OR($A128="",M$4=""),"",IF(NOT(OR(M$6="Toda la plantilla",ISNUMBER(SEARCH(";"&amp;SUBSTITUTE($C128," ","")&amp;";",";"&amp;SUBSTITUTE(M$7," ","")&amp;";")))),"—",IF(_xlfn.MAXIFS(Acuses!$C$5:$C$3004,Acuses!$A$5:$A$3004,$A128,Acuses!$B$5:$B$3004,M$4)&lt;M$5,"Pendiente",IF(M$8=0,"OK",IF(EDATE(_xlfn.MAXIFS(Acuses!$D$5:$D$3004,Acuses!$A$5:$A$3004,$A128,Acuses!$B$5:$B$3004,M$4,Acuses!$C$5:$C$3004,M$5),M$8)&lt;Resumen!$C$4,"Caducado",IF(EDATE(_xlfn.MAXIFS(Acuses!$D$5:$D$3004,Acuses!$A$5:$A$3004,$A128,Acuses!$B$5:$B$3004,M$4,Acuses!$C$5:$C$3004,M$5),M$8)&lt;Resumen!$C$4+30,"Caduca pronto","OK"))))))</f>
        <v/>
      </c>
      <c r="N128" s="26" t="str">
        <f aca="false">IF(OR($A128="",N$4=""),"",IF(NOT(OR(N$6="Toda la plantilla",ISNUMBER(SEARCH(";"&amp;SUBSTITUTE($C128," ","")&amp;";",";"&amp;SUBSTITUTE(N$7," ","")&amp;";")))),"—",IF(_xlfn.MAXIFS(Acuses!$C$5:$C$3004,Acuses!$A$5:$A$3004,$A128,Acuses!$B$5:$B$3004,N$4)&lt;N$5,"Pendiente",IF(N$8=0,"OK",IF(EDATE(_xlfn.MAXIFS(Acuses!$D$5:$D$3004,Acuses!$A$5:$A$3004,$A128,Acuses!$B$5:$B$3004,N$4,Acuses!$C$5:$C$3004,N$5),N$8)&lt;Resumen!$C$4,"Caducado",IF(EDATE(_xlfn.MAXIFS(Acuses!$D$5:$D$3004,Acuses!$A$5:$A$3004,$A128,Acuses!$B$5:$B$3004,N$4,Acuses!$C$5:$C$3004,N$5),N$8)&lt;Resumen!$C$4+30,"Caduca pronto","OK"))))))</f>
        <v/>
      </c>
      <c r="O128" s="26" t="str">
        <f aca="false">IF(OR($A128="",O$4=""),"",IF(NOT(OR(O$6="Toda la plantilla",ISNUMBER(SEARCH(";"&amp;SUBSTITUTE($C128," ","")&amp;";",";"&amp;SUBSTITUTE(O$7," ","")&amp;";")))),"—",IF(_xlfn.MAXIFS(Acuses!$C$5:$C$3004,Acuses!$A$5:$A$3004,$A128,Acuses!$B$5:$B$3004,O$4)&lt;O$5,"Pendiente",IF(O$8=0,"OK",IF(EDATE(_xlfn.MAXIFS(Acuses!$D$5:$D$3004,Acuses!$A$5:$A$3004,$A128,Acuses!$B$5:$B$3004,O$4,Acuses!$C$5:$C$3004,O$5),O$8)&lt;Resumen!$C$4,"Caducado",IF(EDATE(_xlfn.MAXIFS(Acuses!$D$5:$D$3004,Acuses!$A$5:$A$3004,$A128,Acuses!$B$5:$B$3004,O$4,Acuses!$C$5:$C$3004,O$5),O$8)&lt;Resumen!$C$4+30,"Caduca pronto","OK"))))))</f>
        <v/>
      </c>
      <c r="P128" s="26" t="str">
        <f aca="false">IF(OR($A128="",P$4=""),"",IF(NOT(OR(P$6="Toda la plantilla",ISNUMBER(SEARCH(";"&amp;SUBSTITUTE($C128," ","")&amp;";",";"&amp;SUBSTITUTE(P$7," ","")&amp;";")))),"—",IF(_xlfn.MAXIFS(Acuses!$C$5:$C$3004,Acuses!$A$5:$A$3004,$A128,Acuses!$B$5:$B$3004,P$4)&lt;P$5,"Pendiente",IF(P$8=0,"OK",IF(EDATE(_xlfn.MAXIFS(Acuses!$D$5:$D$3004,Acuses!$A$5:$A$3004,$A128,Acuses!$B$5:$B$3004,P$4,Acuses!$C$5:$C$3004,P$5),P$8)&lt;Resumen!$C$4,"Caducado",IF(EDATE(_xlfn.MAXIFS(Acuses!$D$5:$D$3004,Acuses!$A$5:$A$3004,$A128,Acuses!$B$5:$B$3004,P$4,Acuses!$C$5:$C$3004,P$5),P$8)&lt;Resumen!$C$4+30,"Caduca pronto","OK"))))))</f>
        <v/>
      </c>
      <c r="Q128" s="26" t="str">
        <f aca="false">IF(OR($A128="",Q$4=""),"",IF(NOT(OR(Q$6="Toda la plantilla",ISNUMBER(SEARCH(";"&amp;SUBSTITUTE($C128," ","")&amp;";",";"&amp;SUBSTITUTE(Q$7," ","")&amp;";")))),"—",IF(_xlfn.MAXIFS(Acuses!$C$5:$C$3004,Acuses!$A$5:$A$3004,$A128,Acuses!$B$5:$B$3004,Q$4)&lt;Q$5,"Pendiente",IF(Q$8=0,"OK",IF(EDATE(_xlfn.MAXIFS(Acuses!$D$5:$D$3004,Acuses!$A$5:$A$3004,$A128,Acuses!$B$5:$B$3004,Q$4,Acuses!$C$5:$C$3004,Q$5),Q$8)&lt;Resumen!$C$4,"Caducado",IF(EDATE(_xlfn.MAXIFS(Acuses!$D$5:$D$3004,Acuses!$A$5:$A$3004,$A128,Acuses!$B$5:$B$3004,Q$4,Acuses!$C$5:$C$3004,Q$5),Q$8)&lt;Resumen!$C$4+30,"Caduca pronto","OK"))))))</f>
        <v/>
      </c>
      <c r="R128" s="26" t="str">
        <f aca="false">IF(OR($A128="",R$4=""),"",IF(NOT(OR(R$6="Toda la plantilla",ISNUMBER(SEARCH(";"&amp;SUBSTITUTE($C128," ","")&amp;";",";"&amp;SUBSTITUTE(R$7," ","")&amp;";")))),"—",IF(_xlfn.MAXIFS(Acuses!$C$5:$C$3004,Acuses!$A$5:$A$3004,$A128,Acuses!$B$5:$B$3004,R$4)&lt;R$5,"Pendiente",IF(R$8=0,"OK",IF(EDATE(_xlfn.MAXIFS(Acuses!$D$5:$D$3004,Acuses!$A$5:$A$3004,$A128,Acuses!$B$5:$B$3004,R$4,Acuses!$C$5:$C$3004,R$5),R$8)&lt;Resumen!$C$4,"Caducado",IF(EDATE(_xlfn.MAXIFS(Acuses!$D$5:$D$3004,Acuses!$A$5:$A$3004,$A128,Acuses!$B$5:$B$3004,R$4,Acuses!$C$5:$C$3004,R$5),R$8)&lt;Resumen!$C$4+30,"Caduca pronto","OK"))))))</f>
        <v/>
      </c>
      <c r="S128" s="26" t="str">
        <f aca="false">IF(OR($A128="",S$4=""),"",IF(NOT(OR(S$6="Toda la plantilla",ISNUMBER(SEARCH(";"&amp;SUBSTITUTE($C128," ","")&amp;";",";"&amp;SUBSTITUTE(S$7," ","")&amp;";")))),"—",IF(_xlfn.MAXIFS(Acuses!$C$5:$C$3004,Acuses!$A$5:$A$3004,$A128,Acuses!$B$5:$B$3004,S$4)&lt;S$5,"Pendiente",IF(S$8=0,"OK",IF(EDATE(_xlfn.MAXIFS(Acuses!$D$5:$D$3004,Acuses!$A$5:$A$3004,$A128,Acuses!$B$5:$B$3004,S$4,Acuses!$C$5:$C$3004,S$5),S$8)&lt;Resumen!$C$4,"Caducado",IF(EDATE(_xlfn.MAXIFS(Acuses!$D$5:$D$3004,Acuses!$A$5:$A$3004,$A128,Acuses!$B$5:$B$3004,S$4,Acuses!$C$5:$C$3004,S$5),S$8)&lt;Resumen!$C$4+30,"Caduca pronto","OK"))))))</f>
        <v/>
      </c>
      <c r="T128" s="26" t="str">
        <f aca="false">IF(OR($A128="",T$4=""),"",IF(NOT(OR(T$6="Toda la plantilla",ISNUMBER(SEARCH(";"&amp;SUBSTITUTE($C128," ","")&amp;";",";"&amp;SUBSTITUTE(T$7," ","")&amp;";")))),"—",IF(_xlfn.MAXIFS(Acuses!$C$5:$C$3004,Acuses!$A$5:$A$3004,$A128,Acuses!$B$5:$B$3004,T$4)&lt;T$5,"Pendiente",IF(T$8=0,"OK",IF(EDATE(_xlfn.MAXIFS(Acuses!$D$5:$D$3004,Acuses!$A$5:$A$3004,$A128,Acuses!$B$5:$B$3004,T$4,Acuses!$C$5:$C$3004,T$5),T$8)&lt;Resumen!$C$4,"Caducado",IF(EDATE(_xlfn.MAXIFS(Acuses!$D$5:$D$3004,Acuses!$A$5:$A$3004,$A128,Acuses!$B$5:$B$3004,T$4,Acuses!$C$5:$C$3004,T$5),T$8)&lt;Resumen!$C$4+30,"Caduca pronto","OK"))))))</f>
        <v/>
      </c>
      <c r="U128" s="26" t="str">
        <f aca="false">IF(OR($A128="",U$4=""),"",IF(NOT(OR(U$6="Toda la plantilla",ISNUMBER(SEARCH(";"&amp;SUBSTITUTE($C128," ","")&amp;";",";"&amp;SUBSTITUTE(U$7," ","")&amp;";")))),"—",IF(_xlfn.MAXIFS(Acuses!$C$5:$C$3004,Acuses!$A$5:$A$3004,$A128,Acuses!$B$5:$B$3004,U$4)&lt;U$5,"Pendiente",IF(U$8=0,"OK",IF(EDATE(_xlfn.MAXIFS(Acuses!$D$5:$D$3004,Acuses!$A$5:$A$3004,$A128,Acuses!$B$5:$B$3004,U$4,Acuses!$C$5:$C$3004,U$5),U$8)&lt;Resumen!$C$4,"Caducado",IF(EDATE(_xlfn.MAXIFS(Acuses!$D$5:$D$3004,Acuses!$A$5:$A$3004,$A128,Acuses!$B$5:$B$3004,U$4,Acuses!$C$5:$C$3004,U$5),U$8)&lt;Resumen!$C$4+30,"Caduca pronto","OK"))))))</f>
        <v/>
      </c>
      <c r="V128" s="26" t="str">
        <f aca="false">IF(OR($A128="",V$4=""),"",IF(NOT(OR(V$6="Toda la plantilla",ISNUMBER(SEARCH(";"&amp;SUBSTITUTE($C128," ","")&amp;";",";"&amp;SUBSTITUTE(V$7," ","")&amp;";")))),"—",IF(_xlfn.MAXIFS(Acuses!$C$5:$C$3004,Acuses!$A$5:$A$3004,$A128,Acuses!$B$5:$B$3004,V$4)&lt;V$5,"Pendiente",IF(V$8=0,"OK",IF(EDATE(_xlfn.MAXIFS(Acuses!$D$5:$D$3004,Acuses!$A$5:$A$3004,$A128,Acuses!$B$5:$B$3004,V$4,Acuses!$C$5:$C$3004,V$5),V$8)&lt;Resumen!$C$4,"Caducado",IF(EDATE(_xlfn.MAXIFS(Acuses!$D$5:$D$3004,Acuses!$A$5:$A$3004,$A128,Acuses!$B$5:$B$3004,V$4,Acuses!$C$5:$C$3004,V$5),V$8)&lt;Resumen!$C$4+30,"Caduca pronto","OK"))))))</f>
        <v/>
      </c>
      <c r="W128" s="26" t="str">
        <f aca="false">IF(OR($A128="",W$4=""),"",IF(NOT(OR(W$6="Toda la plantilla",ISNUMBER(SEARCH(";"&amp;SUBSTITUTE($C128," ","")&amp;";",";"&amp;SUBSTITUTE(W$7," ","")&amp;";")))),"—",IF(_xlfn.MAXIFS(Acuses!$C$5:$C$3004,Acuses!$A$5:$A$3004,$A128,Acuses!$B$5:$B$3004,W$4)&lt;W$5,"Pendiente",IF(W$8=0,"OK",IF(EDATE(_xlfn.MAXIFS(Acuses!$D$5:$D$3004,Acuses!$A$5:$A$3004,$A128,Acuses!$B$5:$B$3004,W$4,Acuses!$C$5:$C$3004,W$5),W$8)&lt;Resumen!$C$4,"Caducado",IF(EDATE(_xlfn.MAXIFS(Acuses!$D$5:$D$3004,Acuses!$A$5:$A$3004,$A128,Acuses!$B$5:$B$3004,W$4,Acuses!$C$5:$C$3004,W$5),W$8)&lt;Resumen!$C$4+30,"Caduca pronto","OK"))))))</f>
        <v/>
      </c>
      <c r="X128" s="26" t="str">
        <f aca="false">IF(OR($A128="",X$4=""),"",IF(NOT(OR(X$6="Toda la plantilla",ISNUMBER(SEARCH(";"&amp;SUBSTITUTE($C128," ","")&amp;";",";"&amp;SUBSTITUTE(X$7," ","")&amp;";")))),"—",IF(_xlfn.MAXIFS(Acuses!$C$5:$C$3004,Acuses!$A$5:$A$3004,$A128,Acuses!$B$5:$B$3004,X$4)&lt;X$5,"Pendiente",IF(X$8=0,"OK",IF(EDATE(_xlfn.MAXIFS(Acuses!$D$5:$D$3004,Acuses!$A$5:$A$3004,$A128,Acuses!$B$5:$B$3004,X$4,Acuses!$C$5:$C$3004,X$5),X$8)&lt;Resumen!$C$4,"Caducado",IF(EDATE(_xlfn.MAXIFS(Acuses!$D$5:$D$3004,Acuses!$A$5:$A$3004,$A128,Acuses!$B$5:$B$3004,X$4,Acuses!$C$5:$C$3004,X$5),X$8)&lt;Resumen!$C$4+30,"Caduca pronto","OK"))))))</f>
        <v/>
      </c>
      <c r="Y128" s="26" t="str">
        <f aca="false">IF(OR($A128="",Y$4=""),"",IF(NOT(OR(Y$6="Toda la plantilla",ISNUMBER(SEARCH(";"&amp;SUBSTITUTE($C128," ","")&amp;";",";"&amp;SUBSTITUTE(Y$7," ","")&amp;";")))),"—",IF(_xlfn.MAXIFS(Acuses!$C$5:$C$3004,Acuses!$A$5:$A$3004,$A128,Acuses!$B$5:$B$3004,Y$4)&lt;Y$5,"Pendiente",IF(Y$8=0,"OK",IF(EDATE(_xlfn.MAXIFS(Acuses!$D$5:$D$3004,Acuses!$A$5:$A$3004,$A128,Acuses!$B$5:$B$3004,Y$4,Acuses!$C$5:$C$3004,Y$5),Y$8)&lt;Resumen!$C$4,"Caducado",IF(EDATE(_xlfn.MAXIFS(Acuses!$D$5:$D$3004,Acuses!$A$5:$A$3004,$A128,Acuses!$B$5:$B$3004,Y$4,Acuses!$C$5:$C$3004,Y$5),Y$8)&lt;Resumen!$C$4+30,"Caduca pronto","OK"))))))</f>
        <v/>
      </c>
      <c r="Z128" s="26" t="str">
        <f aca="false">IF(OR($A128="",Z$4=""),"",IF(NOT(OR(Z$6="Toda la plantilla",ISNUMBER(SEARCH(";"&amp;SUBSTITUTE($C128," ","")&amp;";",";"&amp;SUBSTITUTE(Z$7," ","")&amp;";")))),"—",IF(_xlfn.MAXIFS(Acuses!$C$5:$C$3004,Acuses!$A$5:$A$3004,$A128,Acuses!$B$5:$B$3004,Z$4)&lt;Z$5,"Pendiente",IF(Z$8=0,"OK",IF(EDATE(_xlfn.MAXIFS(Acuses!$D$5:$D$3004,Acuses!$A$5:$A$3004,$A128,Acuses!$B$5:$B$3004,Z$4,Acuses!$C$5:$C$3004,Z$5),Z$8)&lt;Resumen!$C$4,"Caducado",IF(EDATE(_xlfn.MAXIFS(Acuses!$D$5:$D$3004,Acuses!$A$5:$A$3004,$A128,Acuses!$B$5:$B$3004,Z$4,Acuses!$C$5:$C$3004,Z$5),Z$8)&lt;Resumen!$C$4+30,"Caduca pronto","OK"))))))</f>
        <v/>
      </c>
      <c r="AA128" s="26" t="str">
        <f aca="false">IF(OR($A128="",AA$4=""),"",IF(NOT(OR(AA$6="Toda la plantilla",ISNUMBER(SEARCH(";"&amp;SUBSTITUTE($C128," ","")&amp;";",";"&amp;SUBSTITUTE(AA$7," ","")&amp;";")))),"—",IF(_xlfn.MAXIFS(Acuses!$C$5:$C$3004,Acuses!$A$5:$A$3004,$A128,Acuses!$B$5:$B$3004,AA$4)&lt;AA$5,"Pendiente",IF(AA$8=0,"OK",IF(EDATE(_xlfn.MAXIFS(Acuses!$D$5:$D$3004,Acuses!$A$5:$A$3004,$A128,Acuses!$B$5:$B$3004,AA$4,Acuses!$C$5:$C$3004,AA$5),AA$8)&lt;Resumen!$C$4,"Caducado",IF(EDATE(_xlfn.MAXIFS(Acuses!$D$5:$D$3004,Acuses!$A$5:$A$3004,$A128,Acuses!$B$5:$B$3004,AA$4,Acuses!$C$5:$C$3004,AA$5),AA$8)&lt;Resumen!$C$4+30,"Caduca pronto","OK"))))))</f>
        <v/>
      </c>
      <c r="AB128" s="26" t="str">
        <f aca="false">IF(OR($A128="",AB$4=""),"",IF(NOT(OR(AB$6="Toda la plantilla",ISNUMBER(SEARCH(";"&amp;SUBSTITUTE($C128," ","")&amp;";",";"&amp;SUBSTITUTE(AB$7," ","")&amp;";")))),"—",IF(_xlfn.MAXIFS(Acuses!$C$5:$C$3004,Acuses!$A$5:$A$3004,$A128,Acuses!$B$5:$B$3004,AB$4)&lt;AB$5,"Pendiente",IF(AB$8=0,"OK",IF(EDATE(_xlfn.MAXIFS(Acuses!$D$5:$D$3004,Acuses!$A$5:$A$3004,$A128,Acuses!$B$5:$B$3004,AB$4,Acuses!$C$5:$C$3004,AB$5),AB$8)&lt;Resumen!$C$4,"Caducado",IF(EDATE(_xlfn.MAXIFS(Acuses!$D$5:$D$3004,Acuses!$A$5:$A$3004,$A128,Acuses!$B$5:$B$3004,AB$4,Acuses!$C$5:$C$3004,AB$5),AB$8)&lt;Resumen!$C$4+30,"Caduca pronto","OK"))))))</f>
        <v/>
      </c>
      <c r="AC128" s="26" t="str">
        <f aca="false">IF(OR($A128="",AC$4=""),"",IF(NOT(OR(AC$6="Toda la plantilla",ISNUMBER(SEARCH(";"&amp;SUBSTITUTE($C128," ","")&amp;";",";"&amp;SUBSTITUTE(AC$7," ","")&amp;";")))),"—",IF(_xlfn.MAXIFS(Acuses!$C$5:$C$3004,Acuses!$A$5:$A$3004,$A128,Acuses!$B$5:$B$3004,AC$4)&lt;AC$5,"Pendiente",IF(AC$8=0,"OK",IF(EDATE(_xlfn.MAXIFS(Acuses!$D$5:$D$3004,Acuses!$A$5:$A$3004,$A128,Acuses!$B$5:$B$3004,AC$4,Acuses!$C$5:$C$3004,AC$5),AC$8)&lt;Resumen!$C$4,"Caducado",IF(EDATE(_xlfn.MAXIFS(Acuses!$D$5:$D$3004,Acuses!$A$5:$A$3004,$A128,Acuses!$B$5:$B$3004,AC$4,Acuses!$C$5:$C$3004,AC$5),AC$8)&lt;Resumen!$C$4+30,"Caduca pronto","OK"))))))</f>
        <v/>
      </c>
      <c r="AD128" s="26" t="str">
        <f aca="false">IF(OR($A128="",AD$4=""),"",IF(NOT(OR(AD$6="Toda la plantilla",ISNUMBER(SEARCH(";"&amp;SUBSTITUTE($C128," ","")&amp;";",";"&amp;SUBSTITUTE(AD$7," ","")&amp;";")))),"—",IF(_xlfn.MAXIFS(Acuses!$C$5:$C$3004,Acuses!$A$5:$A$3004,$A128,Acuses!$B$5:$B$3004,AD$4)&lt;AD$5,"Pendiente",IF(AD$8=0,"OK",IF(EDATE(_xlfn.MAXIFS(Acuses!$D$5:$D$3004,Acuses!$A$5:$A$3004,$A128,Acuses!$B$5:$B$3004,AD$4,Acuses!$C$5:$C$3004,AD$5),AD$8)&lt;Resumen!$C$4,"Caducado",IF(EDATE(_xlfn.MAXIFS(Acuses!$D$5:$D$3004,Acuses!$A$5:$A$3004,$A128,Acuses!$B$5:$B$3004,AD$4,Acuses!$C$5:$C$3004,AD$5),AD$8)&lt;Resumen!$C$4+30,"Caduca pronto","OK"))))))</f>
        <v/>
      </c>
      <c r="AE128" s="26" t="str">
        <f aca="false">IF(OR($A128="",AE$4=""),"",IF(NOT(OR(AE$6="Toda la plantilla",ISNUMBER(SEARCH(";"&amp;SUBSTITUTE($C128," ","")&amp;";",";"&amp;SUBSTITUTE(AE$7," ","")&amp;";")))),"—",IF(_xlfn.MAXIFS(Acuses!$C$5:$C$3004,Acuses!$A$5:$A$3004,$A128,Acuses!$B$5:$B$3004,AE$4)&lt;AE$5,"Pendiente",IF(AE$8=0,"OK",IF(EDATE(_xlfn.MAXIFS(Acuses!$D$5:$D$3004,Acuses!$A$5:$A$3004,$A128,Acuses!$B$5:$B$3004,AE$4,Acuses!$C$5:$C$3004,AE$5),AE$8)&lt;Resumen!$C$4,"Caducado",IF(EDATE(_xlfn.MAXIFS(Acuses!$D$5:$D$3004,Acuses!$A$5:$A$3004,$A128,Acuses!$B$5:$B$3004,AE$4,Acuses!$C$5:$C$3004,AE$5),AE$8)&lt;Resumen!$C$4+30,"Caduca pronto","OK"))))))</f>
        <v/>
      </c>
      <c r="AF128" s="26" t="str">
        <f aca="false">IF(OR($A128="",AF$4=""),"",IF(NOT(OR(AF$6="Toda la plantilla",ISNUMBER(SEARCH(";"&amp;SUBSTITUTE($C128," ","")&amp;";",";"&amp;SUBSTITUTE(AF$7," ","")&amp;";")))),"—",IF(_xlfn.MAXIFS(Acuses!$C$5:$C$3004,Acuses!$A$5:$A$3004,$A128,Acuses!$B$5:$B$3004,AF$4)&lt;AF$5,"Pendiente",IF(AF$8=0,"OK",IF(EDATE(_xlfn.MAXIFS(Acuses!$D$5:$D$3004,Acuses!$A$5:$A$3004,$A128,Acuses!$B$5:$B$3004,AF$4,Acuses!$C$5:$C$3004,AF$5),AF$8)&lt;Resumen!$C$4,"Caducado",IF(EDATE(_xlfn.MAXIFS(Acuses!$D$5:$D$3004,Acuses!$A$5:$A$3004,$A128,Acuses!$B$5:$B$3004,AF$4,Acuses!$C$5:$C$3004,AF$5),AF$8)&lt;Resumen!$C$4+30,"Caduca pronto","OK"))))))</f>
        <v/>
      </c>
      <c r="AG128" s="26" t="str">
        <f aca="false">IF(OR($A128="",AG$4=""),"",IF(NOT(OR(AG$6="Toda la plantilla",ISNUMBER(SEARCH(";"&amp;SUBSTITUTE($C128," ","")&amp;";",";"&amp;SUBSTITUTE(AG$7," ","")&amp;";")))),"—",IF(_xlfn.MAXIFS(Acuses!$C$5:$C$3004,Acuses!$A$5:$A$3004,$A128,Acuses!$B$5:$B$3004,AG$4)&lt;AG$5,"Pendiente",IF(AG$8=0,"OK",IF(EDATE(_xlfn.MAXIFS(Acuses!$D$5:$D$3004,Acuses!$A$5:$A$3004,$A128,Acuses!$B$5:$B$3004,AG$4,Acuses!$C$5:$C$3004,AG$5),AG$8)&lt;Resumen!$C$4,"Caducado",IF(EDATE(_xlfn.MAXIFS(Acuses!$D$5:$D$3004,Acuses!$A$5:$A$3004,$A128,Acuses!$B$5:$B$3004,AG$4,Acuses!$C$5:$C$3004,AG$5),AG$8)&lt;Resumen!$C$4+30,"Caduca pronto","OK"))))))</f>
        <v/>
      </c>
      <c r="AH128" s="26" t="str">
        <f aca="false">IF(OR($A128="",AH$4=""),"",IF(NOT(OR(AH$6="Toda la plantilla",ISNUMBER(SEARCH(";"&amp;SUBSTITUTE($C128," ","")&amp;";",";"&amp;SUBSTITUTE(AH$7," ","")&amp;";")))),"—",IF(_xlfn.MAXIFS(Acuses!$C$5:$C$3004,Acuses!$A$5:$A$3004,$A128,Acuses!$B$5:$B$3004,AH$4)&lt;AH$5,"Pendiente",IF(AH$8=0,"OK",IF(EDATE(_xlfn.MAXIFS(Acuses!$D$5:$D$3004,Acuses!$A$5:$A$3004,$A128,Acuses!$B$5:$B$3004,AH$4,Acuses!$C$5:$C$3004,AH$5),AH$8)&lt;Resumen!$C$4,"Caducado",IF(EDATE(_xlfn.MAXIFS(Acuses!$D$5:$D$3004,Acuses!$A$5:$A$3004,$A128,Acuses!$B$5:$B$3004,AH$4,Acuses!$C$5:$C$3004,AH$5),AH$8)&lt;Resumen!$C$4+30,"Caduca pronto","OK"))))))</f>
        <v/>
      </c>
      <c r="AI128" s="26" t="str">
        <f aca="false">IF(OR($A128="",AI$4=""),"",IF(NOT(OR(AI$6="Toda la plantilla",ISNUMBER(SEARCH(";"&amp;SUBSTITUTE($C128," ","")&amp;";",";"&amp;SUBSTITUTE(AI$7," ","")&amp;";")))),"—",IF(_xlfn.MAXIFS(Acuses!$C$5:$C$3004,Acuses!$A$5:$A$3004,$A128,Acuses!$B$5:$B$3004,AI$4)&lt;AI$5,"Pendiente",IF(AI$8=0,"OK",IF(EDATE(_xlfn.MAXIFS(Acuses!$D$5:$D$3004,Acuses!$A$5:$A$3004,$A128,Acuses!$B$5:$B$3004,AI$4,Acuses!$C$5:$C$3004,AI$5),AI$8)&lt;Resumen!$C$4,"Caducado",IF(EDATE(_xlfn.MAXIFS(Acuses!$D$5:$D$3004,Acuses!$A$5:$A$3004,$A128,Acuses!$B$5:$B$3004,AI$4,Acuses!$C$5:$C$3004,AI$5),AI$8)&lt;Resumen!$C$4+30,"Caduca pronto","OK"))))))</f>
        <v/>
      </c>
      <c r="AJ128" s="26" t="str">
        <f aca="false">IF(OR($A128="",AJ$4=""),"",IF(NOT(OR(AJ$6="Toda la plantilla",ISNUMBER(SEARCH(";"&amp;SUBSTITUTE($C128," ","")&amp;";",";"&amp;SUBSTITUTE(AJ$7," ","")&amp;";")))),"—",IF(_xlfn.MAXIFS(Acuses!$C$5:$C$3004,Acuses!$A$5:$A$3004,$A128,Acuses!$B$5:$B$3004,AJ$4)&lt;AJ$5,"Pendiente",IF(AJ$8=0,"OK",IF(EDATE(_xlfn.MAXIFS(Acuses!$D$5:$D$3004,Acuses!$A$5:$A$3004,$A128,Acuses!$B$5:$B$3004,AJ$4,Acuses!$C$5:$C$3004,AJ$5),AJ$8)&lt;Resumen!$C$4,"Caducado",IF(EDATE(_xlfn.MAXIFS(Acuses!$D$5:$D$3004,Acuses!$A$5:$A$3004,$A128,Acuses!$B$5:$B$3004,AJ$4,Acuses!$C$5:$C$3004,AJ$5),AJ$8)&lt;Resumen!$C$4+30,"Caduca pronto","OK"))))))</f>
        <v/>
      </c>
      <c r="AK128" s="26" t="str">
        <f aca="false">IF(OR($A128="",AK$4=""),"",IF(NOT(OR(AK$6="Toda la plantilla",ISNUMBER(SEARCH(";"&amp;SUBSTITUTE($C128," ","")&amp;";",";"&amp;SUBSTITUTE(AK$7," ","")&amp;";")))),"—",IF(_xlfn.MAXIFS(Acuses!$C$5:$C$3004,Acuses!$A$5:$A$3004,$A128,Acuses!$B$5:$B$3004,AK$4)&lt;AK$5,"Pendiente",IF(AK$8=0,"OK",IF(EDATE(_xlfn.MAXIFS(Acuses!$D$5:$D$3004,Acuses!$A$5:$A$3004,$A128,Acuses!$B$5:$B$3004,AK$4,Acuses!$C$5:$C$3004,AK$5),AK$8)&lt;Resumen!$C$4,"Caducado",IF(EDATE(_xlfn.MAXIFS(Acuses!$D$5:$D$3004,Acuses!$A$5:$A$3004,$A128,Acuses!$B$5:$B$3004,AK$4,Acuses!$C$5:$C$3004,AK$5),AK$8)&lt;Resumen!$C$4+30,"Caduca pronto","OK"))))))</f>
        <v/>
      </c>
      <c r="AL128" s="26" t="str">
        <f aca="false">IF(OR($A128="",AL$4=""),"",IF(NOT(OR(AL$6="Toda la plantilla",ISNUMBER(SEARCH(";"&amp;SUBSTITUTE($C128," ","")&amp;";",";"&amp;SUBSTITUTE(AL$7," ","")&amp;";")))),"—",IF(_xlfn.MAXIFS(Acuses!$C$5:$C$3004,Acuses!$A$5:$A$3004,$A128,Acuses!$B$5:$B$3004,AL$4)&lt;AL$5,"Pendiente",IF(AL$8=0,"OK",IF(EDATE(_xlfn.MAXIFS(Acuses!$D$5:$D$3004,Acuses!$A$5:$A$3004,$A128,Acuses!$B$5:$B$3004,AL$4,Acuses!$C$5:$C$3004,AL$5),AL$8)&lt;Resumen!$C$4,"Caducado",IF(EDATE(_xlfn.MAXIFS(Acuses!$D$5:$D$3004,Acuses!$A$5:$A$3004,$A128,Acuses!$B$5:$B$3004,AL$4,Acuses!$C$5:$C$3004,AL$5),AL$8)&lt;Resumen!$C$4+30,"Caduca pronto","OK"))))))</f>
        <v/>
      </c>
      <c r="AM128" s="26" t="str">
        <f aca="false">IF(OR($A128="",AM$4=""),"",IF(NOT(OR(AM$6="Toda la plantilla",ISNUMBER(SEARCH(";"&amp;SUBSTITUTE($C128," ","")&amp;";",";"&amp;SUBSTITUTE(AM$7," ","")&amp;";")))),"—",IF(_xlfn.MAXIFS(Acuses!$C$5:$C$3004,Acuses!$A$5:$A$3004,$A128,Acuses!$B$5:$B$3004,AM$4)&lt;AM$5,"Pendiente",IF(AM$8=0,"OK",IF(EDATE(_xlfn.MAXIFS(Acuses!$D$5:$D$3004,Acuses!$A$5:$A$3004,$A128,Acuses!$B$5:$B$3004,AM$4,Acuses!$C$5:$C$3004,AM$5),AM$8)&lt;Resumen!$C$4,"Caducado",IF(EDATE(_xlfn.MAXIFS(Acuses!$D$5:$D$3004,Acuses!$A$5:$A$3004,$A128,Acuses!$B$5:$B$3004,AM$4,Acuses!$C$5:$C$3004,AM$5),AM$8)&lt;Resumen!$C$4+30,"Caduca pronto","OK"))))))</f>
        <v/>
      </c>
      <c r="AN128" s="26" t="str">
        <f aca="false">IF(OR($A128="",AN$4=""),"",IF(NOT(OR(AN$6="Toda la plantilla",ISNUMBER(SEARCH(";"&amp;SUBSTITUTE($C128," ","")&amp;";",";"&amp;SUBSTITUTE(AN$7," ","")&amp;";")))),"—",IF(_xlfn.MAXIFS(Acuses!$C$5:$C$3004,Acuses!$A$5:$A$3004,$A128,Acuses!$B$5:$B$3004,AN$4)&lt;AN$5,"Pendiente",IF(AN$8=0,"OK",IF(EDATE(_xlfn.MAXIFS(Acuses!$D$5:$D$3004,Acuses!$A$5:$A$3004,$A128,Acuses!$B$5:$B$3004,AN$4,Acuses!$C$5:$C$3004,AN$5),AN$8)&lt;Resumen!$C$4,"Caducado",IF(EDATE(_xlfn.MAXIFS(Acuses!$D$5:$D$3004,Acuses!$A$5:$A$3004,$A128,Acuses!$B$5:$B$3004,AN$4,Acuses!$C$5:$C$3004,AN$5),AN$8)&lt;Resumen!$C$4+30,"Caduca pronto","OK"))))))</f>
        <v/>
      </c>
      <c r="AO128" s="26" t="str">
        <f aca="false">IF(OR($A128="",AO$4=""),"",IF(NOT(OR(AO$6="Toda la plantilla",ISNUMBER(SEARCH(";"&amp;SUBSTITUTE($C128," ","")&amp;";",";"&amp;SUBSTITUTE(AO$7," ","")&amp;";")))),"—",IF(_xlfn.MAXIFS(Acuses!$C$5:$C$3004,Acuses!$A$5:$A$3004,$A128,Acuses!$B$5:$B$3004,AO$4)&lt;AO$5,"Pendiente",IF(AO$8=0,"OK",IF(EDATE(_xlfn.MAXIFS(Acuses!$D$5:$D$3004,Acuses!$A$5:$A$3004,$A128,Acuses!$B$5:$B$3004,AO$4,Acuses!$C$5:$C$3004,AO$5),AO$8)&lt;Resumen!$C$4,"Caducado",IF(EDATE(_xlfn.MAXIFS(Acuses!$D$5:$D$3004,Acuses!$A$5:$A$3004,$A128,Acuses!$B$5:$B$3004,AO$4,Acuses!$C$5:$C$3004,AO$5),AO$8)&lt;Resumen!$C$4+30,"Caduca pronto","OK"))))))</f>
        <v/>
      </c>
      <c r="AP128" s="26" t="str">
        <f aca="false">IF(OR($A128="",AP$4=""),"",IF(NOT(OR(AP$6="Toda la plantilla",ISNUMBER(SEARCH(";"&amp;SUBSTITUTE($C128," ","")&amp;";",";"&amp;SUBSTITUTE(AP$7," ","")&amp;";")))),"—",IF(_xlfn.MAXIFS(Acuses!$C$5:$C$3004,Acuses!$A$5:$A$3004,$A128,Acuses!$B$5:$B$3004,AP$4)&lt;AP$5,"Pendiente",IF(AP$8=0,"OK",IF(EDATE(_xlfn.MAXIFS(Acuses!$D$5:$D$3004,Acuses!$A$5:$A$3004,$A128,Acuses!$B$5:$B$3004,AP$4,Acuses!$C$5:$C$3004,AP$5),AP$8)&lt;Resumen!$C$4,"Caducado",IF(EDATE(_xlfn.MAXIFS(Acuses!$D$5:$D$3004,Acuses!$A$5:$A$3004,$A128,Acuses!$B$5:$B$3004,AP$4,Acuses!$C$5:$C$3004,AP$5),AP$8)&lt;Resumen!$C$4+30,"Caduca pronto","OK"))))))</f>
        <v/>
      </c>
      <c r="AQ128" s="26" t="str">
        <f aca="false">IF(OR($A128="",AQ$4=""),"",IF(NOT(OR(AQ$6="Toda la plantilla",ISNUMBER(SEARCH(";"&amp;SUBSTITUTE($C128," ","")&amp;";",";"&amp;SUBSTITUTE(AQ$7," ","")&amp;";")))),"—",IF(_xlfn.MAXIFS(Acuses!$C$5:$C$3004,Acuses!$A$5:$A$3004,$A128,Acuses!$B$5:$B$3004,AQ$4)&lt;AQ$5,"Pendiente",IF(AQ$8=0,"OK",IF(EDATE(_xlfn.MAXIFS(Acuses!$D$5:$D$3004,Acuses!$A$5:$A$3004,$A128,Acuses!$B$5:$B$3004,AQ$4,Acuses!$C$5:$C$3004,AQ$5),AQ$8)&lt;Resumen!$C$4,"Caducado",IF(EDATE(_xlfn.MAXIFS(Acuses!$D$5:$D$3004,Acuses!$A$5:$A$3004,$A128,Acuses!$B$5:$B$3004,AQ$4,Acuses!$C$5:$C$3004,AQ$5),AQ$8)&lt;Resumen!$C$4+30,"Caduca pronto","OK"))))))</f>
        <v/>
      </c>
    </row>
    <row r="129" customFormat="false" ht="15" hidden="false" customHeight="false" outlineLevel="0" collapsed="false">
      <c r="A129" s="25" t="str">
        <f aca="false">IF(AND(Trabajadores!$A$124&lt;&gt;"",Trabajadores!$G$124&lt;&gt;"No"),Trabajadores!$A$124,"")</f>
        <v/>
      </c>
      <c r="B129" s="25" t="str">
        <f aca="false">IF($A129="","",Trabajadores!$B$124)</f>
        <v/>
      </c>
      <c r="C129" s="25" t="str">
        <f aca="false">IF($A129="","",Trabajadores!$C$124)</f>
        <v/>
      </c>
      <c r="D129" s="26" t="str">
        <f aca="false">IF(OR($A129="",D$4=""),"",IF(NOT(OR(D$6="Toda la plantilla",ISNUMBER(SEARCH(";"&amp;SUBSTITUTE($C129," ","")&amp;";",";"&amp;SUBSTITUTE(D$7," ","")&amp;";")))),"—",IF(_xlfn.MAXIFS(Acuses!$C$5:$C$3004,Acuses!$A$5:$A$3004,$A129,Acuses!$B$5:$B$3004,D$4)&lt;D$5,"Pendiente",IF(D$8=0,"OK",IF(EDATE(_xlfn.MAXIFS(Acuses!$D$5:$D$3004,Acuses!$A$5:$A$3004,$A129,Acuses!$B$5:$B$3004,D$4,Acuses!$C$5:$C$3004,D$5),D$8)&lt;Resumen!$C$4,"Caducado",IF(EDATE(_xlfn.MAXIFS(Acuses!$D$5:$D$3004,Acuses!$A$5:$A$3004,$A129,Acuses!$B$5:$B$3004,D$4,Acuses!$C$5:$C$3004,D$5),D$8)&lt;Resumen!$C$4+30,"Caduca pronto","OK"))))))</f>
        <v/>
      </c>
      <c r="E129" s="26" t="str">
        <f aca="false">IF(OR($A129="",E$4=""),"",IF(NOT(OR(E$6="Toda la plantilla",ISNUMBER(SEARCH(";"&amp;SUBSTITUTE($C129," ","")&amp;";",";"&amp;SUBSTITUTE(E$7," ","")&amp;";")))),"—",IF(_xlfn.MAXIFS(Acuses!$C$5:$C$3004,Acuses!$A$5:$A$3004,$A129,Acuses!$B$5:$B$3004,E$4)&lt;E$5,"Pendiente",IF(E$8=0,"OK",IF(EDATE(_xlfn.MAXIFS(Acuses!$D$5:$D$3004,Acuses!$A$5:$A$3004,$A129,Acuses!$B$5:$B$3004,E$4,Acuses!$C$5:$C$3004,E$5),E$8)&lt;Resumen!$C$4,"Caducado",IF(EDATE(_xlfn.MAXIFS(Acuses!$D$5:$D$3004,Acuses!$A$5:$A$3004,$A129,Acuses!$B$5:$B$3004,E$4,Acuses!$C$5:$C$3004,E$5),E$8)&lt;Resumen!$C$4+30,"Caduca pronto","OK"))))))</f>
        <v/>
      </c>
      <c r="F129" s="26" t="str">
        <f aca="false">IF(OR($A129="",F$4=""),"",IF(NOT(OR(F$6="Toda la plantilla",ISNUMBER(SEARCH(";"&amp;SUBSTITUTE($C129," ","")&amp;";",";"&amp;SUBSTITUTE(F$7," ","")&amp;";")))),"—",IF(_xlfn.MAXIFS(Acuses!$C$5:$C$3004,Acuses!$A$5:$A$3004,$A129,Acuses!$B$5:$B$3004,F$4)&lt;F$5,"Pendiente",IF(F$8=0,"OK",IF(EDATE(_xlfn.MAXIFS(Acuses!$D$5:$D$3004,Acuses!$A$5:$A$3004,$A129,Acuses!$B$5:$B$3004,F$4,Acuses!$C$5:$C$3004,F$5),F$8)&lt;Resumen!$C$4,"Caducado",IF(EDATE(_xlfn.MAXIFS(Acuses!$D$5:$D$3004,Acuses!$A$5:$A$3004,$A129,Acuses!$B$5:$B$3004,F$4,Acuses!$C$5:$C$3004,F$5),F$8)&lt;Resumen!$C$4+30,"Caduca pronto","OK"))))))</f>
        <v/>
      </c>
      <c r="G129" s="26" t="str">
        <f aca="false">IF(OR($A129="",G$4=""),"",IF(NOT(OR(G$6="Toda la plantilla",ISNUMBER(SEARCH(";"&amp;SUBSTITUTE($C129," ","")&amp;";",";"&amp;SUBSTITUTE(G$7," ","")&amp;";")))),"—",IF(_xlfn.MAXIFS(Acuses!$C$5:$C$3004,Acuses!$A$5:$A$3004,$A129,Acuses!$B$5:$B$3004,G$4)&lt;G$5,"Pendiente",IF(G$8=0,"OK",IF(EDATE(_xlfn.MAXIFS(Acuses!$D$5:$D$3004,Acuses!$A$5:$A$3004,$A129,Acuses!$B$5:$B$3004,G$4,Acuses!$C$5:$C$3004,G$5),G$8)&lt;Resumen!$C$4,"Caducado",IF(EDATE(_xlfn.MAXIFS(Acuses!$D$5:$D$3004,Acuses!$A$5:$A$3004,$A129,Acuses!$B$5:$B$3004,G$4,Acuses!$C$5:$C$3004,G$5),G$8)&lt;Resumen!$C$4+30,"Caduca pronto","OK"))))))</f>
        <v/>
      </c>
      <c r="H129" s="26" t="str">
        <f aca="false">IF(OR($A129="",H$4=""),"",IF(NOT(OR(H$6="Toda la plantilla",ISNUMBER(SEARCH(";"&amp;SUBSTITUTE($C129," ","")&amp;";",";"&amp;SUBSTITUTE(H$7," ","")&amp;";")))),"—",IF(_xlfn.MAXIFS(Acuses!$C$5:$C$3004,Acuses!$A$5:$A$3004,$A129,Acuses!$B$5:$B$3004,H$4)&lt;H$5,"Pendiente",IF(H$8=0,"OK",IF(EDATE(_xlfn.MAXIFS(Acuses!$D$5:$D$3004,Acuses!$A$5:$A$3004,$A129,Acuses!$B$5:$B$3004,H$4,Acuses!$C$5:$C$3004,H$5),H$8)&lt;Resumen!$C$4,"Caducado",IF(EDATE(_xlfn.MAXIFS(Acuses!$D$5:$D$3004,Acuses!$A$5:$A$3004,$A129,Acuses!$B$5:$B$3004,H$4,Acuses!$C$5:$C$3004,H$5),H$8)&lt;Resumen!$C$4+30,"Caduca pronto","OK"))))))</f>
        <v/>
      </c>
      <c r="I129" s="26" t="str">
        <f aca="false">IF(OR($A129="",I$4=""),"",IF(NOT(OR(I$6="Toda la plantilla",ISNUMBER(SEARCH(";"&amp;SUBSTITUTE($C129," ","")&amp;";",";"&amp;SUBSTITUTE(I$7," ","")&amp;";")))),"—",IF(_xlfn.MAXIFS(Acuses!$C$5:$C$3004,Acuses!$A$5:$A$3004,$A129,Acuses!$B$5:$B$3004,I$4)&lt;I$5,"Pendiente",IF(I$8=0,"OK",IF(EDATE(_xlfn.MAXIFS(Acuses!$D$5:$D$3004,Acuses!$A$5:$A$3004,$A129,Acuses!$B$5:$B$3004,I$4,Acuses!$C$5:$C$3004,I$5),I$8)&lt;Resumen!$C$4,"Caducado",IF(EDATE(_xlfn.MAXIFS(Acuses!$D$5:$D$3004,Acuses!$A$5:$A$3004,$A129,Acuses!$B$5:$B$3004,I$4,Acuses!$C$5:$C$3004,I$5),I$8)&lt;Resumen!$C$4+30,"Caduca pronto","OK"))))))</f>
        <v/>
      </c>
      <c r="J129" s="26" t="str">
        <f aca="false">IF(OR($A129="",J$4=""),"",IF(NOT(OR(J$6="Toda la plantilla",ISNUMBER(SEARCH(";"&amp;SUBSTITUTE($C129," ","")&amp;";",";"&amp;SUBSTITUTE(J$7," ","")&amp;";")))),"—",IF(_xlfn.MAXIFS(Acuses!$C$5:$C$3004,Acuses!$A$5:$A$3004,$A129,Acuses!$B$5:$B$3004,J$4)&lt;J$5,"Pendiente",IF(J$8=0,"OK",IF(EDATE(_xlfn.MAXIFS(Acuses!$D$5:$D$3004,Acuses!$A$5:$A$3004,$A129,Acuses!$B$5:$B$3004,J$4,Acuses!$C$5:$C$3004,J$5),J$8)&lt;Resumen!$C$4,"Caducado",IF(EDATE(_xlfn.MAXIFS(Acuses!$D$5:$D$3004,Acuses!$A$5:$A$3004,$A129,Acuses!$B$5:$B$3004,J$4,Acuses!$C$5:$C$3004,J$5),J$8)&lt;Resumen!$C$4+30,"Caduca pronto","OK"))))))</f>
        <v/>
      </c>
      <c r="K129" s="26" t="str">
        <f aca="false">IF(OR($A129="",K$4=""),"",IF(NOT(OR(K$6="Toda la plantilla",ISNUMBER(SEARCH(";"&amp;SUBSTITUTE($C129," ","")&amp;";",";"&amp;SUBSTITUTE(K$7," ","")&amp;";")))),"—",IF(_xlfn.MAXIFS(Acuses!$C$5:$C$3004,Acuses!$A$5:$A$3004,$A129,Acuses!$B$5:$B$3004,K$4)&lt;K$5,"Pendiente",IF(K$8=0,"OK",IF(EDATE(_xlfn.MAXIFS(Acuses!$D$5:$D$3004,Acuses!$A$5:$A$3004,$A129,Acuses!$B$5:$B$3004,K$4,Acuses!$C$5:$C$3004,K$5),K$8)&lt;Resumen!$C$4,"Caducado",IF(EDATE(_xlfn.MAXIFS(Acuses!$D$5:$D$3004,Acuses!$A$5:$A$3004,$A129,Acuses!$B$5:$B$3004,K$4,Acuses!$C$5:$C$3004,K$5),K$8)&lt;Resumen!$C$4+30,"Caduca pronto","OK"))))))</f>
        <v/>
      </c>
      <c r="L129" s="26" t="str">
        <f aca="false">IF(OR($A129="",L$4=""),"",IF(NOT(OR(L$6="Toda la plantilla",ISNUMBER(SEARCH(";"&amp;SUBSTITUTE($C129," ","")&amp;";",";"&amp;SUBSTITUTE(L$7," ","")&amp;";")))),"—",IF(_xlfn.MAXIFS(Acuses!$C$5:$C$3004,Acuses!$A$5:$A$3004,$A129,Acuses!$B$5:$B$3004,L$4)&lt;L$5,"Pendiente",IF(L$8=0,"OK",IF(EDATE(_xlfn.MAXIFS(Acuses!$D$5:$D$3004,Acuses!$A$5:$A$3004,$A129,Acuses!$B$5:$B$3004,L$4,Acuses!$C$5:$C$3004,L$5),L$8)&lt;Resumen!$C$4,"Caducado",IF(EDATE(_xlfn.MAXIFS(Acuses!$D$5:$D$3004,Acuses!$A$5:$A$3004,$A129,Acuses!$B$5:$B$3004,L$4,Acuses!$C$5:$C$3004,L$5),L$8)&lt;Resumen!$C$4+30,"Caduca pronto","OK"))))))</f>
        <v/>
      </c>
      <c r="M129" s="26" t="str">
        <f aca="false">IF(OR($A129="",M$4=""),"",IF(NOT(OR(M$6="Toda la plantilla",ISNUMBER(SEARCH(";"&amp;SUBSTITUTE($C129," ","")&amp;";",";"&amp;SUBSTITUTE(M$7," ","")&amp;";")))),"—",IF(_xlfn.MAXIFS(Acuses!$C$5:$C$3004,Acuses!$A$5:$A$3004,$A129,Acuses!$B$5:$B$3004,M$4)&lt;M$5,"Pendiente",IF(M$8=0,"OK",IF(EDATE(_xlfn.MAXIFS(Acuses!$D$5:$D$3004,Acuses!$A$5:$A$3004,$A129,Acuses!$B$5:$B$3004,M$4,Acuses!$C$5:$C$3004,M$5),M$8)&lt;Resumen!$C$4,"Caducado",IF(EDATE(_xlfn.MAXIFS(Acuses!$D$5:$D$3004,Acuses!$A$5:$A$3004,$A129,Acuses!$B$5:$B$3004,M$4,Acuses!$C$5:$C$3004,M$5),M$8)&lt;Resumen!$C$4+30,"Caduca pronto","OK"))))))</f>
        <v/>
      </c>
      <c r="N129" s="26" t="str">
        <f aca="false">IF(OR($A129="",N$4=""),"",IF(NOT(OR(N$6="Toda la plantilla",ISNUMBER(SEARCH(";"&amp;SUBSTITUTE($C129," ","")&amp;";",";"&amp;SUBSTITUTE(N$7," ","")&amp;";")))),"—",IF(_xlfn.MAXIFS(Acuses!$C$5:$C$3004,Acuses!$A$5:$A$3004,$A129,Acuses!$B$5:$B$3004,N$4)&lt;N$5,"Pendiente",IF(N$8=0,"OK",IF(EDATE(_xlfn.MAXIFS(Acuses!$D$5:$D$3004,Acuses!$A$5:$A$3004,$A129,Acuses!$B$5:$B$3004,N$4,Acuses!$C$5:$C$3004,N$5),N$8)&lt;Resumen!$C$4,"Caducado",IF(EDATE(_xlfn.MAXIFS(Acuses!$D$5:$D$3004,Acuses!$A$5:$A$3004,$A129,Acuses!$B$5:$B$3004,N$4,Acuses!$C$5:$C$3004,N$5),N$8)&lt;Resumen!$C$4+30,"Caduca pronto","OK"))))))</f>
        <v/>
      </c>
      <c r="O129" s="26" t="str">
        <f aca="false">IF(OR($A129="",O$4=""),"",IF(NOT(OR(O$6="Toda la plantilla",ISNUMBER(SEARCH(";"&amp;SUBSTITUTE($C129," ","")&amp;";",";"&amp;SUBSTITUTE(O$7," ","")&amp;";")))),"—",IF(_xlfn.MAXIFS(Acuses!$C$5:$C$3004,Acuses!$A$5:$A$3004,$A129,Acuses!$B$5:$B$3004,O$4)&lt;O$5,"Pendiente",IF(O$8=0,"OK",IF(EDATE(_xlfn.MAXIFS(Acuses!$D$5:$D$3004,Acuses!$A$5:$A$3004,$A129,Acuses!$B$5:$B$3004,O$4,Acuses!$C$5:$C$3004,O$5),O$8)&lt;Resumen!$C$4,"Caducado",IF(EDATE(_xlfn.MAXIFS(Acuses!$D$5:$D$3004,Acuses!$A$5:$A$3004,$A129,Acuses!$B$5:$B$3004,O$4,Acuses!$C$5:$C$3004,O$5),O$8)&lt;Resumen!$C$4+30,"Caduca pronto","OK"))))))</f>
        <v/>
      </c>
      <c r="P129" s="26" t="str">
        <f aca="false">IF(OR($A129="",P$4=""),"",IF(NOT(OR(P$6="Toda la plantilla",ISNUMBER(SEARCH(";"&amp;SUBSTITUTE($C129," ","")&amp;";",";"&amp;SUBSTITUTE(P$7," ","")&amp;";")))),"—",IF(_xlfn.MAXIFS(Acuses!$C$5:$C$3004,Acuses!$A$5:$A$3004,$A129,Acuses!$B$5:$B$3004,P$4)&lt;P$5,"Pendiente",IF(P$8=0,"OK",IF(EDATE(_xlfn.MAXIFS(Acuses!$D$5:$D$3004,Acuses!$A$5:$A$3004,$A129,Acuses!$B$5:$B$3004,P$4,Acuses!$C$5:$C$3004,P$5),P$8)&lt;Resumen!$C$4,"Caducado",IF(EDATE(_xlfn.MAXIFS(Acuses!$D$5:$D$3004,Acuses!$A$5:$A$3004,$A129,Acuses!$B$5:$B$3004,P$4,Acuses!$C$5:$C$3004,P$5),P$8)&lt;Resumen!$C$4+30,"Caduca pronto","OK"))))))</f>
        <v/>
      </c>
      <c r="Q129" s="26" t="str">
        <f aca="false">IF(OR($A129="",Q$4=""),"",IF(NOT(OR(Q$6="Toda la plantilla",ISNUMBER(SEARCH(";"&amp;SUBSTITUTE($C129," ","")&amp;";",";"&amp;SUBSTITUTE(Q$7," ","")&amp;";")))),"—",IF(_xlfn.MAXIFS(Acuses!$C$5:$C$3004,Acuses!$A$5:$A$3004,$A129,Acuses!$B$5:$B$3004,Q$4)&lt;Q$5,"Pendiente",IF(Q$8=0,"OK",IF(EDATE(_xlfn.MAXIFS(Acuses!$D$5:$D$3004,Acuses!$A$5:$A$3004,$A129,Acuses!$B$5:$B$3004,Q$4,Acuses!$C$5:$C$3004,Q$5),Q$8)&lt;Resumen!$C$4,"Caducado",IF(EDATE(_xlfn.MAXIFS(Acuses!$D$5:$D$3004,Acuses!$A$5:$A$3004,$A129,Acuses!$B$5:$B$3004,Q$4,Acuses!$C$5:$C$3004,Q$5),Q$8)&lt;Resumen!$C$4+30,"Caduca pronto","OK"))))))</f>
        <v/>
      </c>
      <c r="R129" s="26" t="str">
        <f aca="false">IF(OR($A129="",R$4=""),"",IF(NOT(OR(R$6="Toda la plantilla",ISNUMBER(SEARCH(";"&amp;SUBSTITUTE($C129," ","")&amp;";",";"&amp;SUBSTITUTE(R$7," ","")&amp;";")))),"—",IF(_xlfn.MAXIFS(Acuses!$C$5:$C$3004,Acuses!$A$5:$A$3004,$A129,Acuses!$B$5:$B$3004,R$4)&lt;R$5,"Pendiente",IF(R$8=0,"OK",IF(EDATE(_xlfn.MAXIFS(Acuses!$D$5:$D$3004,Acuses!$A$5:$A$3004,$A129,Acuses!$B$5:$B$3004,R$4,Acuses!$C$5:$C$3004,R$5),R$8)&lt;Resumen!$C$4,"Caducado",IF(EDATE(_xlfn.MAXIFS(Acuses!$D$5:$D$3004,Acuses!$A$5:$A$3004,$A129,Acuses!$B$5:$B$3004,R$4,Acuses!$C$5:$C$3004,R$5),R$8)&lt;Resumen!$C$4+30,"Caduca pronto","OK"))))))</f>
        <v/>
      </c>
      <c r="S129" s="26" t="str">
        <f aca="false">IF(OR($A129="",S$4=""),"",IF(NOT(OR(S$6="Toda la plantilla",ISNUMBER(SEARCH(";"&amp;SUBSTITUTE($C129," ","")&amp;";",";"&amp;SUBSTITUTE(S$7," ","")&amp;";")))),"—",IF(_xlfn.MAXIFS(Acuses!$C$5:$C$3004,Acuses!$A$5:$A$3004,$A129,Acuses!$B$5:$B$3004,S$4)&lt;S$5,"Pendiente",IF(S$8=0,"OK",IF(EDATE(_xlfn.MAXIFS(Acuses!$D$5:$D$3004,Acuses!$A$5:$A$3004,$A129,Acuses!$B$5:$B$3004,S$4,Acuses!$C$5:$C$3004,S$5),S$8)&lt;Resumen!$C$4,"Caducado",IF(EDATE(_xlfn.MAXIFS(Acuses!$D$5:$D$3004,Acuses!$A$5:$A$3004,$A129,Acuses!$B$5:$B$3004,S$4,Acuses!$C$5:$C$3004,S$5),S$8)&lt;Resumen!$C$4+30,"Caduca pronto","OK"))))))</f>
        <v/>
      </c>
      <c r="T129" s="26" t="str">
        <f aca="false">IF(OR($A129="",T$4=""),"",IF(NOT(OR(T$6="Toda la plantilla",ISNUMBER(SEARCH(";"&amp;SUBSTITUTE($C129," ","")&amp;";",";"&amp;SUBSTITUTE(T$7," ","")&amp;";")))),"—",IF(_xlfn.MAXIFS(Acuses!$C$5:$C$3004,Acuses!$A$5:$A$3004,$A129,Acuses!$B$5:$B$3004,T$4)&lt;T$5,"Pendiente",IF(T$8=0,"OK",IF(EDATE(_xlfn.MAXIFS(Acuses!$D$5:$D$3004,Acuses!$A$5:$A$3004,$A129,Acuses!$B$5:$B$3004,T$4,Acuses!$C$5:$C$3004,T$5),T$8)&lt;Resumen!$C$4,"Caducado",IF(EDATE(_xlfn.MAXIFS(Acuses!$D$5:$D$3004,Acuses!$A$5:$A$3004,$A129,Acuses!$B$5:$B$3004,T$4,Acuses!$C$5:$C$3004,T$5),T$8)&lt;Resumen!$C$4+30,"Caduca pronto","OK"))))))</f>
        <v/>
      </c>
      <c r="U129" s="26" t="str">
        <f aca="false">IF(OR($A129="",U$4=""),"",IF(NOT(OR(U$6="Toda la plantilla",ISNUMBER(SEARCH(";"&amp;SUBSTITUTE($C129," ","")&amp;";",";"&amp;SUBSTITUTE(U$7," ","")&amp;";")))),"—",IF(_xlfn.MAXIFS(Acuses!$C$5:$C$3004,Acuses!$A$5:$A$3004,$A129,Acuses!$B$5:$B$3004,U$4)&lt;U$5,"Pendiente",IF(U$8=0,"OK",IF(EDATE(_xlfn.MAXIFS(Acuses!$D$5:$D$3004,Acuses!$A$5:$A$3004,$A129,Acuses!$B$5:$B$3004,U$4,Acuses!$C$5:$C$3004,U$5),U$8)&lt;Resumen!$C$4,"Caducado",IF(EDATE(_xlfn.MAXIFS(Acuses!$D$5:$D$3004,Acuses!$A$5:$A$3004,$A129,Acuses!$B$5:$B$3004,U$4,Acuses!$C$5:$C$3004,U$5),U$8)&lt;Resumen!$C$4+30,"Caduca pronto","OK"))))))</f>
        <v/>
      </c>
      <c r="V129" s="26" t="str">
        <f aca="false">IF(OR($A129="",V$4=""),"",IF(NOT(OR(V$6="Toda la plantilla",ISNUMBER(SEARCH(";"&amp;SUBSTITUTE($C129," ","")&amp;";",";"&amp;SUBSTITUTE(V$7," ","")&amp;";")))),"—",IF(_xlfn.MAXIFS(Acuses!$C$5:$C$3004,Acuses!$A$5:$A$3004,$A129,Acuses!$B$5:$B$3004,V$4)&lt;V$5,"Pendiente",IF(V$8=0,"OK",IF(EDATE(_xlfn.MAXIFS(Acuses!$D$5:$D$3004,Acuses!$A$5:$A$3004,$A129,Acuses!$B$5:$B$3004,V$4,Acuses!$C$5:$C$3004,V$5),V$8)&lt;Resumen!$C$4,"Caducado",IF(EDATE(_xlfn.MAXIFS(Acuses!$D$5:$D$3004,Acuses!$A$5:$A$3004,$A129,Acuses!$B$5:$B$3004,V$4,Acuses!$C$5:$C$3004,V$5),V$8)&lt;Resumen!$C$4+30,"Caduca pronto","OK"))))))</f>
        <v/>
      </c>
      <c r="W129" s="26" t="str">
        <f aca="false">IF(OR($A129="",W$4=""),"",IF(NOT(OR(W$6="Toda la plantilla",ISNUMBER(SEARCH(";"&amp;SUBSTITUTE($C129," ","")&amp;";",";"&amp;SUBSTITUTE(W$7," ","")&amp;";")))),"—",IF(_xlfn.MAXIFS(Acuses!$C$5:$C$3004,Acuses!$A$5:$A$3004,$A129,Acuses!$B$5:$B$3004,W$4)&lt;W$5,"Pendiente",IF(W$8=0,"OK",IF(EDATE(_xlfn.MAXIFS(Acuses!$D$5:$D$3004,Acuses!$A$5:$A$3004,$A129,Acuses!$B$5:$B$3004,W$4,Acuses!$C$5:$C$3004,W$5),W$8)&lt;Resumen!$C$4,"Caducado",IF(EDATE(_xlfn.MAXIFS(Acuses!$D$5:$D$3004,Acuses!$A$5:$A$3004,$A129,Acuses!$B$5:$B$3004,W$4,Acuses!$C$5:$C$3004,W$5),W$8)&lt;Resumen!$C$4+30,"Caduca pronto","OK"))))))</f>
        <v/>
      </c>
      <c r="X129" s="26" t="str">
        <f aca="false">IF(OR($A129="",X$4=""),"",IF(NOT(OR(X$6="Toda la plantilla",ISNUMBER(SEARCH(";"&amp;SUBSTITUTE($C129," ","")&amp;";",";"&amp;SUBSTITUTE(X$7," ","")&amp;";")))),"—",IF(_xlfn.MAXIFS(Acuses!$C$5:$C$3004,Acuses!$A$5:$A$3004,$A129,Acuses!$B$5:$B$3004,X$4)&lt;X$5,"Pendiente",IF(X$8=0,"OK",IF(EDATE(_xlfn.MAXIFS(Acuses!$D$5:$D$3004,Acuses!$A$5:$A$3004,$A129,Acuses!$B$5:$B$3004,X$4,Acuses!$C$5:$C$3004,X$5),X$8)&lt;Resumen!$C$4,"Caducado",IF(EDATE(_xlfn.MAXIFS(Acuses!$D$5:$D$3004,Acuses!$A$5:$A$3004,$A129,Acuses!$B$5:$B$3004,X$4,Acuses!$C$5:$C$3004,X$5),X$8)&lt;Resumen!$C$4+30,"Caduca pronto","OK"))))))</f>
        <v/>
      </c>
      <c r="Y129" s="26" t="str">
        <f aca="false">IF(OR($A129="",Y$4=""),"",IF(NOT(OR(Y$6="Toda la plantilla",ISNUMBER(SEARCH(";"&amp;SUBSTITUTE($C129," ","")&amp;";",";"&amp;SUBSTITUTE(Y$7," ","")&amp;";")))),"—",IF(_xlfn.MAXIFS(Acuses!$C$5:$C$3004,Acuses!$A$5:$A$3004,$A129,Acuses!$B$5:$B$3004,Y$4)&lt;Y$5,"Pendiente",IF(Y$8=0,"OK",IF(EDATE(_xlfn.MAXIFS(Acuses!$D$5:$D$3004,Acuses!$A$5:$A$3004,$A129,Acuses!$B$5:$B$3004,Y$4,Acuses!$C$5:$C$3004,Y$5),Y$8)&lt;Resumen!$C$4,"Caducado",IF(EDATE(_xlfn.MAXIFS(Acuses!$D$5:$D$3004,Acuses!$A$5:$A$3004,$A129,Acuses!$B$5:$B$3004,Y$4,Acuses!$C$5:$C$3004,Y$5),Y$8)&lt;Resumen!$C$4+30,"Caduca pronto","OK"))))))</f>
        <v/>
      </c>
      <c r="Z129" s="26" t="str">
        <f aca="false">IF(OR($A129="",Z$4=""),"",IF(NOT(OR(Z$6="Toda la plantilla",ISNUMBER(SEARCH(";"&amp;SUBSTITUTE($C129," ","")&amp;";",";"&amp;SUBSTITUTE(Z$7," ","")&amp;";")))),"—",IF(_xlfn.MAXIFS(Acuses!$C$5:$C$3004,Acuses!$A$5:$A$3004,$A129,Acuses!$B$5:$B$3004,Z$4)&lt;Z$5,"Pendiente",IF(Z$8=0,"OK",IF(EDATE(_xlfn.MAXIFS(Acuses!$D$5:$D$3004,Acuses!$A$5:$A$3004,$A129,Acuses!$B$5:$B$3004,Z$4,Acuses!$C$5:$C$3004,Z$5),Z$8)&lt;Resumen!$C$4,"Caducado",IF(EDATE(_xlfn.MAXIFS(Acuses!$D$5:$D$3004,Acuses!$A$5:$A$3004,$A129,Acuses!$B$5:$B$3004,Z$4,Acuses!$C$5:$C$3004,Z$5),Z$8)&lt;Resumen!$C$4+30,"Caduca pronto","OK"))))))</f>
        <v/>
      </c>
      <c r="AA129" s="26" t="str">
        <f aca="false">IF(OR($A129="",AA$4=""),"",IF(NOT(OR(AA$6="Toda la plantilla",ISNUMBER(SEARCH(";"&amp;SUBSTITUTE($C129," ","")&amp;";",";"&amp;SUBSTITUTE(AA$7," ","")&amp;";")))),"—",IF(_xlfn.MAXIFS(Acuses!$C$5:$C$3004,Acuses!$A$5:$A$3004,$A129,Acuses!$B$5:$B$3004,AA$4)&lt;AA$5,"Pendiente",IF(AA$8=0,"OK",IF(EDATE(_xlfn.MAXIFS(Acuses!$D$5:$D$3004,Acuses!$A$5:$A$3004,$A129,Acuses!$B$5:$B$3004,AA$4,Acuses!$C$5:$C$3004,AA$5),AA$8)&lt;Resumen!$C$4,"Caducado",IF(EDATE(_xlfn.MAXIFS(Acuses!$D$5:$D$3004,Acuses!$A$5:$A$3004,$A129,Acuses!$B$5:$B$3004,AA$4,Acuses!$C$5:$C$3004,AA$5),AA$8)&lt;Resumen!$C$4+30,"Caduca pronto","OK"))))))</f>
        <v/>
      </c>
      <c r="AB129" s="26" t="str">
        <f aca="false">IF(OR($A129="",AB$4=""),"",IF(NOT(OR(AB$6="Toda la plantilla",ISNUMBER(SEARCH(";"&amp;SUBSTITUTE($C129," ","")&amp;";",";"&amp;SUBSTITUTE(AB$7," ","")&amp;";")))),"—",IF(_xlfn.MAXIFS(Acuses!$C$5:$C$3004,Acuses!$A$5:$A$3004,$A129,Acuses!$B$5:$B$3004,AB$4)&lt;AB$5,"Pendiente",IF(AB$8=0,"OK",IF(EDATE(_xlfn.MAXIFS(Acuses!$D$5:$D$3004,Acuses!$A$5:$A$3004,$A129,Acuses!$B$5:$B$3004,AB$4,Acuses!$C$5:$C$3004,AB$5),AB$8)&lt;Resumen!$C$4,"Caducado",IF(EDATE(_xlfn.MAXIFS(Acuses!$D$5:$D$3004,Acuses!$A$5:$A$3004,$A129,Acuses!$B$5:$B$3004,AB$4,Acuses!$C$5:$C$3004,AB$5),AB$8)&lt;Resumen!$C$4+30,"Caduca pronto","OK"))))))</f>
        <v/>
      </c>
      <c r="AC129" s="26" t="str">
        <f aca="false">IF(OR($A129="",AC$4=""),"",IF(NOT(OR(AC$6="Toda la plantilla",ISNUMBER(SEARCH(";"&amp;SUBSTITUTE($C129," ","")&amp;";",";"&amp;SUBSTITUTE(AC$7," ","")&amp;";")))),"—",IF(_xlfn.MAXIFS(Acuses!$C$5:$C$3004,Acuses!$A$5:$A$3004,$A129,Acuses!$B$5:$B$3004,AC$4)&lt;AC$5,"Pendiente",IF(AC$8=0,"OK",IF(EDATE(_xlfn.MAXIFS(Acuses!$D$5:$D$3004,Acuses!$A$5:$A$3004,$A129,Acuses!$B$5:$B$3004,AC$4,Acuses!$C$5:$C$3004,AC$5),AC$8)&lt;Resumen!$C$4,"Caducado",IF(EDATE(_xlfn.MAXIFS(Acuses!$D$5:$D$3004,Acuses!$A$5:$A$3004,$A129,Acuses!$B$5:$B$3004,AC$4,Acuses!$C$5:$C$3004,AC$5),AC$8)&lt;Resumen!$C$4+30,"Caduca pronto","OK"))))))</f>
        <v/>
      </c>
      <c r="AD129" s="26" t="str">
        <f aca="false">IF(OR($A129="",AD$4=""),"",IF(NOT(OR(AD$6="Toda la plantilla",ISNUMBER(SEARCH(";"&amp;SUBSTITUTE($C129," ","")&amp;";",";"&amp;SUBSTITUTE(AD$7," ","")&amp;";")))),"—",IF(_xlfn.MAXIFS(Acuses!$C$5:$C$3004,Acuses!$A$5:$A$3004,$A129,Acuses!$B$5:$B$3004,AD$4)&lt;AD$5,"Pendiente",IF(AD$8=0,"OK",IF(EDATE(_xlfn.MAXIFS(Acuses!$D$5:$D$3004,Acuses!$A$5:$A$3004,$A129,Acuses!$B$5:$B$3004,AD$4,Acuses!$C$5:$C$3004,AD$5),AD$8)&lt;Resumen!$C$4,"Caducado",IF(EDATE(_xlfn.MAXIFS(Acuses!$D$5:$D$3004,Acuses!$A$5:$A$3004,$A129,Acuses!$B$5:$B$3004,AD$4,Acuses!$C$5:$C$3004,AD$5),AD$8)&lt;Resumen!$C$4+30,"Caduca pronto","OK"))))))</f>
        <v/>
      </c>
      <c r="AE129" s="26" t="str">
        <f aca="false">IF(OR($A129="",AE$4=""),"",IF(NOT(OR(AE$6="Toda la plantilla",ISNUMBER(SEARCH(";"&amp;SUBSTITUTE($C129," ","")&amp;";",";"&amp;SUBSTITUTE(AE$7," ","")&amp;";")))),"—",IF(_xlfn.MAXIFS(Acuses!$C$5:$C$3004,Acuses!$A$5:$A$3004,$A129,Acuses!$B$5:$B$3004,AE$4)&lt;AE$5,"Pendiente",IF(AE$8=0,"OK",IF(EDATE(_xlfn.MAXIFS(Acuses!$D$5:$D$3004,Acuses!$A$5:$A$3004,$A129,Acuses!$B$5:$B$3004,AE$4,Acuses!$C$5:$C$3004,AE$5),AE$8)&lt;Resumen!$C$4,"Caducado",IF(EDATE(_xlfn.MAXIFS(Acuses!$D$5:$D$3004,Acuses!$A$5:$A$3004,$A129,Acuses!$B$5:$B$3004,AE$4,Acuses!$C$5:$C$3004,AE$5),AE$8)&lt;Resumen!$C$4+30,"Caduca pronto","OK"))))))</f>
        <v/>
      </c>
      <c r="AF129" s="26" t="str">
        <f aca="false">IF(OR($A129="",AF$4=""),"",IF(NOT(OR(AF$6="Toda la plantilla",ISNUMBER(SEARCH(";"&amp;SUBSTITUTE($C129," ","")&amp;";",";"&amp;SUBSTITUTE(AF$7," ","")&amp;";")))),"—",IF(_xlfn.MAXIFS(Acuses!$C$5:$C$3004,Acuses!$A$5:$A$3004,$A129,Acuses!$B$5:$B$3004,AF$4)&lt;AF$5,"Pendiente",IF(AF$8=0,"OK",IF(EDATE(_xlfn.MAXIFS(Acuses!$D$5:$D$3004,Acuses!$A$5:$A$3004,$A129,Acuses!$B$5:$B$3004,AF$4,Acuses!$C$5:$C$3004,AF$5),AF$8)&lt;Resumen!$C$4,"Caducado",IF(EDATE(_xlfn.MAXIFS(Acuses!$D$5:$D$3004,Acuses!$A$5:$A$3004,$A129,Acuses!$B$5:$B$3004,AF$4,Acuses!$C$5:$C$3004,AF$5),AF$8)&lt;Resumen!$C$4+30,"Caduca pronto","OK"))))))</f>
        <v/>
      </c>
      <c r="AG129" s="26" t="str">
        <f aca="false">IF(OR($A129="",AG$4=""),"",IF(NOT(OR(AG$6="Toda la plantilla",ISNUMBER(SEARCH(";"&amp;SUBSTITUTE($C129," ","")&amp;";",";"&amp;SUBSTITUTE(AG$7," ","")&amp;";")))),"—",IF(_xlfn.MAXIFS(Acuses!$C$5:$C$3004,Acuses!$A$5:$A$3004,$A129,Acuses!$B$5:$B$3004,AG$4)&lt;AG$5,"Pendiente",IF(AG$8=0,"OK",IF(EDATE(_xlfn.MAXIFS(Acuses!$D$5:$D$3004,Acuses!$A$5:$A$3004,$A129,Acuses!$B$5:$B$3004,AG$4,Acuses!$C$5:$C$3004,AG$5),AG$8)&lt;Resumen!$C$4,"Caducado",IF(EDATE(_xlfn.MAXIFS(Acuses!$D$5:$D$3004,Acuses!$A$5:$A$3004,$A129,Acuses!$B$5:$B$3004,AG$4,Acuses!$C$5:$C$3004,AG$5),AG$8)&lt;Resumen!$C$4+30,"Caduca pronto","OK"))))))</f>
        <v/>
      </c>
      <c r="AH129" s="26" t="str">
        <f aca="false">IF(OR($A129="",AH$4=""),"",IF(NOT(OR(AH$6="Toda la plantilla",ISNUMBER(SEARCH(";"&amp;SUBSTITUTE($C129," ","")&amp;";",";"&amp;SUBSTITUTE(AH$7," ","")&amp;";")))),"—",IF(_xlfn.MAXIFS(Acuses!$C$5:$C$3004,Acuses!$A$5:$A$3004,$A129,Acuses!$B$5:$B$3004,AH$4)&lt;AH$5,"Pendiente",IF(AH$8=0,"OK",IF(EDATE(_xlfn.MAXIFS(Acuses!$D$5:$D$3004,Acuses!$A$5:$A$3004,$A129,Acuses!$B$5:$B$3004,AH$4,Acuses!$C$5:$C$3004,AH$5),AH$8)&lt;Resumen!$C$4,"Caducado",IF(EDATE(_xlfn.MAXIFS(Acuses!$D$5:$D$3004,Acuses!$A$5:$A$3004,$A129,Acuses!$B$5:$B$3004,AH$4,Acuses!$C$5:$C$3004,AH$5),AH$8)&lt;Resumen!$C$4+30,"Caduca pronto","OK"))))))</f>
        <v/>
      </c>
      <c r="AI129" s="26" t="str">
        <f aca="false">IF(OR($A129="",AI$4=""),"",IF(NOT(OR(AI$6="Toda la plantilla",ISNUMBER(SEARCH(";"&amp;SUBSTITUTE($C129," ","")&amp;";",";"&amp;SUBSTITUTE(AI$7," ","")&amp;";")))),"—",IF(_xlfn.MAXIFS(Acuses!$C$5:$C$3004,Acuses!$A$5:$A$3004,$A129,Acuses!$B$5:$B$3004,AI$4)&lt;AI$5,"Pendiente",IF(AI$8=0,"OK",IF(EDATE(_xlfn.MAXIFS(Acuses!$D$5:$D$3004,Acuses!$A$5:$A$3004,$A129,Acuses!$B$5:$B$3004,AI$4,Acuses!$C$5:$C$3004,AI$5),AI$8)&lt;Resumen!$C$4,"Caducado",IF(EDATE(_xlfn.MAXIFS(Acuses!$D$5:$D$3004,Acuses!$A$5:$A$3004,$A129,Acuses!$B$5:$B$3004,AI$4,Acuses!$C$5:$C$3004,AI$5),AI$8)&lt;Resumen!$C$4+30,"Caduca pronto","OK"))))))</f>
        <v/>
      </c>
      <c r="AJ129" s="26" t="str">
        <f aca="false">IF(OR($A129="",AJ$4=""),"",IF(NOT(OR(AJ$6="Toda la plantilla",ISNUMBER(SEARCH(";"&amp;SUBSTITUTE($C129," ","")&amp;";",";"&amp;SUBSTITUTE(AJ$7," ","")&amp;";")))),"—",IF(_xlfn.MAXIFS(Acuses!$C$5:$C$3004,Acuses!$A$5:$A$3004,$A129,Acuses!$B$5:$B$3004,AJ$4)&lt;AJ$5,"Pendiente",IF(AJ$8=0,"OK",IF(EDATE(_xlfn.MAXIFS(Acuses!$D$5:$D$3004,Acuses!$A$5:$A$3004,$A129,Acuses!$B$5:$B$3004,AJ$4,Acuses!$C$5:$C$3004,AJ$5),AJ$8)&lt;Resumen!$C$4,"Caducado",IF(EDATE(_xlfn.MAXIFS(Acuses!$D$5:$D$3004,Acuses!$A$5:$A$3004,$A129,Acuses!$B$5:$B$3004,AJ$4,Acuses!$C$5:$C$3004,AJ$5),AJ$8)&lt;Resumen!$C$4+30,"Caduca pronto","OK"))))))</f>
        <v/>
      </c>
      <c r="AK129" s="26" t="str">
        <f aca="false">IF(OR($A129="",AK$4=""),"",IF(NOT(OR(AK$6="Toda la plantilla",ISNUMBER(SEARCH(";"&amp;SUBSTITUTE($C129," ","")&amp;";",";"&amp;SUBSTITUTE(AK$7," ","")&amp;";")))),"—",IF(_xlfn.MAXIFS(Acuses!$C$5:$C$3004,Acuses!$A$5:$A$3004,$A129,Acuses!$B$5:$B$3004,AK$4)&lt;AK$5,"Pendiente",IF(AK$8=0,"OK",IF(EDATE(_xlfn.MAXIFS(Acuses!$D$5:$D$3004,Acuses!$A$5:$A$3004,$A129,Acuses!$B$5:$B$3004,AK$4,Acuses!$C$5:$C$3004,AK$5),AK$8)&lt;Resumen!$C$4,"Caducado",IF(EDATE(_xlfn.MAXIFS(Acuses!$D$5:$D$3004,Acuses!$A$5:$A$3004,$A129,Acuses!$B$5:$B$3004,AK$4,Acuses!$C$5:$C$3004,AK$5),AK$8)&lt;Resumen!$C$4+30,"Caduca pronto","OK"))))))</f>
        <v/>
      </c>
      <c r="AL129" s="26" t="str">
        <f aca="false">IF(OR($A129="",AL$4=""),"",IF(NOT(OR(AL$6="Toda la plantilla",ISNUMBER(SEARCH(";"&amp;SUBSTITUTE($C129," ","")&amp;";",";"&amp;SUBSTITUTE(AL$7," ","")&amp;";")))),"—",IF(_xlfn.MAXIFS(Acuses!$C$5:$C$3004,Acuses!$A$5:$A$3004,$A129,Acuses!$B$5:$B$3004,AL$4)&lt;AL$5,"Pendiente",IF(AL$8=0,"OK",IF(EDATE(_xlfn.MAXIFS(Acuses!$D$5:$D$3004,Acuses!$A$5:$A$3004,$A129,Acuses!$B$5:$B$3004,AL$4,Acuses!$C$5:$C$3004,AL$5),AL$8)&lt;Resumen!$C$4,"Caducado",IF(EDATE(_xlfn.MAXIFS(Acuses!$D$5:$D$3004,Acuses!$A$5:$A$3004,$A129,Acuses!$B$5:$B$3004,AL$4,Acuses!$C$5:$C$3004,AL$5),AL$8)&lt;Resumen!$C$4+30,"Caduca pronto","OK"))))))</f>
        <v/>
      </c>
      <c r="AM129" s="26" t="str">
        <f aca="false">IF(OR($A129="",AM$4=""),"",IF(NOT(OR(AM$6="Toda la plantilla",ISNUMBER(SEARCH(";"&amp;SUBSTITUTE($C129," ","")&amp;";",";"&amp;SUBSTITUTE(AM$7," ","")&amp;";")))),"—",IF(_xlfn.MAXIFS(Acuses!$C$5:$C$3004,Acuses!$A$5:$A$3004,$A129,Acuses!$B$5:$B$3004,AM$4)&lt;AM$5,"Pendiente",IF(AM$8=0,"OK",IF(EDATE(_xlfn.MAXIFS(Acuses!$D$5:$D$3004,Acuses!$A$5:$A$3004,$A129,Acuses!$B$5:$B$3004,AM$4,Acuses!$C$5:$C$3004,AM$5),AM$8)&lt;Resumen!$C$4,"Caducado",IF(EDATE(_xlfn.MAXIFS(Acuses!$D$5:$D$3004,Acuses!$A$5:$A$3004,$A129,Acuses!$B$5:$B$3004,AM$4,Acuses!$C$5:$C$3004,AM$5),AM$8)&lt;Resumen!$C$4+30,"Caduca pronto","OK"))))))</f>
        <v/>
      </c>
      <c r="AN129" s="26" t="str">
        <f aca="false">IF(OR($A129="",AN$4=""),"",IF(NOT(OR(AN$6="Toda la plantilla",ISNUMBER(SEARCH(";"&amp;SUBSTITUTE($C129," ","")&amp;";",";"&amp;SUBSTITUTE(AN$7," ","")&amp;";")))),"—",IF(_xlfn.MAXIFS(Acuses!$C$5:$C$3004,Acuses!$A$5:$A$3004,$A129,Acuses!$B$5:$B$3004,AN$4)&lt;AN$5,"Pendiente",IF(AN$8=0,"OK",IF(EDATE(_xlfn.MAXIFS(Acuses!$D$5:$D$3004,Acuses!$A$5:$A$3004,$A129,Acuses!$B$5:$B$3004,AN$4,Acuses!$C$5:$C$3004,AN$5),AN$8)&lt;Resumen!$C$4,"Caducado",IF(EDATE(_xlfn.MAXIFS(Acuses!$D$5:$D$3004,Acuses!$A$5:$A$3004,$A129,Acuses!$B$5:$B$3004,AN$4,Acuses!$C$5:$C$3004,AN$5),AN$8)&lt;Resumen!$C$4+30,"Caduca pronto","OK"))))))</f>
        <v/>
      </c>
      <c r="AO129" s="26" t="str">
        <f aca="false">IF(OR($A129="",AO$4=""),"",IF(NOT(OR(AO$6="Toda la plantilla",ISNUMBER(SEARCH(";"&amp;SUBSTITUTE($C129," ","")&amp;";",";"&amp;SUBSTITUTE(AO$7," ","")&amp;";")))),"—",IF(_xlfn.MAXIFS(Acuses!$C$5:$C$3004,Acuses!$A$5:$A$3004,$A129,Acuses!$B$5:$B$3004,AO$4)&lt;AO$5,"Pendiente",IF(AO$8=0,"OK",IF(EDATE(_xlfn.MAXIFS(Acuses!$D$5:$D$3004,Acuses!$A$5:$A$3004,$A129,Acuses!$B$5:$B$3004,AO$4,Acuses!$C$5:$C$3004,AO$5),AO$8)&lt;Resumen!$C$4,"Caducado",IF(EDATE(_xlfn.MAXIFS(Acuses!$D$5:$D$3004,Acuses!$A$5:$A$3004,$A129,Acuses!$B$5:$B$3004,AO$4,Acuses!$C$5:$C$3004,AO$5),AO$8)&lt;Resumen!$C$4+30,"Caduca pronto","OK"))))))</f>
        <v/>
      </c>
      <c r="AP129" s="26" t="str">
        <f aca="false">IF(OR($A129="",AP$4=""),"",IF(NOT(OR(AP$6="Toda la plantilla",ISNUMBER(SEARCH(";"&amp;SUBSTITUTE($C129," ","")&amp;";",";"&amp;SUBSTITUTE(AP$7," ","")&amp;";")))),"—",IF(_xlfn.MAXIFS(Acuses!$C$5:$C$3004,Acuses!$A$5:$A$3004,$A129,Acuses!$B$5:$B$3004,AP$4)&lt;AP$5,"Pendiente",IF(AP$8=0,"OK",IF(EDATE(_xlfn.MAXIFS(Acuses!$D$5:$D$3004,Acuses!$A$5:$A$3004,$A129,Acuses!$B$5:$B$3004,AP$4,Acuses!$C$5:$C$3004,AP$5),AP$8)&lt;Resumen!$C$4,"Caducado",IF(EDATE(_xlfn.MAXIFS(Acuses!$D$5:$D$3004,Acuses!$A$5:$A$3004,$A129,Acuses!$B$5:$B$3004,AP$4,Acuses!$C$5:$C$3004,AP$5),AP$8)&lt;Resumen!$C$4+30,"Caduca pronto","OK"))))))</f>
        <v/>
      </c>
      <c r="AQ129" s="26" t="str">
        <f aca="false">IF(OR($A129="",AQ$4=""),"",IF(NOT(OR(AQ$6="Toda la plantilla",ISNUMBER(SEARCH(";"&amp;SUBSTITUTE($C129," ","")&amp;";",";"&amp;SUBSTITUTE(AQ$7," ","")&amp;";")))),"—",IF(_xlfn.MAXIFS(Acuses!$C$5:$C$3004,Acuses!$A$5:$A$3004,$A129,Acuses!$B$5:$B$3004,AQ$4)&lt;AQ$5,"Pendiente",IF(AQ$8=0,"OK",IF(EDATE(_xlfn.MAXIFS(Acuses!$D$5:$D$3004,Acuses!$A$5:$A$3004,$A129,Acuses!$B$5:$B$3004,AQ$4,Acuses!$C$5:$C$3004,AQ$5),AQ$8)&lt;Resumen!$C$4,"Caducado",IF(EDATE(_xlfn.MAXIFS(Acuses!$D$5:$D$3004,Acuses!$A$5:$A$3004,$A129,Acuses!$B$5:$B$3004,AQ$4,Acuses!$C$5:$C$3004,AQ$5),AQ$8)&lt;Resumen!$C$4+30,"Caduca pronto","OK"))))))</f>
        <v/>
      </c>
    </row>
  </sheetData>
  <conditionalFormatting sqref="D10:AQ129">
    <cfRule type="cellIs" priority="2" operator="equal" aboveAverage="0" equalAverage="0" bottom="0" percent="0" rank="0" text="" dxfId="1">
      <formula>"Pendiente"</formula>
    </cfRule>
    <cfRule type="cellIs" priority="3" operator="equal" aboveAverage="0" equalAverage="0" bottom="0" percent="0" rank="0" text="" dxfId="2">
      <formula>"Caducado"</formula>
    </cfRule>
    <cfRule type="cellIs" priority="4" operator="equal" aboveAverage="0" equalAverage="0" bottom="0" percent="0" rank="0" text="" dxfId="3">
      <formula>"Caduca pronto"</formula>
    </cfRule>
    <cfRule type="cellIs" priority="5" operator="equal" aboveAverage="0" equalAverage="0" bottom="0" percent="0" rank="0" text="" dxfId="4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2026-10-17T18:25:11Z</dcterms:created>
  <dc:creator>openpyxl</dc:creator>
  <dc:description/>
  <dc:language>en-US</dc:language>
  <cp:lastModifiedBy/>
  <dcterms:modified xsi:type="dcterms:W3CDTF">2026-10-17T18:25:12Z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